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laji\Desktop\"/>
    </mc:Choice>
  </mc:AlternateContent>
  <xr:revisionPtr revIDLastSave="0" documentId="8_{F022036C-60D4-44CC-944B-7F34D37CF897}" xr6:coauthVersionLast="36" xr6:coauthVersionMax="36" xr10:uidLastSave="{00000000-0000-0000-0000-000000000000}"/>
  <bookViews>
    <workbookView xWindow="0" yWindow="0" windowWidth="20490" windowHeight="7545" firstSheet="8" activeTab="8" xr2:uid="{00000000-000D-0000-FFFF-FFFF00000000}"/>
  </bookViews>
  <sheets>
    <sheet name="GeneralLedgerTransactions" sheetId="1" r:id="rId1"/>
    <sheet name="ChartofAccounts" sheetId="2" r:id="rId2"/>
    <sheet name="InvoicesPayable" sheetId="3" r:id="rId3"/>
    <sheet name="VendorMaster" sheetId="4" r:id="rId4"/>
    <sheet name="InvoicesReceivable" sheetId="5" r:id="rId5"/>
    <sheet name="CustomerMaster" sheetId="6" r:id="rId6"/>
    <sheet name="DepartmentBudgets" sheetId="7" r:id="rId7"/>
    <sheet name="FinancialForecasts" sheetId="8" r:id="rId8"/>
    <sheet name="FinancialStatements" sheetId="9" r:id="rId9"/>
    <sheet name="FixedAssetRegister" sheetId="10" r:id="rId10"/>
    <sheet name="DepreciationSchedule" sheetId="11" r:id="rId11"/>
    <sheet name="EmployeePayroll" sheetId="12" r:id="rId12"/>
    <sheet name="Pivot Summary" sheetId="13" r:id="rId13"/>
  </sheets>
  <calcPr calcId="191029"/>
  <pivotCaches>
    <pivotCache cacheId="0" r:id="rId14"/>
    <pivotCache cacheId="1" r:id="rId15"/>
    <pivotCache cacheId="2" r:id="rId16"/>
  </pivotCaches>
</workbook>
</file>

<file path=xl/calcChain.xml><?xml version="1.0" encoding="utf-8"?>
<calcChain xmlns="http://schemas.openxmlformats.org/spreadsheetml/2006/main">
  <c r="F373" i="11" l="1"/>
  <c r="E373" i="11"/>
  <c r="F372" i="11"/>
  <c r="E372" i="11"/>
  <c r="F371" i="11"/>
  <c r="E371" i="11"/>
  <c r="F370" i="11"/>
  <c r="E370" i="11"/>
  <c r="F369" i="11"/>
  <c r="E369" i="11"/>
  <c r="F368" i="11"/>
  <c r="E368" i="11"/>
  <c r="F367" i="11"/>
  <c r="E367" i="11"/>
  <c r="F366" i="11"/>
  <c r="E366" i="11"/>
  <c r="F365" i="11"/>
  <c r="E365" i="11"/>
  <c r="F364" i="11"/>
  <c r="E364" i="11"/>
  <c r="F363" i="11"/>
  <c r="E363" i="11"/>
  <c r="F362" i="11"/>
  <c r="E362" i="11"/>
  <c r="F361" i="11"/>
  <c r="E361" i="11"/>
  <c r="F360" i="11"/>
  <c r="E360" i="11"/>
  <c r="F359" i="11"/>
  <c r="E359" i="11"/>
  <c r="F358" i="11"/>
  <c r="E358" i="11"/>
  <c r="F357" i="11"/>
  <c r="E357" i="11"/>
  <c r="F356" i="11"/>
  <c r="E356" i="11"/>
  <c r="F355" i="11"/>
  <c r="E355" i="11"/>
  <c r="F354" i="11"/>
  <c r="E354" i="11"/>
  <c r="F353" i="11"/>
  <c r="E353" i="11"/>
  <c r="F352" i="11"/>
  <c r="E352" i="11"/>
  <c r="F351" i="11"/>
  <c r="E351" i="11"/>
  <c r="F350" i="11"/>
  <c r="E350" i="11"/>
  <c r="F349" i="11"/>
  <c r="E349" i="11"/>
  <c r="F348" i="11"/>
  <c r="E348" i="11"/>
  <c r="F347" i="11"/>
  <c r="E347" i="11"/>
  <c r="F346" i="11"/>
  <c r="E346" i="11"/>
  <c r="F345" i="11"/>
  <c r="E345" i="11"/>
  <c r="F344" i="11"/>
  <c r="E344" i="11"/>
  <c r="F343" i="11"/>
  <c r="E343" i="11"/>
  <c r="F342" i="11"/>
  <c r="E342" i="11"/>
  <c r="F341" i="11"/>
  <c r="E341" i="11"/>
  <c r="F340" i="11"/>
  <c r="E340" i="11"/>
  <c r="F339" i="11"/>
  <c r="E339" i="11"/>
  <c r="F338" i="11"/>
  <c r="E338" i="11"/>
  <c r="F337" i="11"/>
  <c r="E337" i="11"/>
  <c r="F336" i="11"/>
  <c r="E336" i="11"/>
  <c r="F335" i="11"/>
  <c r="E335" i="11"/>
  <c r="F334" i="11"/>
  <c r="E334" i="11"/>
  <c r="F333" i="11"/>
  <c r="E333" i="11"/>
  <c r="F332" i="11"/>
  <c r="E332" i="11"/>
  <c r="F331" i="11"/>
  <c r="E331" i="11"/>
  <c r="F330" i="11"/>
  <c r="E330" i="11"/>
  <c r="F329" i="11"/>
  <c r="E329" i="11"/>
  <c r="F328" i="11"/>
  <c r="E328" i="11"/>
  <c r="F327" i="11"/>
  <c r="E327" i="11"/>
  <c r="F326" i="11"/>
  <c r="E326" i="11"/>
  <c r="F325" i="11"/>
  <c r="E325" i="11"/>
  <c r="F324" i="11"/>
  <c r="E324" i="11"/>
  <c r="F323" i="11"/>
  <c r="E323" i="11"/>
  <c r="F322" i="11"/>
  <c r="E322" i="11"/>
  <c r="F321" i="11"/>
  <c r="E321" i="11"/>
  <c r="F320" i="11"/>
  <c r="E320" i="11"/>
  <c r="F319" i="11"/>
  <c r="E319" i="11"/>
  <c r="F318" i="11"/>
  <c r="E318" i="11"/>
  <c r="F317" i="11"/>
  <c r="E317" i="11"/>
  <c r="F316" i="11"/>
  <c r="E316" i="11"/>
  <c r="F315" i="11"/>
  <c r="E315" i="11"/>
  <c r="F314" i="11"/>
  <c r="E314" i="11"/>
  <c r="F313" i="11"/>
  <c r="E313" i="11"/>
  <c r="F312" i="11"/>
  <c r="E312" i="11"/>
  <c r="F311" i="11"/>
  <c r="E311" i="11"/>
  <c r="F310" i="11"/>
  <c r="E310" i="11"/>
  <c r="F309" i="11"/>
  <c r="E309" i="11"/>
  <c r="F308" i="11"/>
  <c r="E308" i="11"/>
  <c r="F307" i="11"/>
  <c r="E307" i="11"/>
  <c r="F306" i="11"/>
  <c r="E306" i="11"/>
  <c r="F305" i="11"/>
  <c r="E305" i="11"/>
  <c r="F304" i="11"/>
  <c r="E304" i="11"/>
  <c r="F303" i="11"/>
  <c r="E303" i="11"/>
  <c r="F302" i="11"/>
  <c r="E302" i="11"/>
  <c r="F301" i="11"/>
  <c r="E301" i="11"/>
  <c r="F300" i="11"/>
  <c r="E300" i="11"/>
  <c r="F299" i="11"/>
  <c r="E299" i="11"/>
  <c r="F298" i="11"/>
  <c r="E298" i="11"/>
  <c r="F297" i="11"/>
  <c r="E297" i="11"/>
  <c r="F296" i="11"/>
  <c r="E296" i="11"/>
  <c r="F295" i="11"/>
  <c r="E295" i="11"/>
  <c r="F294" i="11"/>
  <c r="E294" i="11"/>
  <c r="F293" i="11"/>
  <c r="E293" i="11"/>
  <c r="F292" i="11"/>
  <c r="E292" i="11"/>
  <c r="F291" i="11"/>
  <c r="E291" i="11"/>
  <c r="F290" i="11"/>
  <c r="E290" i="11"/>
  <c r="F289" i="11"/>
  <c r="E289" i="11"/>
  <c r="F288" i="11"/>
  <c r="E288" i="11"/>
  <c r="F287" i="11"/>
  <c r="E287" i="11"/>
  <c r="F286" i="11"/>
  <c r="E286" i="11"/>
  <c r="F285" i="11"/>
  <c r="E285" i="11"/>
  <c r="F284" i="11"/>
  <c r="E284" i="11"/>
  <c r="F283" i="11"/>
  <c r="E283" i="11"/>
  <c r="F282" i="11"/>
  <c r="E282" i="11"/>
  <c r="F281" i="11"/>
  <c r="E281" i="11"/>
  <c r="F280" i="11"/>
  <c r="E280" i="11"/>
  <c r="F279" i="11"/>
  <c r="E279" i="11"/>
  <c r="F278" i="11"/>
  <c r="E278" i="11"/>
  <c r="F277" i="11"/>
  <c r="E277" i="11"/>
  <c r="F276" i="11"/>
  <c r="E276" i="11"/>
  <c r="F275" i="11"/>
  <c r="E275" i="11"/>
  <c r="F274" i="11"/>
  <c r="E274" i="11"/>
  <c r="F273" i="11"/>
  <c r="E273" i="11"/>
  <c r="F272" i="11"/>
  <c r="E272" i="11"/>
  <c r="F271" i="11"/>
  <c r="E271" i="11"/>
  <c r="F270" i="11"/>
  <c r="E270" i="11"/>
  <c r="F269" i="11"/>
  <c r="E269" i="11"/>
  <c r="F268" i="11"/>
  <c r="E268" i="11"/>
  <c r="F267" i="11"/>
  <c r="E267" i="11"/>
  <c r="F266" i="11"/>
  <c r="E266" i="11"/>
  <c r="F265" i="11"/>
  <c r="E265" i="11"/>
  <c r="F264" i="11"/>
  <c r="E264" i="11"/>
  <c r="F263" i="11"/>
  <c r="E263" i="11"/>
  <c r="F262" i="11"/>
  <c r="E262" i="11"/>
  <c r="F261" i="11"/>
  <c r="E261" i="11"/>
  <c r="F260" i="11"/>
  <c r="E260" i="11"/>
  <c r="F259" i="11"/>
  <c r="E259" i="11"/>
  <c r="F258" i="11"/>
  <c r="E258" i="11"/>
  <c r="F257" i="11"/>
  <c r="E257" i="11"/>
  <c r="F256" i="11"/>
  <c r="E256" i="11"/>
  <c r="F255" i="11"/>
  <c r="E255" i="11"/>
  <c r="F254" i="11"/>
  <c r="E254" i="11"/>
  <c r="F253" i="11"/>
  <c r="E253" i="11"/>
  <c r="F252" i="11"/>
  <c r="E252" i="11"/>
  <c r="F251" i="11"/>
  <c r="E251" i="11"/>
  <c r="F250" i="11"/>
  <c r="E250" i="11"/>
  <c r="F249" i="11"/>
  <c r="E249" i="11"/>
  <c r="F248" i="11"/>
  <c r="E248" i="11"/>
  <c r="F247" i="11"/>
  <c r="E247" i="11"/>
  <c r="F246" i="11"/>
  <c r="E246" i="11"/>
  <c r="F245" i="11"/>
  <c r="E245" i="11"/>
  <c r="F244" i="11"/>
  <c r="E244" i="11"/>
  <c r="F243" i="11"/>
  <c r="E243" i="11"/>
  <c r="F242" i="11"/>
  <c r="E242" i="11"/>
  <c r="F241" i="11"/>
  <c r="E241" i="11"/>
  <c r="F240" i="11"/>
  <c r="E240" i="11"/>
  <c r="F239" i="11"/>
  <c r="E239" i="11"/>
  <c r="F238" i="11"/>
  <c r="E238" i="11"/>
  <c r="F237" i="11"/>
  <c r="E237" i="11"/>
  <c r="F236" i="11"/>
  <c r="E236" i="11"/>
  <c r="F235" i="11"/>
  <c r="E235" i="11"/>
  <c r="F234" i="11"/>
  <c r="E234" i="11"/>
  <c r="F233" i="11"/>
  <c r="E233" i="11"/>
  <c r="F232" i="11"/>
  <c r="E232" i="11"/>
  <c r="F231" i="11"/>
  <c r="E231" i="11"/>
  <c r="F230" i="11"/>
  <c r="E230" i="11"/>
  <c r="F229" i="11"/>
  <c r="E229" i="11"/>
  <c r="F228" i="11"/>
  <c r="E228" i="11"/>
  <c r="F227" i="11"/>
  <c r="E227" i="11"/>
  <c r="F226" i="11"/>
  <c r="E226" i="11"/>
  <c r="F225" i="11"/>
  <c r="E225" i="11"/>
  <c r="F224" i="11"/>
  <c r="E224" i="11"/>
  <c r="F223" i="11"/>
  <c r="E223" i="11"/>
  <c r="F222" i="11"/>
  <c r="E222" i="11"/>
  <c r="F221" i="11"/>
  <c r="E221" i="11"/>
  <c r="F220" i="11"/>
  <c r="E220" i="11"/>
  <c r="F219" i="11"/>
  <c r="E219" i="11"/>
  <c r="F218" i="11"/>
  <c r="E218" i="11"/>
  <c r="F217" i="11"/>
  <c r="E217" i="11"/>
  <c r="F216" i="11"/>
  <c r="E216" i="11"/>
  <c r="F215" i="11"/>
  <c r="E215" i="11"/>
  <c r="F214" i="11"/>
  <c r="E214" i="11"/>
  <c r="F213" i="11"/>
  <c r="E213" i="11"/>
  <c r="F212" i="11"/>
  <c r="E212" i="11"/>
  <c r="F211" i="11"/>
  <c r="E211" i="11"/>
  <c r="F210" i="11"/>
  <c r="E210" i="11"/>
  <c r="F209" i="11"/>
  <c r="E209" i="11"/>
  <c r="F208" i="11"/>
  <c r="E208" i="11"/>
  <c r="F207" i="11"/>
  <c r="E207" i="11"/>
  <c r="F206" i="11"/>
  <c r="E206" i="11"/>
  <c r="F205" i="11"/>
  <c r="E205" i="11"/>
  <c r="F204" i="11"/>
  <c r="E204" i="11"/>
  <c r="F203" i="11"/>
  <c r="E203" i="11"/>
  <c r="F202" i="11"/>
  <c r="E202" i="11"/>
  <c r="F201" i="11"/>
  <c r="E201" i="11"/>
  <c r="F200" i="11"/>
  <c r="E200" i="11"/>
  <c r="F199" i="11"/>
  <c r="E199" i="11"/>
  <c r="F198" i="11"/>
  <c r="E198" i="11"/>
  <c r="F197" i="11"/>
  <c r="E197" i="11"/>
  <c r="F196" i="11"/>
  <c r="E196" i="11"/>
  <c r="F195" i="11"/>
  <c r="E195" i="11"/>
  <c r="F194" i="11"/>
  <c r="E194" i="11"/>
  <c r="F193" i="11"/>
  <c r="E193" i="11"/>
  <c r="F192" i="11"/>
  <c r="E192" i="11"/>
  <c r="F191" i="11"/>
  <c r="E191" i="11"/>
  <c r="F190" i="11"/>
  <c r="E190" i="11"/>
  <c r="F189" i="11"/>
  <c r="E189" i="11"/>
  <c r="F188" i="11"/>
  <c r="E188" i="11"/>
  <c r="F187" i="11"/>
  <c r="E187" i="11"/>
  <c r="F186" i="11"/>
  <c r="E186" i="11"/>
  <c r="F185" i="11"/>
  <c r="E185" i="11"/>
  <c r="F184" i="11"/>
  <c r="E184" i="11"/>
  <c r="F183" i="11"/>
  <c r="E183" i="11"/>
  <c r="F182" i="11"/>
  <c r="E182" i="11"/>
  <c r="F181" i="11"/>
  <c r="E181" i="11"/>
  <c r="F180" i="11"/>
  <c r="E180" i="11"/>
  <c r="F179" i="11"/>
  <c r="E179" i="11"/>
  <c r="F178" i="11"/>
  <c r="E178" i="11"/>
  <c r="F177" i="11"/>
  <c r="E177" i="11"/>
  <c r="F176" i="11"/>
  <c r="E176" i="11"/>
  <c r="F175" i="11"/>
  <c r="E175" i="11"/>
  <c r="F174" i="11"/>
  <c r="E174" i="11"/>
  <c r="F173" i="11"/>
  <c r="E173" i="11"/>
  <c r="F172" i="11"/>
  <c r="E172" i="11"/>
  <c r="F171" i="11"/>
  <c r="E171" i="11"/>
  <c r="F170" i="11"/>
  <c r="E170" i="11"/>
  <c r="F169" i="11"/>
  <c r="E169" i="11"/>
  <c r="F168" i="11"/>
  <c r="E168" i="11"/>
  <c r="F167" i="11"/>
  <c r="E167" i="11"/>
  <c r="F166" i="11"/>
  <c r="E166" i="11"/>
  <c r="F165" i="11"/>
  <c r="E165" i="11"/>
  <c r="F164" i="11"/>
  <c r="E164" i="11"/>
  <c r="F163" i="11"/>
  <c r="E163" i="11"/>
  <c r="F162" i="11"/>
  <c r="E162" i="11"/>
  <c r="F161" i="11"/>
  <c r="E161" i="11"/>
  <c r="F160" i="11"/>
  <c r="E160" i="11"/>
  <c r="F159" i="11"/>
  <c r="E159" i="11"/>
  <c r="F158" i="11"/>
  <c r="E158" i="11"/>
  <c r="F157" i="11"/>
  <c r="E157" i="11"/>
  <c r="F156" i="11"/>
  <c r="E156" i="11"/>
  <c r="F155" i="11"/>
  <c r="E155" i="11"/>
  <c r="F154" i="11"/>
  <c r="E154" i="11"/>
  <c r="F153" i="11"/>
  <c r="E153" i="11"/>
  <c r="F152" i="11"/>
  <c r="E152" i="11"/>
  <c r="F151" i="11"/>
  <c r="E151" i="11"/>
  <c r="F150" i="11"/>
  <c r="E150" i="11"/>
  <c r="F149" i="11"/>
  <c r="E149" i="11"/>
  <c r="F148" i="11"/>
  <c r="E148" i="11"/>
  <c r="F147" i="11"/>
  <c r="E147" i="11"/>
  <c r="F146" i="11"/>
  <c r="E146" i="11"/>
  <c r="F145" i="11"/>
  <c r="E145" i="11"/>
  <c r="F144" i="11"/>
  <c r="E144" i="11"/>
  <c r="F143" i="11"/>
  <c r="E143" i="11"/>
  <c r="F142" i="11"/>
  <c r="E142" i="11"/>
  <c r="F141" i="11"/>
  <c r="E141" i="11"/>
  <c r="F140" i="11"/>
  <c r="E140" i="11"/>
  <c r="F139" i="11"/>
  <c r="E139" i="11"/>
  <c r="F138" i="11"/>
  <c r="E138" i="11"/>
  <c r="F137" i="11"/>
  <c r="E137" i="11"/>
  <c r="F136" i="11"/>
  <c r="E136" i="11"/>
  <c r="F135" i="11"/>
  <c r="E135" i="11"/>
  <c r="F134" i="11"/>
  <c r="E134" i="11"/>
  <c r="F133" i="11"/>
  <c r="E133" i="11"/>
  <c r="F132" i="11"/>
  <c r="E132" i="11"/>
  <c r="F131" i="11"/>
  <c r="E131" i="11"/>
  <c r="F130" i="11"/>
  <c r="E130" i="11"/>
  <c r="F129" i="11"/>
  <c r="E129" i="11"/>
  <c r="F128" i="11"/>
  <c r="E128" i="11"/>
  <c r="F127" i="11"/>
  <c r="E127" i="11"/>
  <c r="F126" i="11"/>
  <c r="E126" i="11"/>
  <c r="F125" i="11"/>
  <c r="E125" i="11"/>
  <c r="F124" i="11"/>
  <c r="E124" i="11"/>
  <c r="F123" i="11"/>
  <c r="E123" i="11"/>
  <c r="F122" i="11"/>
  <c r="E122" i="11"/>
  <c r="F121" i="11"/>
  <c r="E121" i="11"/>
  <c r="F120" i="11"/>
  <c r="E120" i="11"/>
  <c r="F119" i="11"/>
  <c r="E119" i="11"/>
  <c r="F118" i="11"/>
  <c r="E118" i="11"/>
  <c r="F117" i="11"/>
  <c r="E117" i="11"/>
  <c r="F116" i="11"/>
  <c r="E116" i="11"/>
  <c r="F115" i="11"/>
  <c r="E115" i="11"/>
  <c r="F114" i="11"/>
  <c r="E114" i="11"/>
  <c r="F113" i="11"/>
  <c r="E113" i="11"/>
  <c r="F112" i="11"/>
  <c r="E112" i="11"/>
  <c r="F111" i="11"/>
  <c r="E111" i="11"/>
  <c r="F110" i="11"/>
  <c r="E110" i="11"/>
  <c r="F109" i="11"/>
  <c r="E109" i="11"/>
  <c r="F108" i="11"/>
  <c r="E108" i="11"/>
  <c r="F107" i="11"/>
  <c r="E107" i="11"/>
  <c r="F106" i="11"/>
  <c r="E106" i="11"/>
  <c r="F105" i="11"/>
  <c r="E105" i="11"/>
  <c r="F104" i="11"/>
  <c r="E104" i="11"/>
  <c r="F103" i="11"/>
  <c r="E103" i="11"/>
  <c r="F102" i="11"/>
  <c r="E102" i="11"/>
  <c r="F101" i="11"/>
  <c r="E101" i="11"/>
  <c r="F100" i="11"/>
  <c r="E100" i="11"/>
  <c r="F99" i="11"/>
  <c r="E99" i="11"/>
  <c r="F98" i="11"/>
  <c r="E98" i="11"/>
  <c r="F97" i="11"/>
  <c r="E97" i="11"/>
  <c r="F96" i="11"/>
  <c r="E96" i="11"/>
  <c r="F95" i="11"/>
  <c r="E95" i="11"/>
  <c r="F94" i="11"/>
  <c r="E94" i="11"/>
  <c r="F93" i="11"/>
  <c r="E93" i="11"/>
  <c r="F92" i="11"/>
  <c r="E92" i="11"/>
  <c r="F91" i="11"/>
  <c r="E91" i="11"/>
  <c r="F90" i="11"/>
  <c r="E90" i="11"/>
  <c r="F89" i="11"/>
  <c r="E89" i="11"/>
  <c r="F88" i="11"/>
  <c r="E88" i="11"/>
  <c r="F87" i="11"/>
  <c r="E87" i="11"/>
  <c r="F86" i="11"/>
  <c r="E86" i="11"/>
  <c r="F85" i="11"/>
  <c r="E85" i="11"/>
  <c r="F84" i="11"/>
  <c r="E84" i="11"/>
  <c r="F83" i="11"/>
  <c r="E83" i="11"/>
  <c r="F82" i="11"/>
  <c r="E82" i="11"/>
  <c r="F81" i="11"/>
  <c r="E81" i="11"/>
  <c r="F80" i="11"/>
  <c r="E80" i="11"/>
  <c r="F79" i="11"/>
  <c r="E79" i="11"/>
  <c r="F78" i="11"/>
  <c r="E78" i="11"/>
  <c r="F77" i="11"/>
  <c r="E77" i="11"/>
  <c r="F76" i="11"/>
  <c r="E76" i="11"/>
  <c r="F75" i="11"/>
  <c r="E75" i="11"/>
  <c r="F74" i="11"/>
  <c r="E74" i="11"/>
  <c r="F73" i="11"/>
  <c r="E73" i="11"/>
  <c r="F72" i="11"/>
  <c r="E72" i="11"/>
  <c r="F71" i="11"/>
  <c r="E71" i="11"/>
  <c r="F70" i="11"/>
  <c r="E70" i="11"/>
  <c r="F69" i="11"/>
  <c r="E69" i="11"/>
  <c r="F68" i="11"/>
  <c r="E68" i="11"/>
  <c r="F67" i="11"/>
  <c r="E67" i="11"/>
  <c r="F66" i="11"/>
  <c r="E66" i="11"/>
  <c r="F65" i="11"/>
  <c r="E65" i="11"/>
  <c r="F64" i="11"/>
  <c r="E64" i="11"/>
  <c r="F63" i="11"/>
  <c r="E63" i="11"/>
  <c r="F62" i="11"/>
  <c r="E62" i="11"/>
  <c r="F61" i="11"/>
  <c r="E61" i="11"/>
  <c r="F60" i="11"/>
  <c r="E60" i="11"/>
  <c r="F59" i="11"/>
  <c r="E59" i="11"/>
  <c r="F58" i="11"/>
  <c r="E58" i="11"/>
  <c r="F57" i="11"/>
  <c r="E57" i="11"/>
  <c r="F56" i="11"/>
  <c r="E56" i="11"/>
  <c r="F55" i="11"/>
  <c r="E55" i="11"/>
  <c r="F54" i="11"/>
  <c r="E54" i="11"/>
  <c r="F53" i="11"/>
  <c r="E53" i="11"/>
  <c r="F52" i="11"/>
  <c r="E52" i="11"/>
  <c r="F51" i="11"/>
  <c r="E51" i="11"/>
  <c r="F50" i="11"/>
  <c r="E50" i="11"/>
  <c r="F49" i="11"/>
  <c r="E49" i="11"/>
  <c r="F48" i="11"/>
  <c r="E48" i="11"/>
  <c r="F47" i="11"/>
  <c r="E47" i="11"/>
  <c r="F46" i="11"/>
  <c r="E46" i="11"/>
  <c r="F45" i="11"/>
  <c r="E45" i="11"/>
  <c r="F44" i="11"/>
  <c r="E44" i="11"/>
  <c r="F43" i="11"/>
  <c r="E43" i="11"/>
  <c r="F42" i="11"/>
  <c r="E42" i="11"/>
  <c r="F41" i="11"/>
  <c r="E41" i="11"/>
  <c r="F40" i="11"/>
  <c r="E40" i="11"/>
  <c r="F39" i="11"/>
  <c r="E39" i="11"/>
  <c r="F38" i="11"/>
  <c r="E38" i="11"/>
  <c r="F37" i="11"/>
  <c r="E37" i="11"/>
  <c r="F36" i="11"/>
  <c r="E36" i="11"/>
  <c r="F35" i="11"/>
  <c r="E35" i="11"/>
  <c r="F34" i="11"/>
  <c r="E34" i="11"/>
  <c r="F33" i="11"/>
  <c r="E33" i="11"/>
  <c r="F32" i="11"/>
  <c r="E32" i="11"/>
  <c r="F31" i="11"/>
  <c r="E31" i="11"/>
  <c r="F30" i="11"/>
  <c r="E30" i="11"/>
  <c r="F29" i="11"/>
  <c r="E29" i="11"/>
  <c r="F28" i="11"/>
  <c r="E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0" i="11"/>
  <c r="E20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F6" i="11"/>
  <c r="E6" i="11"/>
  <c r="F5" i="11"/>
  <c r="E5" i="11"/>
  <c r="F4" i="11"/>
  <c r="E4" i="11"/>
  <c r="F3" i="11"/>
  <c r="E3" i="11"/>
  <c r="E2" i="11"/>
  <c r="F2" i="11"/>
  <c r="J2" i="5"/>
  <c r="I2" i="5"/>
  <c r="H2" i="5"/>
  <c r="G2" i="5"/>
  <c r="J501" i="5"/>
  <c r="I501" i="5"/>
  <c r="H501" i="5"/>
  <c r="G501" i="5"/>
  <c r="J500" i="5"/>
  <c r="I500" i="5"/>
  <c r="H500" i="5"/>
  <c r="G500" i="5"/>
  <c r="J499" i="5"/>
  <c r="I499" i="5"/>
  <c r="H499" i="5"/>
  <c r="G499" i="5"/>
  <c r="J498" i="5"/>
  <c r="I498" i="5"/>
  <c r="H498" i="5"/>
  <c r="G498" i="5"/>
  <c r="J497" i="5"/>
  <c r="I497" i="5"/>
  <c r="H497" i="5"/>
  <c r="G497" i="5"/>
  <c r="J496" i="5"/>
  <c r="I496" i="5"/>
  <c r="H496" i="5"/>
  <c r="G496" i="5"/>
  <c r="J495" i="5"/>
  <c r="I495" i="5"/>
  <c r="H495" i="5"/>
  <c r="G495" i="5"/>
  <c r="J494" i="5"/>
  <c r="I494" i="5"/>
  <c r="H494" i="5"/>
  <c r="G494" i="5"/>
  <c r="J493" i="5"/>
  <c r="I493" i="5"/>
  <c r="H493" i="5"/>
  <c r="G493" i="5"/>
  <c r="J492" i="5"/>
  <c r="I492" i="5"/>
  <c r="H492" i="5"/>
  <c r="G492" i="5"/>
  <c r="J491" i="5"/>
  <c r="I491" i="5"/>
  <c r="H491" i="5"/>
  <c r="G491" i="5"/>
  <c r="J490" i="5"/>
  <c r="I490" i="5"/>
  <c r="H490" i="5"/>
  <c r="G490" i="5"/>
  <c r="J489" i="5"/>
  <c r="I489" i="5"/>
  <c r="H489" i="5"/>
  <c r="G489" i="5"/>
  <c r="J488" i="5"/>
  <c r="I488" i="5"/>
  <c r="H488" i="5"/>
  <c r="G488" i="5"/>
  <c r="J487" i="5"/>
  <c r="I487" i="5"/>
  <c r="H487" i="5"/>
  <c r="G487" i="5"/>
  <c r="J486" i="5"/>
  <c r="I486" i="5"/>
  <c r="H486" i="5"/>
  <c r="G486" i="5"/>
  <c r="J485" i="5"/>
  <c r="I485" i="5"/>
  <c r="H485" i="5"/>
  <c r="G485" i="5"/>
  <c r="J484" i="5"/>
  <c r="I484" i="5"/>
  <c r="H484" i="5"/>
  <c r="G484" i="5"/>
  <c r="J483" i="5"/>
  <c r="I483" i="5"/>
  <c r="H483" i="5"/>
  <c r="G483" i="5"/>
  <c r="J482" i="5"/>
  <c r="I482" i="5"/>
  <c r="H482" i="5"/>
  <c r="G482" i="5"/>
  <c r="J481" i="5"/>
  <c r="I481" i="5"/>
  <c r="H481" i="5"/>
  <c r="G481" i="5"/>
  <c r="J480" i="5"/>
  <c r="I480" i="5"/>
  <c r="H480" i="5"/>
  <c r="G480" i="5"/>
  <c r="J479" i="5"/>
  <c r="I479" i="5"/>
  <c r="H479" i="5"/>
  <c r="G479" i="5"/>
  <c r="J478" i="5"/>
  <c r="I478" i="5"/>
  <c r="H478" i="5"/>
  <c r="G478" i="5"/>
  <c r="J477" i="5"/>
  <c r="I477" i="5"/>
  <c r="H477" i="5"/>
  <c r="G477" i="5"/>
  <c r="J476" i="5"/>
  <c r="I476" i="5"/>
  <c r="H476" i="5"/>
  <c r="G476" i="5"/>
  <c r="J475" i="5"/>
  <c r="I475" i="5"/>
  <c r="H475" i="5"/>
  <c r="G475" i="5"/>
  <c r="J474" i="5"/>
  <c r="I474" i="5"/>
  <c r="H474" i="5"/>
  <c r="G474" i="5"/>
  <c r="J473" i="5"/>
  <c r="I473" i="5"/>
  <c r="H473" i="5"/>
  <c r="G473" i="5"/>
  <c r="J472" i="5"/>
  <c r="I472" i="5"/>
  <c r="H472" i="5"/>
  <c r="G472" i="5"/>
  <c r="J471" i="5"/>
  <c r="I471" i="5"/>
  <c r="H471" i="5"/>
  <c r="G471" i="5"/>
  <c r="J470" i="5"/>
  <c r="I470" i="5"/>
  <c r="H470" i="5"/>
  <c r="G470" i="5"/>
  <c r="J469" i="5"/>
  <c r="I469" i="5"/>
  <c r="H469" i="5"/>
  <c r="G469" i="5"/>
  <c r="J468" i="5"/>
  <c r="I468" i="5"/>
  <c r="H468" i="5"/>
  <c r="G468" i="5"/>
  <c r="J467" i="5"/>
  <c r="I467" i="5"/>
  <c r="H467" i="5"/>
  <c r="G467" i="5"/>
  <c r="J466" i="5"/>
  <c r="I466" i="5"/>
  <c r="H466" i="5"/>
  <c r="G466" i="5"/>
  <c r="J465" i="5"/>
  <c r="I465" i="5"/>
  <c r="H465" i="5"/>
  <c r="G465" i="5"/>
  <c r="J464" i="5"/>
  <c r="I464" i="5"/>
  <c r="H464" i="5"/>
  <c r="G464" i="5"/>
  <c r="J463" i="5"/>
  <c r="I463" i="5"/>
  <c r="H463" i="5"/>
  <c r="G463" i="5"/>
  <c r="J462" i="5"/>
  <c r="I462" i="5"/>
  <c r="H462" i="5"/>
  <c r="G462" i="5"/>
  <c r="J461" i="5"/>
  <c r="I461" i="5"/>
  <c r="H461" i="5"/>
  <c r="G461" i="5"/>
  <c r="J460" i="5"/>
  <c r="I460" i="5"/>
  <c r="H460" i="5"/>
  <c r="G460" i="5"/>
  <c r="J459" i="5"/>
  <c r="I459" i="5"/>
  <c r="H459" i="5"/>
  <c r="G459" i="5"/>
  <c r="J458" i="5"/>
  <c r="I458" i="5"/>
  <c r="H458" i="5"/>
  <c r="G458" i="5"/>
  <c r="J457" i="5"/>
  <c r="I457" i="5"/>
  <c r="H457" i="5"/>
  <c r="G457" i="5"/>
  <c r="J456" i="5"/>
  <c r="I456" i="5"/>
  <c r="H456" i="5"/>
  <c r="G456" i="5"/>
  <c r="J455" i="5"/>
  <c r="I455" i="5"/>
  <c r="H455" i="5"/>
  <c r="G455" i="5"/>
  <c r="J454" i="5"/>
  <c r="I454" i="5"/>
  <c r="H454" i="5"/>
  <c r="G454" i="5"/>
  <c r="J453" i="5"/>
  <c r="I453" i="5"/>
  <c r="H453" i="5"/>
  <c r="G453" i="5"/>
  <c r="J452" i="5"/>
  <c r="I452" i="5"/>
  <c r="H452" i="5"/>
  <c r="G452" i="5"/>
  <c r="J451" i="5"/>
  <c r="I451" i="5"/>
  <c r="H451" i="5"/>
  <c r="G451" i="5"/>
  <c r="J450" i="5"/>
  <c r="I450" i="5"/>
  <c r="H450" i="5"/>
  <c r="G450" i="5"/>
  <c r="J449" i="5"/>
  <c r="I449" i="5"/>
  <c r="H449" i="5"/>
  <c r="G449" i="5"/>
  <c r="J448" i="5"/>
  <c r="I448" i="5"/>
  <c r="H448" i="5"/>
  <c r="G448" i="5"/>
  <c r="J447" i="5"/>
  <c r="I447" i="5"/>
  <c r="H447" i="5"/>
  <c r="G447" i="5"/>
  <c r="J446" i="5"/>
  <c r="I446" i="5"/>
  <c r="H446" i="5"/>
  <c r="G446" i="5"/>
  <c r="J445" i="5"/>
  <c r="I445" i="5"/>
  <c r="H445" i="5"/>
  <c r="G445" i="5"/>
  <c r="J444" i="5"/>
  <c r="I444" i="5"/>
  <c r="H444" i="5"/>
  <c r="G444" i="5"/>
  <c r="J443" i="5"/>
  <c r="I443" i="5"/>
  <c r="H443" i="5"/>
  <c r="G443" i="5"/>
  <c r="J442" i="5"/>
  <c r="I442" i="5"/>
  <c r="H442" i="5"/>
  <c r="G442" i="5"/>
  <c r="J441" i="5"/>
  <c r="I441" i="5"/>
  <c r="H441" i="5"/>
  <c r="G441" i="5"/>
  <c r="J440" i="5"/>
  <c r="I440" i="5"/>
  <c r="H440" i="5"/>
  <c r="G440" i="5"/>
  <c r="J439" i="5"/>
  <c r="I439" i="5"/>
  <c r="H439" i="5"/>
  <c r="G439" i="5"/>
  <c r="J438" i="5"/>
  <c r="I438" i="5"/>
  <c r="H438" i="5"/>
  <c r="G438" i="5"/>
  <c r="J437" i="5"/>
  <c r="I437" i="5"/>
  <c r="H437" i="5"/>
  <c r="G437" i="5"/>
  <c r="J436" i="5"/>
  <c r="I436" i="5"/>
  <c r="H436" i="5"/>
  <c r="G436" i="5"/>
  <c r="J435" i="5"/>
  <c r="I435" i="5"/>
  <c r="H435" i="5"/>
  <c r="G435" i="5"/>
  <c r="J434" i="5"/>
  <c r="I434" i="5"/>
  <c r="H434" i="5"/>
  <c r="G434" i="5"/>
  <c r="J433" i="5"/>
  <c r="I433" i="5"/>
  <c r="H433" i="5"/>
  <c r="G433" i="5"/>
  <c r="J432" i="5"/>
  <c r="I432" i="5"/>
  <c r="H432" i="5"/>
  <c r="G432" i="5"/>
  <c r="J431" i="5"/>
  <c r="I431" i="5"/>
  <c r="H431" i="5"/>
  <c r="G431" i="5"/>
  <c r="J430" i="5"/>
  <c r="I430" i="5"/>
  <c r="H430" i="5"/>
  <c r="G430" i="5"/>
  <c r="J429" i="5"/>
  <c r="I429" i="5"/>
  <c r="H429" i="5"/>
  <c r="G429" i="5"/>
  <c r="J428" i="5"/>
  <c r="I428" i="5"/>
  <c r="H428" i="5"/>
  <c r="G428" i="5"/>
  <c r="J427" i="5"/>
  <c r="I427" i="5"/>
  <c r="H427" i="5"/>
  <c r="G427" i="5"/>
  <c r="J426" i="5"/>
  <c r="I426" i="5"/>
  <c r="H426" i="5"/>
  <c r="G426" i="5"/>
  <c r="J425" i="5"/>
  <c r="I425" i="5"/>
  <c r="H425" i="5"/>
  <c r="G425" i="5"/>
  <c r="J424" i="5"/>
  <c r="I424" i="5"/>
  <c r="H424" i="5"/>
  <c r="G424" i="5"/>
  <c r="J423" i="5"/>
  <c r="I423" i="5"/>
  <c r="H423" i="5"/>
  <c r="G423" i="5"/>
  <c r="J422" i="5"/>
  <c r="I422" i="5"/>
  <c r="H422" i="5"/>
  <c r="G422" i="5"/>
  <c r="J421" i="5"/>
  <c r="I421" i="5"/>
  <c r="H421" i="5"/>
  <c r="G421" i="5"/>
  <c r="J420" i="5"/>
  <c r="I420" i="5"/>
  <c r="H420" i="5"/>
  <c r="G420" i="5"/>
  <c r="J419" i="5"/>
  <c r="I419" i="5"/>
  <c r="H419" i="5"/>
  <c r="G419" i="5"/>
  <c r="J418" i="5"/>
  <c r="I418" i="5"/>
  <c r="H418" i="5"/>
  <c r="G418" i="5"/>
  <c r="J417" i="5"/>
  <c r="I417" i="5"/>
  <c r="H417" i="5"/>
  <c r="G417" i="5"/>
  <c r="J416" i="5"/>
  <c r="I416" i="5"/>
  <c r="H416" i="5"/>
  <c r="G416" i="5"/>
  <c r="J415" i="5"/>
  <c r="I415" i="5"/>
  <c r="H415" i="5"/>
  <c r="G415" i="5"/>
  <c r="J414" i="5"/>
  <c r="I414" i="5"/>
  <c r="H414" i="5"/>
  <c r="G414" i="5"/>
  <c r="J413" i="5"/>
  <c r="I413" i="5"/>
  <c r="H413" i="5"/>
  <c r="G413" i="5"/>
  <c r="J412" i="5"/>
  <c r="I412" i="5"/>
  <c r="H412" i="5"/>
  <c r="G412" i="5"/>
  <c r="J411" i="5"/>
  <c r="I411" i="5"/>
  <c r="H411" i="5"/>
  <c r="G411" i="5"/>
  <c r="J410" i="5"/>
  <c r="I410" i="5"/>
  <c r="H410" i="5"/>
  <c r="G410" i="5"/>
  <c r="J409" i="5"/>
  <c r="I409" i="5"/>
  <c r="H409" i="5"/>
  <c r="G409" i="5"/>
  <c r="J408" i="5"/>
  <c r="I408" i="5"/>
  <c r="H408" i="5"/>
  <c r="G408" i="5"/>
  <c r="J407" i="5"/>
  <c r="I407" i="5"/>
  <c r="H407" i="5"/>
  <c r="G407" i="5"/>
  <c r="J406" i="5"/>
  <c r="I406" i="5"/>
  <c r="H406" i="5"/>
  <c r="G406" i="5"/>
  <c r="J405" i="5"/>
  <c r="I405" i="5"/>
  <c r="H405" i="5"/>
  <c r="G405" i="5"/>
  <c r="J404" i="5"/>
  <c r="I404" i="5"/>
  <c r="H404" i="5"/>
  <c r="G404" i="5"/>
  <c r="J403" i="5"/>
  <c r="I403" i="5"/>
  <c r="H403" i="5"/>
  <c r="G403" i="5"/>
  <c r="J402" i="5"/>
  <c r="I402" i="5"/>
  <c r="H402" i="5"/>
  <c r="G402" i="5"/>
  <c r="J401" i="5"/>
  <c r="I401" i="5"/>
  <c r="H401" i="5"/>
  <c r="G401" i="5"/>
  <c r="J400" i="5"/>
  <c r="I400" i="5"/>
  <c r="H400" i="5"/>
  <c r="G400" i="5"/>
  <c r="J399" i="5"/>
  <c r="I399" i="5"/>
  <c r="H399" i="5"/>
  <c r="G399" i="5"/>
  <c r="J398" i="5"/>
  <c r="I398" i="5"/>
  <c r="H398" i="5"/>
  <c r="G398" i="5"/>
  <c r="J397" i="5"/>
  <c r="I397" i="5"/>
  <c r="H397" i="5"/>
  <c r="G397" i="5"/>
  <c r="J396" i="5"/>
  <c r="I396" i="5"/>
  <c r="H396" i="5"/>
  <c r="G396" i="5"/>
  <c r="J395" i="5"/>
  <c r="I395" i="5"/>
  <c r="H395" i="5"/>
  <c r="G395" i="5"/>
  <c r="J394" i="5"/>
  <c r="I394" i="5"/>
  <c r="H394" i="5"/>
  <c r="G394" i="5"/>
  <c r="J393" i="5"/>
  <c r="I393" i="5"/>
  <c r="H393" i="5"/>
  <c r="G393" i="5"/>
  <c r="J392" i="5"/>
  <c r="I392" i="5"/>
  <c r="H392" i="5"/>
  <c r="G392" i="5"/>
  <c r="J391" i="5"/>
  <c r="I391" i="5"/>
  <c r="H391" i="5"/>
  <c r="G391" i="5"/>
  <c r="J390" i="5"/>
  <c r="I390" i="5"/>
  <c r="H390" i="5"/>
  <c r="G390" i="5"/>
  <c r="J389" i="5"/>
  <c r="I389" i="5"/>
  <c r="H389" i="5"/>
  <c r="G389" i="5"/>
  <c r="J388" i="5"/>
  <c r="I388" i="5"/>
  <c r="H388" i="5"/>
  <c r="G388" i="5"/>
  <c r="J387" i="5"/>
  <c r="I387" i="5"/>
  <c r="H387" i="5"/>
  <c r="G387" i="5"/>
  <c r="J386" i="5"/>
  <c r="I386" i="5"/>
  <c r="H386" i="5"/>
  <c r="G386" i="5"/>
  <c r="J385" i="5"/>
  <c r="I385" i="5"/>
  <c r="H385" i="5"/>
  <c r="G385" i="5"/>
  <c r="J384" i="5"/>
  <c r="I384" i="5"/>
  <c r="H384" i="5"/>
  <c r="G384" i="5"/>
  <c r="J383" i="5"/>
  <c r="I383" i="5"/>
  <c r="H383" i="5"/>
  <c r="G383" i="5"/>
  <c r="J382" i="5"/>
  <c r="I382" i="5"/>
  <c r="H382" i="5"/>
  <c r="G382" i="5"/>
  <c r="J381" i="5"/>
  <c r="I381" i="5"/>
  <c r="H381" i="5"/>
  <c r="G381" i="5"/>
  <c r="J380" i="5"/>
  <c r="I380" i="5"/>
  <c r="H380" i="5"/>
  <c r="G380" i="5"/>
  <c r="J379" i="5"/>
  <c r="I379" i="5"/>
  <c r="H379" i="5"/>
  <c r="G379" i="5"/>
  <c r="J378" i="5"/>
  <c r="I378" i="5"/>
  <c r="H378" i="5"/>
  <c r="G378" i="5"/>
  <c r="J377" i="5"/>
  <c r="I377" i="5"/>
  <c r="H377" i="5"/>
  <c r="G377" i="5"/>
  <c r="J376" i="5"/>
  <c r="I376" i="5"/>
  <c r="H376" i="5"/>
  <c r="G376" i="5"/>
  <c r="J375" i="5"/>
  <c r="I375" i="5"/>
  <c r="H375" i="5"/>
  <c r="G375" i="5"/>
  <c r="J374" i="5"/>
  <c r="I374" i="5"/>
  <c r="H374" i="5"/>
  <c r="G374" i="5"/>
  <c r="J373" i="5"/>
  <c r="I373" i="5"/>
  <c r="H373" i="5"/>
  <c r="G373" i="5"/>
  <c r="J372" i="5"/>
  <c r="I372" i="5"/>
  <c r="H372" i="5"/>
  <c r="G372" i="5"/>
  <c r="J371" i="5"/>
  <c r="I371" i="5"/>
  <c r="H371" i="5"/>
  <c r="G371" i="5"/>
  <c r="J370" i="5"/>
  <c r="I370" i="5"/>
  <c r="H370" i="5"/>
  <c r="G370" i="5"/>
  <c r="J369" i="5"/>
  <c r="I369" i="5"/>
  <c r="H369" i="5"/>
  <c r="G369" i="5"/>
  <c r="J368" i="5"/>
  <c r="I368" i="5"/>
  <c r="H368" i="5"/>
  <c r="G368" i="5"/>
  <c r="J367" i="5"/>
  <c r="I367" i="5"/>
  <c r="H367" i="5"/>
  <c r="G367" i="5"/>
  <c r="J366" i="5"/>
  <c r="I366" i="5"/>
  <c r="H366" i="5"/>
  <c r="G366" i="5"/>
  <c r="J365" i="5"/>
  <c r="I365" i="5"/>
  <c r="H365" i="5"/>
  <c r="G365" i="5"/>
  <c r="J364" i="5"/>
  <c r="I364" i="5"/>
  <c r="H364" i="5"/>
  <c r="G364" i="5"/>
  <c r="J363" i="5"/>
  <c r="I363" i="5"/>
  <c r="H363" i="5"/>
  <c r="G363" i="5"/>
  <c r="J362" i="5"/>
  <c r="I362" i="5"/>
  <c r="H362" i="5"/>
  <c r="G362" i="5"/>
  <c r="J361" i="5"/>
  <c r="I361" i="5"/>
  <c r="H361" i="5"/>
  <c r="G361" i="5"/>
  <c r="J360" i="5"/>
  <c r="I360" i="5"/>
  <c r="H360" i="5"/>
  <c r="G360" i="5"/>
  <c r="J359" i="5"/>
  <c r="I359" i="5"/>
  <c r="H359" i="5"/>
  <c r="G359" i="5"/>
  <c r="J358" i="5"/>
  <c r="I358" i="5"/>
  <c r="H358" i="5"/>
  <c r="G358" i="5"/>
  <c r="J357" i="5"/>
  <c r="I357" i="5"/>
  <c r="H357" i="5"/>
  <c r="G357" i="5"/>
  <c r="J356" i="5"/>
  <c r="I356" i="5"/>
  <c r="H356" i="5"/>
  <c r="G356" i="5"/>
  <c r="J355" i="5"/>
  <c r="I355" i="5"/>
  <c r="H355" i="5"/>
  <c r="G355" i="5"/>
  <c r="J354" i="5"/>
  <c r="I354" i="5"/>
  <c r="H354" i="5"/>
  <c r="G354" i="5"/>
  <c r="J353" i="5"/>
  <c r="I353" i="5"/>
  <c r="H353" i="5"/>
  <c r="G353" i="5"/>
  <c r="J352" i="5"/>
  <c r="I352" i="5"/>
  <c r="H352" i="5"/>
  <c r="G352" i="5"/>
  <c r="J351" i="5"/>
  <c r="I351" i="5"/>
  <c r="H351" i="5"/>
  <c r="G351" i="5"/>
  <c r="J350" i="5"/>
  <c r="I350" i="5"/>
  <c r="H350" i="5"/>
  <c r="G350" i="5"/>
  <c r="J349" i="5"/>
  <c r="I349" i="5"/>
  <c r="H349" i="5"/>
  <c r="G349" i="5"/>
  <c r="J348" i="5"/>
  <c r="I348" i="5"/>
  <c r="H348" i="5"/>
  <c r="G348" i="5"/>
  <c r="J347" i="5"/>
  <c r="I347" i="5"/>
  <c r="H347" i="5"/>
  <c r="G347" i="5"/>
  <c r="J346" i="5"/>
  <c r="I346" i="5"/>
  <c r="H346" i="5"/>
  <c r="G346" i="5"/>
  <c r="J345" i="5"/>
  <c r="I345" i="5"/>
  <c r="H345" i="5"/>
  <c r="G345" i="5"/>
  <c r="J344" i="5"/>
  <c r="I344" i="5"/>
  <c r="H344" i="5"/>
  <c r="G344" i="5"/>
  <c r="J343" i="5"/>
  <c r="I343" i="5"/>
  <c r="H343" i="5"/>
  <c r="G343" i="5"/>
  <c r="J342" i="5"/>
  <c r="I342" i="5"/>
  <c r="H342" i="5"/>
  <c r="G342" i="5"/>
  <c r="J341" i="5"/>
  <c r="I341" i="5"/>
  <c r="H341" i="5"/>
  <c r="G341" i="5"/>
  <c r="J340" i="5"/>
  <c r="I340" i="5"/>
  <c r="H340" i="5"/>
  <c r="G340" i="5"/>
  <c r="J339" i="5"/>
  <c r="I339" i="5"/>
  <c r="H339" i="5"/>
  <c r="G339" i="5"/>
  <c r="J338" i="5"/>
  <c r="I338" i="5"/>
  <c r="H338" i="5"/>
  <c r="G338" i="5"/>
  <c r="J337" i="5"/>
  <c r="I337" i="5"/>
  <c r="H337" i="5"/>
  <c r="G337" i="5"/>
  <c r="J336" i="5"/>
  <c r="I336" i="5"/>
  <c r="H336" i="5"/>
  <c r="G336" i="5"/>
  <c r="J335" i="5"/>
  <c r="I335" i="5"/>
  <c r="H335" i="5"/>
  <c r="G335" i="5"/>
  <c r="J334" i="5"/>
  <c r="I334" i="5"/>
  <c r="H334" i="5"/>
  <c r="G334" i="5"/>
  <c r="J333" i="5"/>
  <c r="I333" i="5"/>
  <c r="H333" i="5"/>
  <c r="G333" i="5"/>
  <c r="J332" i="5"/>
  <c r="I332" i="5"/>
  <c r="H332" i="5"/>
  <c r="G332" i="5"/>
  <c r="J331" i="5"/>
  <c r="I331" i="5"/>
  <c r="H331" i="5"/>
  <c r="G331" i="5"/>
  <c r="J330" i="5"/>
  <c r="I330" i="5"/>
  <c r="H330" i="5"/>
  <c r="G330" i="5"/>
  <c r="J329" i="5"/>
  <c r="I329" i="5"/>
  <c r="H329" i="5"/>
  <c r="G329" i="5"/>
  <c r="J328" i="5"/>
  <c r="I328" i="5"/>
  <c r="H328" i="5"/>
  <c r="G328" i="5"/>
  <c r="J327" i="5"/>
  <c r="I327" i="5"/>
  <c r="H327" i="5"/>
  <c r="G327" i="5"/>
  <c r="J326" i="5"/>
  <c r="I326" i="5"/>
  <c r="H326" i="5"/>
  <c r="G326" i="5"/>
  <c r="J325" i="5"/>
  <c r="I325" i="5"/>
  <c r="H325" i="5"/>
  <c r="G325" i="5"/>
  <c r="J324" i="5"/>
  <c r="I324" i="5"/>
  <c r="H324" i="5"/>
  <c r="G324" i="5"/>
  <c r="J323" i="5"/>
  <c r="I323" i="5"/>
  <c r="H323" i="5"/>
  <c r="G323" i="5"/>
  <c r="J322" i="5"/>
  <c r="I322" i="5"/>
  <c r="H322" i="5"/>
  <c r="G322" i="5"/>
  <c r="J321" i="5"/>
  <c r="I321" i="5"/>
  <c r="H321" i="5"/>
  <c r="G321" i="5"/>
  <c r="J320" i="5"/>
  <c r="I320" i="5"/>
  <c r="H320" i="5"/>
  <c r="G320" i="5"/>
  <c r="J319" i="5"/>
  <c r="I319" i="5"/>
  <c r="H319" i="5"/>
  <c r="G319" i="5"/>
  <c r="J318" i="5"/>
  <c r="I318" i="5"/>
  <c r="H318" i="5"/>
  <c r="G318" i="5"/>
  <c r="J317" i="5"/>
  <c r="I317" i="5"/>
  <c r="H317" i="5"/>
  <c r="G317" i="5"/>
  <c r="J316" i="5"/>
  <c r="I316" i="5"/>
  <c r="H316" i="5"/>
  <c r="G316" i="5"/>
  <c r="J315" i="5"/>
  <c r="I315" i="5"/>
  <c r="H315" i="5"/>
  <c r="G315" i="5"/>
  <c r="J314" i="5"/>
  <c r="I314" i="5"/>
  <c r="H314" i="5"/>
  <c r="G314" i="5"/>
  <c r="J313" i="5"/>
  <c r="I313" i="5"/>
  <c r="H313" i="5"/>
  <c r="G313" i="5"/>
  <c r="J312" i="5"/>
  <c r="I312" i="5"/>
  <c r="H312" i="5"/>
  <c r="G312" i="5"/>
  <c r="J311" i="5"/>
  <c r="I311" i="5"/>
  <c r="H311" i="5"/>
  <c r="G311" i="5"/>
  <c r="J310" i="5"/>
  <c r="I310" i="5"/>
  <c r="H310" i="5"/>
  <c r="G310" i="5"/>
  <c r="J309" i="5"/>
  <c r="I309" i="5"/>
  <c r="H309" i="5"/>
  <c r="G309" i="5"/>
  <c r="J308" i="5"/>
  <c r="I308" i="5"/>
  <c r="H308" i="5"/>
  <c r="G308" i="5"/>
  <c r="J307" i="5"/>
  <c r="I307" i="5"/>
  <c r="H307" i="5"/>
  <c r="G307" i="5"/>
  <c r="J306" i="5"/>
  <c r="I306" i="5"/>
  <c r="H306" i="5"/>
  <c r="G306" i="5"/>
  <c r="J305" i="5"/>
  <c r="I305" i="5"/>
  <c r="H305" i="5"/>
  <c r="G305" i="5"/>
  <c r="J304" i="5"/>
  <c r="I304" i="5"/>
  <c r="H304" i="5"/>
  <c r="G304" i="5"/>
  <c r="J303" i="5"/>
  <c r="I303" i="5"/>
  <c r="H303" i="5"/>
  <c r="G303" i="5"/>
  <c r="J302" i="5"/>
  <c r="I302" i="5"/>
  <c r="H302" i="5"/>
  <c r="G302" i="5"/>
  <c r="J301" i="5"/>
  <c r="I301" i="5"/>
  <c r="H301" i="5"/>
  <c r="G301" i="5"/>
  <c r="J300" i="5"/>
  <c r="I300" i="5"/>
  <c r="H300" i="5"/>
  <c r="G300" i="5"/>
  <c r="J299" i="5"/>
  <c r="I299" i="5"/>
  <c r="H299" i="5"/>
  <c r="G299" i="5"/>
  <c r="J298" i="5"/>
  <c r="I298" i="5"/>
  <c r="H298" i="5"/>
  <c r="G298" i="5"/>
  <c r="J297" i="5"/>
  <c r="I297" i="5"/>
  <c r="H297" i="5"/>
  <c r="G297" i="5"/>
  <c r="J296" i="5"/>
  <c r="I296" i="5"/>
  <c r="H296" i="5"/>
  <c r="G296" i="5"/>
  <c r="J295" i="5"/>
  <c r="I295" i="5"/>
  <c r="H295" i="5"/>
  <c r="G295" i="5"/>
  <c r="J294" i="5"/>
  <c r="I294" i="5"/>
  <c r="H294" i="5"/>
  <c r="G294" i="5"/>
  <c r="J293" i="5"/>
  <c r="I293" i="5"/>
  <c r="H293" i="5"/>
  <c r="G293" i="5"/>
  <c r="J292" i="5"/>
  <c r="I292" i="5"/>
  <c r="H292" i="5"/>
  <c r="G292" i="5"/>
  <c r="J291" i="5"/>
  <c r="I291" i="5"/>
  <c r="H291" i="5"/>
  <c r="G291" i="5"/>
  <c r="J290" i="5"/>
  <c r="I290" i="5"/>
  <c r="H290" i="5"/>
  <c r="G290" i="5"/>
  <c r="J289" i="5"/>
  <c r="I289" i="5"/>
  <c r="H289" i="5"/>
  <c r="G289" i="5"/>
  <c r="J288" i="5"/>
  <c r="I288" i="5"/>
  <c r="H288" i="5"/>
  <c r="G288" i="5"/>
  <c r="J287" i="5"/>
  <c r="I287" i="5"/>
  <c r="H287" i="5"/>
  <c r="G287" i="5"/>
  <c r="J286" i="5"/>
  <c r="I286" i="5"/>
  <c r="H286" i="5"/>
  <c r="G286" i="5"/>
  <c r="J285" i="5"/>
  <c r="I285" i="5"/>
  <c r="H285" i="5"/>
  <c r="G285" i="5"/>
  <c r="J284" i="5"/>
  <c r="I284" i="5"/>
  <c r="H284" i="5"/>
  <c r="G284" i="5"/>
  <c r="J283" i="5"/>
  <c r="I283" i="5"/>
  <c r="H283" i="5"/>
  <c r="G283" i="5"/>
  <c r="J282" i="5"/>
  <c r="I282" i="5"/>
  <c r="H282" i="5"/>
  <c r="G282" i="5"/>
  <c r="J281" i="5"/>
  <c r="I281" i="5"/>
  <c r="H281" i="5"/>
  <c r="G281" i="5"/>
  <c r="J280" i="5"/>
  <c r="I280" i="5"/>
  <c r="H280" i="5"/>
  <c r="G280" i="5"/>
  <c r="J279" i="5"/>
  <c r="I279" i="5"/>
  <c r="H279" i="5"/>
  <c r="G279" i="5"/>
  <c r="J278" i="5"/>
  <c r="I278" i="5"/>
  <c r="H278" i="5"/>
  <c r="G278" i="5"/>
  <c r="J277" i="5"/>
  <c r="I277" i="5"/>
  <c r="H277" i="5"/>
  <c r="G277" i="5"/>
  <c r="J276" i="5"/>
  <c r="I276" i="5"/>
  <c r="H276" i="5"/>
  <c r="G276" i="5"/>
  <c r="J275" i="5"/>
  <c r="I275" i="5"/>
  <c r="H275" i="5"/>
  <c r="G275" i="5"/>
  <c r="J274" i="5"/>
  <c r="I274" i="5"/>
  <c r="H274" i="5"/>
  <c r="G274" i="5"/>
  <c r="J273" i="5"/>
  <c r="I273" i="5"/>
  <c r="H273" i="5"/>
  <c r="G273" i="5"/>
  <c r="J272" i="5"/>
  <c r="I272" i="5"/>
  <c r="H272" i="5"/>
  <c r="G272" i="5"/>
  <c r="J271" i="5"/>
  <c r="I271" i="5"/>
  <c r="H271" i="5"/>
  <c r="G271" i="5"/>
  <c r="J270" i="5"/>
  <c r="I270" i="5"/>
  <c r="H270" i="5"/>
  <c r="G270" i="5"/>
  <c r="J269" i="5"/>
  <c r="I269" i="5"/>
  <c r="H269" i="5"/>
  <c r="G269" i="5"/>
  <c r="J268" i="5"/>
  <c r="I268" i="5"/>
  <c r="H268" i="5"/>
  <c r="G268" i="5"/>
  <c r="J267" i="5"/>
  <c r="I267" i="5"/>
  <c r="H267" i="5"/>
  <c r="G267" i="5"/>
  <c r="J266" i="5"/>
  <c r="I266" i="5"/>
  <c r="H266" i="5"/>
  <c r="G266" i="5"/>
  <c r="J265" i="5"/>
  <c r="I265" i="5"/>
  <c r="H265" i="5"/>
  <c r="G265" i="5"/>
  <c r="J264" i="5"/>
  <c r="I264" i="5"/>
  <c r="H264" i="5"/>
  <c r="G264" i="5"/>
  <c r="J263" i="5"/>
  <c r="I263" i="5"/>
  <c r="H263" i="5"/>
  <c r="G263" i="5"/>
  <c r="J262" i="5"/>
  <c r="I262" i="5"/>
  <c r="H262" i="5"/>
  <c r="G262" i="5"/>
  <c r="J261" i="5"/>
  <c r="I261" i="5"/>
  <c r="H261" i="5"/>
  <c r="G261" i="5"/>
  <c r="J260" i="5"/>
  <c r="I260" i="5"/>
  <c r="H260" i="5"/>
  <c r="G260" i="5"/>
  <c r="J259" i="5"/>
  <c r="I259" i="5"/>
  <c r="H259" i="5"/>
  <c r="G259" i="5"/>
  <c r="J258" i="5"/>
  <c r="I258" i="5"/>
  <c r="H258" i="5"/>
  <c r="G258" i="5"/>
  <c r="J257" i="5"/>
  <c r="I257" i="5"/>
  <c r="H257" i="5"/>
  <c r="G257" i="5"/>
  <c r="J256" i="5"/>
  <c r="I256" i="5"/>
  <c r="H256" i="5"/>
  <c r="G256" i="5"/>
  <c r="J255" i="5"/>
  <c r="I255" i="5"/>
  <c r="H255" i="5"/>
  <c r="G255" i="5"/>
  <c r="J254" i="5"/>
  <c r="I254" i="5"/>
  <c r="H254" i="5"/>
  <c r="G254" i="5"/>
  <c r="J253" i="5"/>
  <c r="I253" i="5"/>
  <c r="H253" i="5"/>
  <c r="G253" i="5"/>
  <c r="J252" i="5"/>
  <c r="I252" i="5"/>
  <c r="H252" i="5"/>
  <c r="G252" i="5"/>
  <c r="J251" i="5"/>
  <c r="I251" i="5"/>
  <c r="H251" i="5"/>
  <c r="G251" i="5"/>
  <c r="J250" i="5"/>
  <c r="I250" i="5"/>
  <c r="H250" i="5"/>
  <c r="G250" i="5"/>
  <c r="J249" i="5"/>
  <c r="I249" i="5"/>
  <c r="H249" i="5"/>
  <c r="G249" i="5"/>
  <c r="J248" i="5"/>
  <c r="I248" i="5"/>
  <c r="H248" i="5"/>
  <c r="G248" i="5"/>
  <c r="J247" i="5"/>
  <c r="I247" i="5"/>
  <c r="H247" i="5"/>
  <c r="G247" i="5"/>
  <c r="J246" i="5"/>
  <c r="I246" i="5"/>
  <c r="H246" i="5"/>
  <c r="G246" i="5"/>
  <c r="J245" i="5"/>
  <c r="I245" i="5"/>
  <c r="H245" i="5"/>
  <c r="G245" i="5"/>
  <c r="J244" i="5"/>
  <c r="I244" i="5"/>
  <c r="H244" i="5"/>
  <c r="G244" i="5"/>
  <c r="J243" i="5"/>
  <c r="I243" i="5"/>
  <c r="H243" i="5"/>
  <c r="G243" i="5"/>
  <c r="J242" i="5"/>
  <c r="I242" i="5"/>
  <c r="H242" i="5"/>
  <c r="G242" i="5"/>
  <c r="J241" i="5"/>
  <c r="I241" i="5"/>
  <c r="H241" i="5"/>
  <c r="G241" i="5"/>
  <c r="J240" i="5"/>
  <c r="I240" i="5"/>
  <c r="H240" i="5"/>
  <c r="G240" i="5"/>
  <c r="J239" i="5"/>
  <c r="I239" i="5"/>
  <c r="H239" i="5"/>
  <c r="G239" i="5"/>
  <c r="J238" i="5"/>
  <c r="I238" i="5"/>
  <c r="H238" i="5"/>
  <c r="G238" i="5"/>
  <c r="J237" i="5"/>
  <c r="I237" i="5"/>
  <c r="H237" i="5"/>
  <c r="G237" i="5"/>
  <c r="J236" i="5"/>
  <c r="I236" i="5"/>
  <c r="H236" i="5"/>
  <c r="G236" i="5"/>
  <c r="J235" i="5"/>
  <c r="I235" i="5"/>
  <c r="H235" i="5"/>
  <c r="G235" i="5"/>
  <c r="J234" i="5"/>
  <c r="I234" i="5"/>
  <c r="H234" i="5"/>
  <c r="G234" i="5"/>
  <c r="J233" i="5"/>
  <c r="I233" i="5"/>
  <c r="H233" i="5"/>
  <c r="G233" i="5"/>
  <c r="J232" i="5"/>
  <c r="I232" i="5"/>
  <c r="H232" i="5"/>
  <c r="G232" i="5"/>
  <c r="J231" i="5"/>
  <c r="I231" i="5"/>
  <c r="H231" i="5"/>
  <c r="G231" i="5"/>
  <c r="J230" i="5"/>
  <c r="I230" i="5"/>
  <c r="H230" i="5"/>
  <c r="G230" i="5"/>
  <c r="J229" i="5"/>
  <c r="I229" i="5"/>
  <c r="H229" i="5"/>
  <c r="G229" i="5"/>
  <c r="J228" i="5"/>
  <c r="I228" i="5"/>
  <c r="H228" i="5"/>
  <c r="G228" i="5"/>
  <c r="J227" i="5"/>
  <c r="I227" i="5"/>
  <c r="H227" i="5"/>
  <c r="G227" i="5"/>
  <c r="J226" i="5"/>
  <c r="I226" i="5"/>
  <c r="H226" i="5"/>
  <c r="G226" i="5"/>
  <c r="J225" i="5"/>
  <c r="I225" i="5"/>
  <c r="H225" i="5"/>
  <c r="G225" i="5"/>
  <c r="J224" i="5"/>
  <c r="I224" i="5"/>
  <c r="H224" i="5"/>
  <c r="G224" i="5"/>
  <c r="J223" i="5"/>
  <c r="I223" i="5"/>
  <c r="H223" i="5"/>
  <c r="G223" i="5"/>
  <c r="J222" i="5"/>
  <c r="I222" i="5"/>
  <c r="H222" i="5"/>
  <c r="G222" i="5"/>
  <c r="J221" i="5"/>
  <c r="I221" i="5"/>
  <c r="H221" i="5"/>
  <c r="G221" i="5"/>
  <c r="J220" i="5"/>
  <c r="I220" i="5"/>
  <c r="H220" i="5"/>
  <c r="G220" i="5"/>
  <c r="J219" i="5"/>
  <c r="I219" i="5"/>
  <c r="H219" i="5"/>
  <c r="G219" i="5"/>
  <c r="J218" i="5"/>
  <c r="I218" i="5"/>
  <c r="H218" i="5"/>
  <c r="G218" i="5"/>
  <c r="J217" i="5"/>
  <c r="I217" i="5"/>
  <c r="H217" i="5"/>
  <c r="G217" i="5"/>
  <c r="J216" i="5"/>
  <c r="I216" i="5"/>
  <c r="H216" i="5"/>
  <c r="G216" i="5"/>
  <c r="J215" i="5"/>
  <c r="I215" i="5"/>
  <c r="H215" i="5"/>
  <c r="G215" i="5"/>
  <c r="J214" i="5"/>
  <c r="I214" i="5"/>
  <c r="H214" i="5"/>
  <c r="G214" i="5"/>
  <c r="J213" i="5"/>
  <c r="I213" i="5"/>
  <c r="H213" i="5"/>
  <c r="G213" i="5"/>
  <c r="J212" i="5"/>
  <c r="I212" i="5"/>
  <c r="H212" i="5"/>
  <c r="G212" i="5"/>
  <c r="J211" i="5"/>
  <c r="I211" i="5"/>
  <c r="H211" i="5"/>
  <c r="G211" i="5"/>
  <c r="J210" i="5"/>
  <c r="I210" i="5"/>
  <c r="H210" i="5"/>
  <c r="G210" i="5"/>
  <c r="J209" i="5"/>
  <c r="I209" i="5"/>
  <c r="H209" i="5"/>
  <c r="G209" i="5"/>
  <c r="J208" i="5"/>
  <c r="I208" i="5"/>
  <c r="H208" i="5"/>
  <c r="G208" i="5"/>
  <c r="J207" i="5"/>
  <c r="I207" i="5"/>
  <c r="H207" i="5"/>
  <c r="G207" i="5"/>
  <c r="J206" i="5"/>
  <c r="I206" i="5"/>
  <c r="H206" i="5"/>
  <c r="G206" i="5"/>
  <c r="J205" i="5"/>
  <c r="I205" i="5"/>
  <c r="H205" i="5"/>
  <c r="G205" i="5"/>
  <c r="J204" i="5"/>
  <c r="I204" i="5"/>
  <c r="H204" i="5"/>
  <c r="G204" i="5"/>
  <c r="J203" i="5"/>
  <c r="I203" i="5"/>
  <c r="H203" i="5"/>
  <c r="G203" i="5"/>
  <c r="J202" i="5"/>
  <c r="I202" i="5"/>
  <c r="H202" i="5"/>
  <c r="G202" i="5"/>
  <c r="J201" i="5"/>
  <c r="I201" i="5"/>
  <c r="H201" i="5"/>
  <c r="G201" i="5"/>
  <c r="J200" i="5"/>
  <c r="I200" i="5"/>
  <c r="H200" i="5"/>
  <c r="G200" i="5"/>
  <c r="J199" i="5"/>
  <c r="I199" i="5"/>
  <c r="H199" i="5"/>
  <c r="G199" i="5"/>
  <c r="J198" i="5"/>
  <c r="I198" i="5"/>
  <c r="H198" i="5"/>
  <c r="G198" i="5"/>
  <c r="J197" i="5"/>
  <c r="I197" i="5"/>
  <c r="H197" i="5"/>
  <c r="G197" i="5"/>
  <c r="J196" i="5"/>
  <c r="I196" i="5"/>
  <c r="H196" i="5"/>
  <c r="G196" i="5"/>
  <c r="J195" i="5"/>
  <c r="I195" i="5"/>
  <c r="H195" i="5"/>
  <c r="G195" i="5"/>
  <c r="J194" i="5"/>
  <c r="I194" i="5"/>
  <c r="H194" i="5"/>
  <c r="G194" i="5"/>
  <c r="J193" i="5"/>
  <c r="I193" i="5"/>
  <c r="H193" i="5"/>
  <c r="G193" i="5"/>
  <c r="J192" i="5"/>
  <c r="I192" i="5"/>
  <c r="H192" i="5"/>
  <c r="G192" i="5"/>
  <c r="J191" i="5"/>
  <c r="I191" i="5"/>
  <c r="H191" i="5"/>
  <c r="G191" i="5"/>
  <c r="J190" i="5"/>
  <c r="I190" i="5"/>
  <c r="H190" i="5"/>
  <c r="G190" i="5"/>
  <c r="J189" i="5"/>
  <c r="I189" i="5"/>
  <c r="H189" i="5"/>
  <c r="G189" i="5"/>
  <c r="J188" i="5"/>
  <c r="I188" i="5"/>
  <c r="H188" i="5"/>
  <c r="G188" i="5"/>
  <c r="J187" i="5"/>
  <c r="I187" i="5"/>
  <c r="H187" i="5"/>
  <c r="G187" i="5"/>
  <c r="J186" i="5"/>
  <c r="I186" i="5"/>
  <c r="H186" i="5"/>
  <c r="G186" i="5"/>
  <c r="J185" i="5"/>
  <c r="I185" i="5"/>
  <c r="H185" i="5"/>
  <c r="G185" i="5"/>
  <c r="J184" i="5"/>
  <c r="I184" i="5"/>
  <c r="H184" i="5"/>
  <c r="G184" i="5"/>
  <c r="J183" i="5"/>
  <c r="I183" i="5"/>
  <c r="H183" i="5"/>
  <c r="G183" i="5"/>
  <c r="J182" i="5"/>
  <c r="I182" i="5"/>
  <c r="H182" i="5"/>
  <c r="G182" i="5"/>
  <c r="J181" i="5"/>
  <c r="I181" i="5"/>
  <c r="H181" i="5"/>
  <c r="G181" i="5"/>
  <c r="J180" i="5"/>
  <c r="I180" i="5"/>
  <c r="H180" i="5"/>
  <c r="G180" i="5"/>
  <c r="J179" i="5"/>
  <c r="I179" i="5"/>
  <c r="H179" i="5"/>
  <c r="G179" i="5"/>
  <c r="J178" i="5"/>
  <c r="I178" i="5"/>
  <c r="H178" i="5"/>
  <c r="G178" i="5"/>
  <c r="J177" i="5"/>
  <c r="I177" i="5"/>
  <c r="H177" i="5"/>
  <c r="G177" i="5"/>
  <c r="J176" i="5"/>
  <c r="I176" i="5"/>
  <c r="H176" i="5"/>
  <c r="G176" i="5"/>
  <c r="J175" i="5"/>
  <c r="I175" i="5"/>
  <c r="H175" i="5"/>
  <c r="G175" i="5"/>
  <c r="J174" i="5"/>
  <c r="I174" i="5"/>
  <c r="H174" i="5"/>
  <c r="G174" i="5"/>
  <c r="J173" i="5"/>
  <c r="I173" i="5"/>
  <c r="H173" i="5"/>
  <c r="G173" i="5"/>
  <c r="J172" i="5"/>
  <c r="I172" i="5"/>
  <c r="H172" i="5"/>
  <c r="G172" i="5"/>
  <c r="J171" i="5"/>
  <c r="I171" i="5"/>
  <c r="H171" i="5"/>
  <c r="G171" i="5"/>
  <c r="J170" i="5"/>
  <c r="I170" i="5"/>
  <c r="H170" i="5"/>
  <c r="G170" i="5"/>
  <c r="J169" i="5"/>
  <c r="I169" i="5"/>
  <c r="H169" i="5"/>
  <c r="G169" i="5"/>
  <c r="J168" i="5"/>
  <c r="I168" i="5"/>
  <c r="H168" i="5"/>
  <c r="G168" i="5"/>
  <c r="J167" i="5"/>
  <c r="I167" i="5"/>
  <c r="H167" i="5"/>
  <c r="G167" i="5"/>
  <c r="J166" i="5"/>
  <c r="I166" i="5"/>
  <c r="H166" i="5"/>
  <c r="G166" i="5"/>
  <c r="J165" i="5"/>
  <c r="I165" i="5"/>
  <c r="H165" i="5"/>
  <c r="G165" i="5"/>
  <c r="J164" i="5"/>
  <c r="I164" i="5"/>
  <c r="H164" i="5"/>
  <c r="G164" i="5"/>
  <c r="J163" i="5"/>
  <c r="I163" i="5"/>
  <c r="H163" i="5"/>
  <c r="G163" i="5"/>
  <c r="J162" i="5"/>
  <c r="I162" i="5"/>
  <c r="H162" i="5"/>
  <c r="G162" i="5"/>
  <c r="J161" i="5"/>
  <c r="I161" i="5"/>
  <c r="H161" i="5"/>
  <c r="G161" i="5"/>
  <c r="J160" i="5"/>
  <c r="I160" i="5"/>
  <c r="H160" i="5"/>
  <c r="G160" i="5"/>
  <c r="J159" i="5"/>
  <c r="I159" i="5"/>
  <c r="H159" i="5"/>
  <c r="G159" i="5"/>
  <c r="J158" i="5"/>
  <c r="I158" i="5"/>
  <c r="H158" i="5"/>
  <c r="G158" i="5"/>
  <c r="J157" i="5"/>
  <c r="I157" i="5"/>
  <c r="H157" i="5"/>
  <c r="G157" i="5"/>
  <c r="J156" i="5"/>
  <c r="I156" i="5"/>
  <c r="H156" i="5"/>
  <c r="G156" i="5"/>
  <c r="J155" i="5"/>
  <c r="I155" i="5"/>
  <c r="H155" i="5"/>
  <c r="G155" i="5"/>
  <c r="J154" i="5"/>
  <c r="I154" i="5"/>
  <c r="H154" i="5"/>
  <c r="G154" i="5"/>
  <c r="J153" i="5"/>
  <c r="I153" i="5"/>
  <c r="H153" i="5"/>
  <c r="G153" i="5"/>
  <c r="J152" i="5"/>
  <c r="I152" i="5"/>
  <c r="H152" i="5"/>
  <c r="G152" i="5"/>
  <c r="J151" i="5"/>
  <c r="I151" i="5"/>
  <c r="H151" i="5"/>
  <c r="G151" i="5"/>
  <c r="J150" i="5"/>
  <c r="I150" i="5"/>
  <c r="H150" i="5"/>
  <c r="G150" i="5"/>
  <c r="J149" i="5"/>
  <c r="I149" i="5"/>
  <c r="H149" i="5"/>
  <c r="G149" i="5"/>
  <c r="J148" i="5"/>
  <c r="I148" i="5"/>
  <c r="H148" i="5"/>
  <c r="G148" i="5"/>
  <c r="J147" i="5"/>
  <c r="I147" i="5"/>
  <c r="H147" i="5"/>
  <c r="G147" i="5"/>
  <c r="J146" i="5"/>
  <c r="I146" i="5"/>
  <c r="H146" i="5"/>
  <c r="G146" i="5"/>
  <c r="J145" i="5"/>
  <c r="I145" i="5"/>
  <c r="H145" i="5"/>
  <c r="G145" i="5"/>
  <c r="J144" i="5"/>
  <c r="I144" i="5"/>
  <c r="H144" i="5"/>
  <c r="G144" i="5"/>
  <c r="J143" i="5"/>
  <c r="I143" i="5"/>
  <c r="H143" i="5"/>
  <c r="G143" i="5"/>
  <c r="J142" i="5"/>
  <c r="I142" i="5"/>
  <c r="H142" i="5"/>
  <c r="G142" i="5"/>
  <c r="J141" i="5"/>
  <c r="I141" i="5"/>
  <c r="H141" i="5"/>
  <c r="G141" i="5"/>
  <c r="J140" i="5"/>
  <c r="I140" i="5"/>
  <c r="H140" i="5"/>
  <c r="G140" i="5"/>
  <c r="J139" i="5"/>
  <c r="I139" i="5"/>
  <c r="H139" i="5"/>
  <c r="G139" i="5"/>
  <c r="J138" i="5"/>
  <c r="I138" i="5"/>
  <c r="H138" i="5"/>
  <c r="G138" i="5"/>
  <c r="J137" i="5"/>
  <c r="I137" i="5"/>
  <c r="H137" i="5"/>
  <c r="G137" i="5"/>
  <c r="J136" i="5"/>
  <c r="I136" i="5"/>
  <c r="H136" i="5"/>
  <c r="G136" i="5"/>
  <c r="J135" i="5"/>
  <c r="I135" i="5"/>
  <c r="H135" i="5"/>
  <c r="G135" i="5"/>
  <c r="J134" i="5"/>
  <c r="I134" i="5"/>
  <c r="H134" i="5"/>
  <c r="G134" i="5"/>
  <c r="J133" i="5"/>
  <c r="I133" i="5"/>
  <c r="H133" i="5"/>
  <c r="G133" i="5"/>
  <c r="J132" i="5"/>
  <c r="I132" i="5"/>
  <c r="H132" i="5"/>
  <c r="G132" i="5"/>
  <c r="J131" i="5"/>
  <c r="I131" i="5"/>
  <c r="H131" i="5"/>
  <c r="G131" i="5"/>
  <c r="J130" i="5"/>
  <c r="I130" i="5"/>
  <c r="H130" i="5"/>
  <c r="G130" i="5"/>
  <c r="J129" i="5"/>
  <c r="I129" i="5"/>
  <c r="H129" i="5"/>
  <c r="G129" i="5"/>
  <c r="J128" i="5"/>
  <c r="I128" i="5"/>
  <c r="H128" i="5"/>
  <c r="G128" i="5"/>
  <c r="J127" i="5"/>
  <c r="I127" i="5"/>
  <c r="H127" i="5"/>
  <c r="G127" i="5"/>
  <c r="J126" i="5"/>
  <c r="I126" i="5"/>
  <c r="H126" i="5"/>
  <c r="G126" i="5"/>
  <c r="J125" i="5"/>
  <c r="I125" i="5"/>
  <c r="H125" i="5"/>
  <c r="G125" i="5"/>
  <c r="J124" i="5"/>
  <c r="I124" i="5"/>
  <c r="H124" i="5"/>
  <c r="G124" i="5"/>
  <c r="J123" i="5"/>
  <c r="I123" i="5"/>
  <c r="H123" i="5"/>
  <c r="G123" i="5"/>
  <c r="J122" i="5"/>
  <c r="I122" i="5"/>
  <c r="H122" i="5"/>
  <c r="G122" i="5"/>
  <c r="J121" i="5"/>
  <c r="I121" i="5"/>
  <c r="H121" i="5"/>
  <c r="G121" i="5"/>
  <c r="J120" i="5"/>
  <c r="I120" i="5"/>
  <c r="H120" i="5"/>
  <c r="G120" i="5"/>
  <c r="J119" i="5"/>
  <c r="I119" i="5"/>
  <c r="H119" i="5"/>
  <c r="G119" i="5"/>
  <c r="J118" i="5"/>
  <c r="I118" i="5"/>
  <c r="H118" i="5"/>
  <c r="G118" i="5"/>
  <c r="J117" i="5"/>
  <c r="I117" i="5"/>
  <c r="H117" i="5"/>
  <c r="G117" i="5"/>
  <c r="J116" i="5"/>
  <c r="I116" i="5"/>
  <c r="H116" i="5"/>
  <c r="G116" i="5"/>
  <c r="J115" i="5"/>
  <c r="I115" i="5"/>
  <c r="H115" i="5"/>
  <c r="G115" i="5"/>
  <c r="J114" i="5"/>
  <c r="I114" i="5"/>
  <c r="H114" i="5"/>
  <c r="G114" i="5"/>
  <c r="J113" i="5"/>
  <c r="I113" i="5"/>
  <c r="H113" i="5"/>
  <c r="G113" i="5"/>
  <c r="J112" i="5"/>
  <c r="I112" i="5"/>
  <c r="H112" i="5"/>
  <c r="G112" i="5"/>
  <c r="J111" i="5"/>
  <c r="I111" i="5"/>
  <c r="H111" i="5"/>
  <c r="G111" i="5"/>
  <c r="J110" i="5"/>
  <c r="I110" i="5"/>
  <c r="H110" i="5"/>
  <c r="G110" i="5"/>
  <c r="J109" i="5"/>
  <c r="I109" i="5"/>
  <c r="H109" i="5"/>
  <c r="G109" i="5"/>
  <c r="J108" i="5"/>
  <c r="I108" i="5"/>
  <c r="H108" i="5"/>
  <c r="G108" i="5"/>
  <c r="J107" i="5"/>
  <c r="I107" i="5"/>
  <c r="H107" i="5"/>
  <c r="G107" i="5"/>
  <c r="J106" i="5"/>
  <c r="I106" i="5"/>
  <c r="H106" i="5"/>
  <c r="G106" i="5"/>
  <c r="J105" i="5"/>
  <c r="I105" i="5"/>
  <c r="H105" i="5"/>
  <c r="G105" i="5"/>
  <c r="J104" i="5"/>
  <c r="I104" i="5"/>
  <c r="H104" i="5"/>
  <c r="G104" i="5"/>
  <c r="J103" i="5"/>
  <c r="I103" i="5"/>
  <c r="H103" i="5"/>
  <c r="G103" i="5"/>
  <c r="J102" i="5"/>
  <c r="I102" i="5"/>
  <c r="H102" i="5"/>
  <c r="G102" i="5"/>
  <c r="J101" i="5"/>
  <c r="I101" i="5"/>
  <c r="H101" i="5"/>
  <c r="G101" i="5"/>
  <c r="J100" i="5"/>
  <c r="I100" i="5"/>
  <c r="H100" i="5"/>
  <c r="G100" i="5"/>
  <c r="J99" i="5"/>
  <c r="I99" i="5"/>
  <c r="H99" i="5"/>
  <c r="G99" i="5"/>
  <c r="J98" i="5"/>
  <c r="I98" i="5"/>
  <c r="H98" i="5"/>
  <c r="G98" i="5"/>
  <c r="J97" i="5"/>
  <c r="I97" i="5"/>
  <c r="H97" i="5"/>
  <c r="G97" i="5"/>
  <c r="J96" i="5"/>
  <c r="I96" i="5"/>
  <c r="H96" i="5"/>
  <c r="G96" i="5"/>
  <c r="J95" i="5"/>
  <c r="I95" i="5"/>
  <c r="H95" i="5"/>
  <c r="G95" i="5"/>
  <c r="J94" i="5"/>
  <c r="I94" i="5"/>
  <c r="H94" i="5"/>
  <c r="G94" i="5"/>
  <c r="J93" i="5"/>
  <c r="I93" i="5"/>
  <c r="H93" i="5"/>
  <c r="G93" i="5"/>
  <c r="J92" i="5"/>
  <c r="I92" i="5"/>
  <c r="H92" i="5"/>
  <c r="G92" i="5"/>
  <c r="J91" i="5"/>
  <c r="I91" i="5"/>
  <c r="H91" i="5"/>
  <c r="G91" i="5"/>
  <c r="J90" i="5"/>
  <c r="I90" i="5"/>
  <c r="H90" i="5"/>
  <c r="G90" i="5"/>
  <c r="J89" i="5"/>
  <c r="I89" i="5"/>
  <c r="H89" i="5"/>
  <c r="G89" i="5"/>
  <c r="J88" i="5"/>
  <c r="I88" i="5"/>
  <c r="H88" i="5"/>
  <c r="G88" i="5"/>
  <c r="J87" i="5"/>
  <c r="I87" i="5"/>
  <c r="H87" i="5"/>
  <c r="G87" i="5"/>
  <c r="J86" i="5"/>
  <c r="I86" i="5"/>
  <c r="H86" i="5"/>
  <c r="G86" i="5"/>
  <c r="J85" i="5"/>
  <c r="I85" i="5"/>
  <c r="H85" i="5"/>
  <c r="G85" i="5"/>
  <c r="J84" i="5"/>
  <c r="I84" i="5"/>
  <c r="H84" i="5"/>
  <c r="G84" i="5"/>
  <c r="J83" i="5"/>
  <c r="I83" i="5"/>
  <c r="H83" i="5"/>
  <c r="G83" i="5"/>
  <c r="J82" i="5"/>
  <c r="I82" i="5"/>
  <c r="H82" i="5"/>
  <c r="G82" i="5"/>
  <c r="J81" i="5"/>
  <c r="I81" i="5"/>
  <c r="H81" i="5"/>
  <c r="G81" i="5"/>
  <c r="J80" i="5"/>
  <c r="I80" i="5"/>
  <c r="H80" i="5"/>
  <c r="G80" i="5"/>
  <c r="J79" i="5"/>
  <c r="I79" i="5"/>
  <c r="H79" i="5"/>
  <c r="G79" i="5"/>
  <c r="J78" i="5"/>
  <c r="I78" i="5"/>
  <c r="H78" i="5"/>
  <c r="G78" i="5"/>
  <c r="J77" i="5"/>
  <c r="I77" i="5"/>
  <c r="H77" i="5"/>
  <c r="G77" i="5"/>
  <c r="J76" i="5"/>
  <c r="I76" i="5"/>
  <c r="H76" i="5"/>
  <c r="G76" i="5"/>
  <c r="J75" i="5"/>
  <c r="I75" i="5"/>
  <c r="H75" i="5"/>
  <c r="G75" i="5"/>
  <c r="J74" i="5"/>
  <c r="I74" i="5"/>
  <c r="H74" i="5"/>
  <c r="G74" i="5"/>
  <c r="J73" i="5"/>
  <c r="I73" i="5"/>
  <c r="H73" i="5"/>
  <c r="G73" i="5"/>
  <c r="J72" i="5"/>
  <c r="I72" i="5"/>
  <c r="H72" i="5"/>
  <c r="G72" i="5"/>
  <c r="J71" i="5"/>
  <c r="I71" i="5"/>
  <c r="H71" i="5"/>
  <c r="G71" i="5"/>
  <c r="J70" i="5"/>
  <c r="I70" i="5"/>
  <c r="H70" i="5"/>
  <c r="G70" i="5"/>
  <c r="J69" i="5"/>
  <c r="I69" i="5"/>
  <c r="H69" i="5"/>
  <c r="G69" i="5"/>
  <c r="J68" i="5"/>
  <c r="I68" i="5"/>
  <c r="H68" i="5"/>
  <c r="G68" i="5"/>
  <c r="J67" i="5"/>
  <c r="I67" i="5"/>
  <c r="H67" i="5"/>
  <c r="G67" i="5"/>
  <c r="J66" i="5"/>
  <c r="I66" i="5"/>
  <c r="H66" i="5"/>
  <c r="G66" i="5"/>
  <c r="J65" i="5"/>
  <c r="I65" i="5"/>
  <c r="H65" i="5"/>
  <c r="G65" i="5"/>
  <c r="J64" i="5"/>
  <c r="I64" i="5"/>
  <c r="H64" i="5"/>
  <c r="G64" i="5"/>
  <c r="J63" i="5"/>
  <c r="I63" i="5"/>
  <c r="H63" i="5"/>
  <c r="G63" i="5"/>
  <c r="J62" i="5"/>
  <c r="I62" i="5"/>
  <c r="H62" i="5"/>
  <c r="G62" i="5"/>
  <c r="J61" i="5"/>
  <c r="I61" i="5"/>
  <c r="H61" i="5"/>
  <c r="G61" i="5"/>
  <c r="J60" i="5"/>
  <c r="I60" i="5"/>
  <c r="H60" i="5"/>
  <c r="G60" i="5"/>
  <c r="J59" i="5"/>
  <c r="I59" i="5"/>
  <c r="H59" i="5"/>
  <c r="G59" i="5"/>
  <c r="J58" i="5"/>
  <c r="I58" i="5"/>
  <c r="H58" i="5"/>
  <c r="G58" i="5"/>
  <c r="J57" i="5"/>
  <c r="I57" i="5"/>
  <c r="H57" i="5"/>
  <c r="G57" i="5"/>
  <c r="J56" i="5"/>
  <c r="I56" i="5"/>
  <c r="H56" i="5"/>
  <c r="G56" i="5"/>
  <c r="J55" i="5"/>
  <c r="I55" i="5"/>
  <c r="H55" i="5"/>
  <c r="G55" i="5"/>
  <c r="J54" i="5"/>
  <c r="I54" i="5"/>
  <c r="H54" i="5"/>
  <c r="G54" i="5"/>
  <c r="J53" i="5"/>
  <c r="I53" i="5"/>
  <c r="H53" i="5"/>
  <c r="G53" i="5"/>
  <c r="J52" i="5"/>
  <c r="I52" i="5"/>
  <c r="H52" i="5"/>
  <c r="G52" i="5"/>
  <c r="J51" i="5"/>
  <c r="I51" i="5"/>
  <c r="H51" i="5"/>
  <c r="G51" i="5"/>
  <c r="J50" i="5"/>
  <c r="I50" i="5"/>
  <c r="H50" i="5"/>
  <c r="G50" i="5"/>
  <c r="J49" i="5"/>
  <c r="I49" i="5"/>
  <c r="H49" i="5"/>
  <c r="G49" i="5"/>
  <c r="J48" i="5"/>
  <c r="I48" i="5"/>
  <c r="H48" i="5"/>
  <c r="G48" i="5"/>
  <c r="J47" i="5"/>
  <c r="I47" i="5"/>
  <c r="H47" i="5"/>
  <c r="G47" i="5"/>
  <c r="J46" i="5"/>
  <c r="I46" i="5"/>
  <c r="H46" i="5"/>
  <c r="G46" i="5"/>
  <c r="J45" i="5"/>
  <c r="I45" i="5"/>
  <c r="H45" i="5"/>
  <c r="G45" i="5"/>
  <c r="J44" i="5"/>
  <c r="I44" i="5"/>
  <c r="H44" i="5"/>
  <c r="G44" i="5"/>
  <c r="J43" i="5"/>
  <c r="I43" i="5"/>
  <c r="H43" i="5"/>
  <c r="G43" i="5"/>
  <c r="J42" i="5"/>
  <c r="I42" i="5"/>
  <c r="H42" i="5"/>
  <c r="G42" i="5"/>
  <c r="J41" i="5"/>
  <c r="I41" i="5"/>
  <c r="H41" i="5"/>
  <c r="G41" i="5"/>
  <c r="J40" i="5"/>
  <c r="I40" i="5"/>
  <c r="H40" i="5"/>
  <c r="G40" i="5"/>
  <c r="J39" i="5"/>
  <c r="I39" i="5"/>
  <c r="H39" i="5"/>
  <c r="G39" i="5"/>
  <c r="J38" i="5"/>
  <c r="I38" i="5"/>
  <c r="H38" i="5"/>
  <c r="G38" i="5"/>
  <c r="J37" i="5"/>
  <c r="I37" i="5"/>
  <c r="H37" i="5"/>
  <c r="G37" i="5"/>
  <c r="J36" i="5"/>
  <c r="I36" i="5"/>
  <c r="H36" i="5"/>
  <c r="G36" i="5"/>
  <c r="J35" i="5"/>
  <c r="I35" i="5"/>
  <c r="H35" i="5"/>
  <c r="G35" i="5"/>
  <c r="J34" i="5"/>
  <c r="I34" i="5"/>
  <c r="H34" i="5"/>
  <c r="G34" i="5"/>
  <c r="J33" i="5"/>
  <c r="I33" i="5"/>
  <c r="H33" i="5"/>
  <c r="G33" i="5"/>
  <c r="J32" i="5"/>
  <c r="I32" i="5"/>
  <c r="H32" i="5"/>
  <c r="G32" i="5"/>
  <c r="J31" i="5"/>
  <c r="I31" i="5"/>
  <c r="H31" i="5"/>
  <c r="G31" i="5"/>
  <c r="J30" i="5"/>
  <c r="I30" i="5"/>
  <c r="H30" i="5"/>
  <c r="G30" i="5"/>
  <c r="J29" i="5"/>
  <c r="I29" i="5"/>
  <c r="H29" i="5"/>
  <c r="G29" i="5"/>
  <c r="J28" i="5"/>
  <c r="I28" i="5"/>
  <c r="H28" i="5"/>
  <c r="G28" i="5"/>
  <c r="J27" i="5"/>
  <c r="I27" i="5"/>
  <c r="H27" i="5"/>
  <c r="G27" i="5"/>
  <c r="J26" i="5"/>
  <c r="I26" i="5"/>
  <c r="H26" i="5"/>
  <c r="G26" i="5"/>
  <c r="J25" i="5"/>
  <c r="I25" i="5"/>
  <c r="H25" i="5"/>
  <c r="G25" i="5"/>
  <c r="J24" i="5"/>
  <c r="I24" i="5"/>
  <c r="H24" i="5"/>
  <c r="G24" i="5"/>
  <c r="J23" i="5"/>
  <c r="I23" i="5"/>
  <c r="H23" i="5"/>
  <c r="G23" i="5"/>
  <c r="J22" i="5"/>
  <c r="I22" i="5"/>
  <c r="H22" i="5"/>
  <c r="G22" i="5"/>
  <c r="J21" i="5"/>
  <c r="I21" i="5"/>
  <c r="H21" i="5"/>
  <c r="G21" i="5"/>
  <c r="J20" i="5"/>
  <c r="I20" i="5"/>
  <c r="H20" i="5"/>
  <c r="G20" i="5"/>
  <c r="J19" i="5"/>
  <c r="I19" i="5"/>
  <c r="H19" i="5"/>
  <c r="G19" i="5"/>
  <c r="J18" i="5"/>
  <c r="I18" i="5"/>
  <c r="H18" i="5"/>
  <c r="G18" i="5"/>
  <c r="J17" i="5"/>
  <c r="I17" i="5"/>
  <c r="H17" i="5"/>
  <c r="G17" i="5"/>
  <c r="J16" i="5"/>
  <c r="I16" i="5"/>
  <c r="H16" i="5"/>
  <c r="G16" i="5"/>
  <c r="J15" i="5"/>
  <c r="I15" i="5"/>
  <c r="H15" i="5"/>
  <c r="G15" i="5"/>
  <c r="J14" i="5"/>
  <c r="I14" i="5"/>
  <c r="H14" i="5"/>
  <c r="G14" i="5"/>
  <c r="J13" i="5"/>
  <c r="I13" i="5"/>
  <c r="H13" i="5"/>
  <c r="G13" i="5"/>
  <c r="J12" i="5"/>
  <c r="I12" i="5"/>
  <c r="H12" i="5"/>
  <c r="G12" i="5"/>
  <c r="J11" i="5"/>
  <c r="I11" i="5"/>
  <c r="H11" i="5"/>
  <c r="G11" i="5"/>
  <c r="J10" i="5"/>
  <c r="I10" i="5"/>
  <c r="H10" i="5"/>
  <c r="G10" i="5"/>
  <c r="J9" i="5"/>
  <c r="I9" i="5"/>
  <c r="H9" i="5"/>
  <c r="G9" i="5"/>
  <c r="J8" i="5"/>
  <c r="I8" i="5"/>
  <c r="H8" i="5"/>
  <c r="G8" i="5"/>
  <c r="J7" i="5"/>
  <c r="I7" i="5"/>
  <c r="H7" i="5"/>
  <c r="G7" i="5"/>
  <c r="J6" i="5"/>
  <c r="I6" i="5"/>
  <c r="H6" i="5"/>
  <c r="G6" i="5"/>
  <c r="J5" i="5"/>
  <c r="I5" i="5"/>
  <c r="H5" i="5"/>
  <c r="G5" i="5"/>
  <c r="J4" i="5"/>
  <c r="I4" i="5"/>
  <c r="H4" i="5"/>
  <c r="G4" i="5"/>
  <c r="G3" i="5"/>
  <c r="H3" i="5"/>
  <c r="I3" i="5"/>
  <c r="J3" i="5"/>
  <c r="J2" i="3"/>
  <c r="I2" i="3"/>
  <c r="H2" i="3"/>
  <c r="G2" i="3"/>
  <c r="J501" i="3"/>
  <c r="I501" i="3"/>
  <c r="H501" i="3"/>
  <c r="G501" i="3"/>
  <c r="J500" i="3"/>
  <c r="I500" i="3"/>
  <c r="H500" i="3"/>
  <c r="G500" i="3"/>
  <c r="J499" i="3"/>
  <c r="I499" i="3"/>
  <c r="H499" i="3"/>
  <c r="G499" i="3"/>
  <c r="J498" i="3"/>
  <c r="I498" i="3"/>
  <c r="H498" i="3"/>
  <c r="G498" i="3"/>
  <c r="J497" i="3"/>
  <c r="I497" i="3"/>
  <c r="H497" i="3"/>
  <c r="G497" i="3"/>
  <c r="J496" i="3"/>
  <c r="I496" i="3"/>
  <c r="H496" i="3"/>
  <c r="G496" i="3"/>
  <c r="J495" i="3"/>
  <c r="I495" i="3"/>
  <c r="H495" i="3"/>
  <c r="G495" i="3"/>
  <c r="J494" i="3"/>
  <c r="I494" i="3"/>
  <c r="H494" i="3"/>
  <c r="G494" i="3"/>
  <c r="J493" i="3"/>
  <c r="I493" i="3"/>
  <c r="H493" i="3"/>
  <c r="G493" i="3"/>
  <c r="J492" i="3"/>
  <c r="I492" i="3"/>
  <c r="H492" i="3"/>
  <c r="G492" i="3"/>
  <c r="J491" i="3"/>
  <c r="I491" i="3"/>
  <c r="H491" i="3"/>
  <c r="G491" i="3"/>
  <c r="J490" i="3"/>
  <c r="I490" i="3"/>
  <c r="H490" i="3"/>
  <c r="G490" i="3"/>
  <c r="J489" i="3"/>
  <c r="I489" i="3"/>
  <c r="H489" i="3"/>
  <c r="G489" i="3"/>
  <c r="J488" i="3"/>
  <c r="I488" i="3"/>
  <c r="H488" i="3"/>
  <c r="G488" i="3"/>
  <c r="J487" i="3"/>
  <c r="I487" i="3"/>
  <c r="H487" i="3"/>
  <c r="G487" i="3"/>
  <c r="J486" i="3"/>
  <c r="I486" i="3"/>
  <c r="H486" i="3"/>
  <c r="G486" i="3"/>
  <c r="J485" i="3"/>
  <c r="I485" i="3"/>
  <c r="H485" i="3"/>
  <c r="G485" i="3"/>
  <c r="J484" i="3"/>
  <c r="I484" i="3"/>
  <c r="H484" i="3"/>
  <c r="G484" i="3"/>
  <c r="J483" i="3"/>
  <c r="I483" i="3"/>
  <c r="H483" i="3"/>
  <c r="G483" i="3"/>
  <c r="J482" i="3"/>
  <c r="I482" i="3"/>
  <c r="H482" i="3"/>
  <c r="G482" i="3"/>
  <c r="J481" i="3"/>
  <c r="I481" i="3"/>
  <c r="H481" i="3"/>
  <c r="G481" i="3"/>
  <c r="J480" i="3"/>
  <c r="I480" i="3"/>
  <c r="H480" i="3"/>
  <c r="G480" i="3"/>
  <c r="J479" i="3"/>
  <c r="I479" i="3"/>
  <c r="H479" i="3"/>
  <c r="G479" i="3"/>
  <c r="J478" i="3"/>
  <c r="I478" i="3"/>
  <c r="H478" i="3"/>
  <c r="G478" i="3"/>
  <c r="J477" i="3"/>
  <c r="I477" i="3"/>
  <c r="H477" i="3"/>
  <c r="G477" i="3"/>
  <c r="J476" i="3"/>
  <c r="I476" i="3"/>
  <c r="H476" i="3"/>
  <c r="G476" i="3"/>
  <c r="J475" i="3"/>
  <c r="I475" i="3"/>
  <c r="H475" i="3"/>
  <c r="G475" i="3"/>
  <c r="J474" i="3"/>
  <c r="I474" i="3"/>
  <c r="H474" i="3"/>
  <c r="G474" i="3"/>
  <c r="J473" i="3"/>
  <c r="I473" i="3"/>
  <c r="H473" i="3"/>
  <c r="G473" i="3"/>
  <c r="J472" i="3"/>
  <c r="I472" i="3"/>
  <c r="H472" i="3"/>
  <c r="G472" i="3"/>
  <c r="J471" i="3"/>
  <c r="I471" i="3"/>
  <c r="H471" i="3"/>
  <c r="G471" i="3"/>
  <c r="J470" i="3"/>
  <c r="I470" i="3"/>
  <c r="H470" i="3"/>
  <c r="G470" i="3"/>
  <c r="J469" i="3"/>
  <c r="I469" i="3"/>
  <c r="H469" i="3"/>
  <c r="G469" i="3"/>
  <c r="J468" i="3"/>
  <c r="I468" i="3"/>
  <c r="H468" i="3"/>
  <c r="G468" i="3"/>
  <c r="J467" i="3"/>
  <c r="I467" i="3"/>
  <c r="H467" i="3"/>
  <c r="G467" i="3"/>
  <c r="J466" i="3"/>
  <c r="I466" i="3"/>
  <c r="H466" i="3"/>
  <c r="G466" i="3"/>
  <c r="J465" i="3"/>
  <c r="I465" i="3"/>
  <c r="H465" i="3"/>
  <c r="G465" i="3"/>
  <c r="J464" i="3"/>
  <c r="I464" i="3"/>
  <c r="H464" i="3"/>
  <c r="G464" i="3"/>
  <c r="J463" i="3"/>
  <c r="I463" i="3"/>
  <c r="H463" i="3"/>
  <c r="G463" i="3"/>
  <c r="J462" i="3"/>
  <c r="I462" i="3"/>
  <c r="H462" i="3"/>
  <c r="G462" i="3"/>
  <c r="J461" i="3"/>
  <c r="I461" i="3"/>
  <c r="H461" i="3"/>
  <c r="G461" i="3"/>
  <c r="J460" i="3"/>
  <c r="I460" i="3"/>
  <c r="H460" i="3"/>
  <c r="G460" i="3"/>
  <c r="J459" i="3"/>
  <c r="I459" i="3"/>
  <c r="H459" i="3"/>
  <c r="G459" i="3"/>
  <c r="J458" i="3"/>
  <c r="I458" i="3"/>
  <c r="H458" i="3"/>
  <c r="G458" i="3"/>
  <c r="J457" i="3"/>
  <c r="I457" i="3"/>
  <c r="H457" i="3"/>
  <c r="G457" i="3"/>
  <c r="J456" i="3"/>
  <c r="I456" i="3"/>
  <c r="H456" i="3"/>
  <c r="G456" i="3"/>
  <c r="J455" i="3"/>
  <c r="I455" i="3"/>
  <c r="H455" i="3"/>
  <c r="G455" i="3"/>
  <c r="J454" i="3"/>
  <c r="I454" i="3"/>
  <c r="H454" i="3"/>
  <c r="G454" i="3"/>
  <c r="J453" i="3"/>
  <c r="I453" i="3"/>
  <c r="H453" i="3"/>
  <c r="G453" i="3"/>
  <c r="J452" i="3"/>
  <c r="I452" i="3"/>
  <c r="H452" i="3"/>
  <c r="G452" i="3"/>
  <c r="J451" i="3"/>
  <c r="I451" i="3"/>
  <c r="H451" i="3"/>
  <c r="G451" i="3"/>
  <c r="J450" i="3"/>
  <c r="I450" i="3"/>
  <c r="H450" i="3"/>
  <c r="G450" i="3"/>
  <c r="J449" i="3"/>
  <c r="I449" i="3"/>
  <c r="H449" i="3"/>
  <c r="G449" i="3"/>
  <c r="J448" i="3"/>
  <c r="I448" i="3"/>
  <c r="H448" i="3"/>
  <c r="G448" i="3"/>
  <c r="J447" i="3"/>
  <c r="I447" i="3"/>
  <c r="H447" i="3"/>
  <c r="G447" i="3"/>
  <c r="J446" i="3"/>
  <c r="I446" i="3"/>
  <c r="H446" i="3"/>
  <c r="G446" i="3"/>
  <c r="J445" i="3"/>
  <c r="I445" i="3"/>
  <c r="H445" i="3"/>
  <c r="G445" i="3"/>
  <c r="J444" i="3"/>
  <c r="I444" i="3"/>
  <c r="H444" i="3"/>
  <c r="G444" i="3"/>
  <c r="J443" i="3"/>
  <c r="I443" i="3"/>
  <c r="H443" i="3"/>
  <c r="G443" i="3"/>
  <c r="J442" i="3"/>
  <c r="I442" i="3"/>
  <c r="H442" i="3"/>
  <c r="G442" i="3"/>
  <c r="J441" i="3"/>
  <c r="I441" i="3"/>
  <c r="H441" i="3"/>
  <c r="G441" i="3"/>
  <c r="J440" i="3"/>
  <c r="I440" i="3"/>
  <c r="H440" i="3"/>
  <c r="G440" i="3"/>
  <c r="J439" i="3"/>
  <c r="I439" i="3"/>
  <c r="H439" i="3"/>
  <c r="G439" i="3"/>
  <c r="J438" i="3"/>
  <c r="I438" i="3"/>
  <c r="H438" i="3"/>
  <c r="G438" i="3"/>
  <c r="J437" i="3"/>
  <c r="I437" i="3"/>
  <c r="H437" i="3"/>
  <c r="G437" i="3"/>
  <c r="J436" i="3"/>
  <c r="I436" i="3"/>
  <c r="H436" i="3"/>
  <c r="G436" i="3"/>
  <c r="J435" i="3"/>
  <c r="I435" i="3"/>
  <c r="H435" i="3"/>
  <c r="G435" i="3"/>
  <c r="J434" i="3"/>
  <c r="I434" i="3"/>
  <c r="H434" i="3"/>
  <c r="G434" i="3"/>
  <c r="J433" i="3"/>
  <c r="I433" i="3"/>
  <c r="H433" i="3"/>
  <c r="G433" i="3"/>
  <c r="J432" i="3"/>
  <c r="I432" i="3"/>
  <c r="H432" i="3"/>
  <c r="G432" i="3"/>
  <c r="J431" i="3"/>
  <c r="I431" i="3"/>
  <c r="H431" i="3"/>
  <c r="G431" i="3"/>
  <c r="J430" i="3"/>
  <c r="I430" i="3"/>
  <c r="H430" i="3"/>
  <c r="G430" i="3"/>
  <c r="J429" i="3"/>
  <c r="I429" i="3"/>
  <c r="H429" i="3"/>
  <c r="G429" i="3"/>
  <c r="J428" i="3"/>
  <c r="I428" i="3"/>
  <c r="H428" i="3"/>
  <c r="G428" i="3"/>
  <c r="J427" i="3"/>
  <c r="I427" i="3"/>
  <c r="H427" i="3"/>
  <c r="G427" i="3"/>
  <c r="J426" i="3"/>
  <c r="I426" i="3"/>
  <c r="H426" i="3"/>
  <c r="G426" i="3"/>
  <c r="J425" i="3"/>
  <c r="I425" i="3"/>
  <c r="H425" i="3"/>
  <c r="G425" i="3"/>
  <c r="J424" i="3"/>
  <c r="I424" i="3"/>
  <c r="H424" i="3"/>
  <c r="G424" i="3"/>
  <c r="J423" i="3"/>
  <c r="I423" i="3"/>
  <c r="H423" i="3"/>
  <c r="G423" i="3"/>
  <c r="J422" i="3"/>
  <c r="I422" i="3"/>
  <c r="H422" i="3"/>
  <c r="G422" i="3"/>
  <c r="J421" i="3"/>
  <c r="I421" i="3"/>
  <c r="H421" i="3"/>
  <c r="G421" i="3"/>
  <c r="J420" i="3"/>
  <c r="I420" i="3"/>
  <c r="H420" i="3"/>
  <c r="G420" i="3"/>
  <c r="J419" i="3"/>
  <c r="I419" i="3"/>
  <c r="H419" i="3"/>
  <c r="G419" i="3"/>
  <c r="J418" i="3"/>
  <c r="I418" i="3"/>
  <c r="H418" i="3"/>
  <c r="G418" i="3"/>
  <c r="J417" i="3"/>
  <c r="I417" i="3"/>
  <c r="H417" i="3"/>
  <c r="G417" i="3"/>
  <c r="J416" i="3"/>
  <c r="I416" i="3"/>
  <c r="H416" i="3"/>
  <c r="G416" i="3"/>
  <c r="J415" i="3"/>
  <c r="I415" i="3"/>
  <c r="H415" i="3"/>
  <c r="G415" i="3"/>
  <c r="J414" i="3"/>
  <c r="I414" i="3"/>
  <c r="H414" i="3"/>
  <c r="G414" i="3"/>
  <c r="J413" i="3"/>
  <c r="I413" i="3"/>
  <c r="H413" i="3"/>
  <c r="G413" i="3"/>
  <c r="J412" i="3"/>
  <c r="I412" i="3"/>
  <c r="H412" i="3"/>
  <c r="G412" i="3"/>
  <c r="J411" i="3"/>
  <c r="I411" i="3"/>
  <c r="H411" i="3"/>
  <c r="G411" i="3"/>
  <c r="J410" i="3"/>
  <c r="I410" i="3"/>
  <c r="H410" i="3"/>
  <c r="G410" i="3"/>
  <c r="J409" i="3"/>
  <c r="I409" i="3"/>
  <c r="H409" i="3"/>
  <c r="G409" i="3"/>
  <c r="J408" i="3"/>
  <c r="I408" i="3"/>
  <c r="H408" i="3"/>
  <c r="G408" i="3"/>
  <c r="J407" i="3"/>
  <c r="I407" i="3"/>
  <c r="H407" i="3"/>
  <c r="G407" i="3"/>
  <c r="J406" i="3"/>
  <c r="I406" i="3"/>
  <c r="H406" i="3"/>
  <c r="G406" i="3"/>
  <c r="J405" i="3"/>
  <c r="I405" i="3"/>
  <c r="H405" i="3"/>
  <c r="G405" i="3"/>
  <c r="J404" i="3"/>
  <c r="I404" i="3"/>
  <c r="H404" i="3"/>
  <c r="G404" i="3"/>
  <c r="J403" i="3"/>
  <c r="I403" i="3"/>
  <c r="H403" i="3"/>
  <c r="G403" i="3"/>
  <c r="J402" i="3"/>
  <c r="I402" i="3"/>
  <c r="H402" i="3"/>
  <c r="G402" i="3"/>
  <c r="J401" i="3"/>
  <c r="I401" i="3"/>
  <c r="H401" i="3"/>
  <c r="G401" i="3"/>
  <c r="J400" i="3"/>
  <c r="I400" i="3"/>
  <c r="H400" i="3"/>
  <c r="G400" i="3"/>
  <c r="J399" i="3"/>
  <c r="I399" i="3"/>
  <c r="H399" i="3"/>
  <c r="G399" i="3"/>
  <c r="J398" i="3"/>
  <c r="I398" i="3"/>
  <c r="H398" i="3"/>
  <c r="G398" i="3"/>
  <c r="J397" i="3"/>
  <c r="I397" i="3"/>
  <c r="H397" i="3"/>
  <c r="G397" i="3"/>
  <c r="J396" i="3"/>
  <c r="I396" i="3"/>
  <c r="H396" i="3"/>
  <c r="G396" i="3"/>
  <c r="J395" i="3"/>
  <c r="I395" i="3"/>
  <c r="H395" i="3"/>
  <c r="G395" i="3"/>
  <c r="J394" i="3"/>
  <c r="I394" i="3"/>
  <c r="H394" i="3"/>
  <c r="G394" i="3"/>
  <c r="J393" i="3"/>
  <c r="I393" i="3"/>
  <c r="H393" i="3"/>
  <c r="G393" i="3"/>
  <c r="J392" i="3"/>
  <c r="I392" i="3"/>
  <c r="H392" i="3"/>
  <c r="G392" i="3"/>
  <c r="J391" i="3"/>
  <c r="I391" i="3"/>
  <c r="H391" i="3"/>
  <c r="G391" i="3"/>
  <c r="J390" i="3"/>
  <c r="I390" i="3"/>
  <c r="H390" i="3"/>
  <c r="G390" i="3"/>
  <c r="J389" i="3"/>
  <c r="I389" i="3"/>
  <c r="H389" i="3"/>
  <c r="G389" i="3"/>
  <c r="J388" i="3"/>
  <c r="I388" i="3"/>
  <c r="H388" i="3"/>
  <c r="G388" i="3"/>
  <c r="J387" i="3"/>
  <c r="I387" i="3"/>
  <c r="H387" i="3"/>
  <c r="G387" i="3"/>
  <c r="J386" i="3"/>
  <c r="I386" i="3"/>
  <c r="H386" i="3"/>
  <c r="G386" i="3"/>
  <c r="J385" i="3"/>
  <c r="I385" i="3"/>
  <c r="H385" i="3"/>
  <c r="G385" i="3"/>
  <c r="J384" i="3"/>
  <c r="I384" i="3"/>
  <c r="H384" i="3"/>
  <c r="G384" i="3"/>
  <c r="J383" i="3"/>
  <c r="I383" i="3"/>
  <c r="H383" i="3"/>
  <c r="G383" i="3"/>
  <c r="J382" i="3"/>
  <c r="I382" i="3"/>
  <c r="H382" i="3"/>
  <c r="G382" i="3"/>
  <c r="J381" i="3"/>
  <c r="I381" i="3"/>
  <c r="H381" i="3"/>
  <c r="G381" i="3"/>
  <c r="J380" i="3"/>
  <c r="I380" i="3"/>
  <c r="H380" i="3"/>
  <c r="G380" i="3"/>
  <c r="J379" i="3"/>
  <c r="I379" i="3"/>
  <c r="H379" i="3"/>
  <c r="G379" i="3"/>
  <c r="J378" i="3"/>
  <c r="I378" i="3"/>
  <c r="H378" i="3"/>
  <c r="G378" i="3"/>
  <c r="J377" i="3"/>
  <c r="I377" i="3"/>
  <c r="H377" i="3"/>
  <c r="G377" i="3"/>
  <c r="J376" i="3"/>
  <c r="I376" i="3"/>
  <c r="H376" i="3"/>
  <c r="G376" i="3"/>
  <c r="J375" i="3"/>
  <c r="I375" i="3"/>
  <c r="H375" i="3"/>
  <c r="G375" i="3"/>
  <c r="J374" i="3"/>
  <c r="I374" i="3"/>
  <c r="H374" i="3"/>
  <c r="G374" i="3"/>
  <c r="J373" i="3"/>
  <c r="I373" i="3"/>
  <c r="H373" i="3"/>
  <c r="G373" i="3"/>
  <c r="J372" i="3"/>
  <c r="I372" i="3"/>
  <c r="H372" i="3"/>
  <c r="G372" i="3"/>
  <c r="J371" i="3"/>
  <c r="I371" i="3"/>
  <c r="H371" i="3"/>
  <c r="G371" i="3"/>
  <c r="J370" i="3"/>
  <c r="I370" i="3"/>
  <c r="H370" i="3"/>
  <c r="G370" i="3"/>
  <c r="J369" i="3"/>
  <c r="I369" i="3"/>
  <c r="H369" i="3"/>
  <c r="G369" i="3"/>
  <c r="J368" i="3"/>
  <c r="I368" i="3"/>
  <c r="H368" i="3"/>
  <c r="G368" i="3"/>
  <c r="J367" i="3"/>
  <c r="I367" i="3"/>
  <c r="H367" i="3"/>
  <c r="G367" i="3"/>
  <c r="J366" i="3"/>
  <c r="I366" i="3"/>
  <c r="H366" i="3"/>
  <c r="G366" i="3"/>
  <c r="J365" i="3"/>
  <c r="I365" i="3"/>
  <c r="H365" i="3"/>
  <c r="G365" i="3"/>
  <c r="J364" i="3"/>
  <c r="I364" i="3"/>
  <c r="H364" i="3"/>
  <c r="G364" i="3"/>
  <c r="J363" i="3"/>
  <c r="I363" i="3"/>
  <c r="H363" i="3"/>
  <c r="G363" i="3"/>
  <c r="J362" i="3"/>
  <c r="I362" i="3"/>
  <c r="H362" i="3"/>
  <c r="G362" i="3"/>
  <c r="J361" i="3"/>
  <c r="I361" i="3"/>
  <c r="H361" i="3"/>
  <c r="G361" i="3"/>
  <c r="J360" i="3"/>
  <c r="I360" i="3"/>
  <c r="H360" i="3"/>
  <c r="G360" i="3"/>
  <c r="J359" i="3"/>
  <c r="I359" i="3"/>
  <c r="H359" i="3"/>
  <c r="G359" i="3"/>
  <c r="J358" i="3"/>
  <c r="I358" i="3"/>
  <c r="H358" i="3"/>
  <c r="G358" i="3"/>
  <c r="J357" i="3"/>
  <c r="I357" i="3"/>
  <c r="H357" i="3"/>
  <c r="G357" i="3"/>
  <c r="J356" i="3"/>
  <c r="I356" i="3"/>
  <c r="H356" i="3"/>
  <c r="G356" i="3"/>
  <c r="J355" i="3"/>
  <c r="I355" i="3"/>
  <c r="H355" i="3"/>
  <c r="G355" i="3"/>
  <c r="J354" i="3"/>
  <c r="I354" i="3"/>
  <c r="H354" i="3"/>
  <c r="G354" i="3"/>
  <c r="J353" i="3"/>
  <c r="I353" i="3"/>
  <c r="H353" i="3"/>
  <c r="G353" i="3"/>
  <c r="J352" i="3"/>
  <c r="I352" i="3"/>
  <c r="H352" i="3"/>
  <c r="G352" i="3"/>
  <c r="J351" i="3"/>
  <c r="I351" i="3"/>
  <c r="H351" i="3"/>
  <c r="G351" i="3"/>
  <c r="J350" i="3"/>
  <c r="I350" i="3"/>
  <c r="H350" i="3"/>
  <c r="G350" i="3"/>
  <c r="J349" i="3"/>
  <c r="I349" i="3"/>
  <c r="H349" i="3"/>
  <c r="G349" i="3"/>
  <c r="J348" i="3"/>
  <c r="I348" i="3"/>
  <c r="H348" i="3"/>
  <c r="G348" i="3"/>
  <c r="J347" i="3"/>
  <c r="I347" i="3"/>
  <c r="H347" i="3"/>
  <c r="G347" i="3"/>
  <c r="J346" i="3"/>
  <c r="I346" i="3"/>
  <c r="H346" i="3"/>
  <c r="G346" i="3"/>
  <c r="J345" i="3"/>
  <c r="I345" i="3"/>
  <c r="H345" i="3"/>
  <c r="G345" i="3"/>
  <c r="J344" i="3"/>
  <c r="I344" i="3"/>
  <c r="H344" i="3"/>
  <c r="G344" i="3"/>
  <c r="J343" i="3"/>
  <c r="I343" i="3"/>
  <c r="H343" i="3"/>
  <c r="G343" i="3"/>
  <c r="J342" i="3"/>
  <c r="I342" i="3"/>
  <c r="H342" i="3"/>
  <c r="G342" i="3"/>
  <c r="J341" i="3"/>
  <c r="I341" i="3"/>
  <c r="H341" i="3"/>
  <c r="G341" i="3"/>
  <c r="J340" i="3"/>
  <c r="I340" i="3"/>
  <c r="H340" i="3"/>
  <c r="G340" i="3"/>
  <c r="J339" i="3"/>
  <c r="I339" i="3"/>
  <c r="H339" i="3"/>
  <c r="G339" i="3"/>
  <c r="J338" i="3"/>
  <c r="I338" i="3"/>
  <c r="H338" i="3"/>
  <c r="G338" i="3"/>
  <c r="J337" i="3"/>
  <c r="I337" i="3"/>
  <c r="H337" i="3"/>
  <c r="G337" i="3"/>
  <c r="J336" i="3"/>
  <c r="I336" i="3"/>
  <c r="H336" i="3"/>
  <c r="G336" i="3"/>
  <c r="J335" i="3"/>
  <c r="I335" i="3"/>
  <c r="H335" i="3"/>
  <c r="G335" i="3"/>
  <c r="J334" i="3"/>
  <c r="I334" i="3"/>
  <c r="H334" i="3"/>
  <c r="G334" i="3"/>
  <c r="J333" i="3"/>
  <c r="I333" i="3"/>
  <c r="H333" i="3"/>
  <c r="G333" i="3"/>
  <c r="J332" i="3"/>
  <c r="I332" i="3"/>
  <c r="H332" i="3"/>
  <c r="G332" i="3"/>
  <c r="J331" i="3"/>
  <c r="I331" i="3"/>
  <c r="H331" i="3"/>
  <c r="G331" i="3"/>
  <c r="J330" i="3"/>
  <c r="I330" i="3"/>
  <c r="H330" i="3"/>
  <c r="G330" i="3"/>
  <c r="J329" i="3"/>
  <c r="I329" i="3"/>
  <c r="H329" i="3"/>
  <c r="G329" i="3"/>
  <c r="J328" i="3"/>
  <c r="I328" i="3"/>
  <c r="H328" i="3"/>
  <c r="G328" i="3"/>
  <c r="J327" i="3"/>
  <c r="I327" i="3"/>
  <c r="H327" i="3"/>
  <c r="G327" i="3"/>
  <c r="J326" i="3"/>
  <c r="I326" i="3"/>
  <c r="H326" i="3"/>
  <c r="G326" i="3"/>
  <c r="J325" i="3"/>
  <c r="I325" i="3"/>
  <c r="H325" i="3"/>
  <c r="G325" i="3"/>
  <c r="J324" i="3"/>
  <c r="I324" i="3"/>
  <c r="H324" i="3"/>
  <c r="G324" i="3"/>
  <c r="J323" i="3"/>
  <c r="I323" i="3"/>
  <c r="H323" i="3"/>
  <c r="G323" i="3"/>
  <c r="J322" i="3"/>
  <c r="I322" i="3"/>
  <c r="H322" i="3"/>
  <c r="G322" i="3"/>
  <c r="J321" i="3"/>
  <c r="I321" i="3"/>
  <c r="H321" i="3"/>
  <c r="G321" i="3"/>
  <c r="J320" i="3"/>
  <c r="I320" i="3"/>
  <c r="H320" i="3"/>
  <c r="G320" i="3"/>
  <c r="J319" i="3"/>
  <c r="I319" i="3"/>
  <c r="H319" i="3"/>
  <c r="G319" i="3"/>
  <c r="J318" i="3"/>
  <c r="I318" i="3"/>
  <c r="H318" i="3"/>
  <c r="G318" i="3"/>
  <c r="J317" i="3"/>
  <c r="I317" i="3"/>
  <c r="H317" i="3"/>
  <c r="G317" i="3"/>
  <c r="J316" i="3"/>
  <c r="I316" i="3"/>
  <c r="H316" i="3"/>
  <c r="G316" i="3"/>
  <c r="J315" i="3"/>
  <c r="I315" i="3"/>
  <c r="H315" i="3"/>
  <c r="G315" i="3"/>
  <c r="J314" i="3"/>
  <c r="I314" i="3"/>
  <c r="H314" i="3"/>
  <c r="G314" i="3"/>
  <c r="J313" i="3"/>
  <c r="I313" i="3"/>
  <c r="H313" i="3"/>
  <c r="G313" i="3"/>
  <c r="J312" i="3"/>
  <c r="I312" i="3"/>
  <c r="H312" i="3"/>
  <c r="G312" i="3"/>
  <c r="J311" i="3"/>
  <c r="I311" i="3"/>
  <c r="H311" i="3"/>
  <c r="G311" i="3"/>
  <c r="J310" i="3"/>
  <c r="I310" i="3"/>
  <c r="H310" i="3"/>
  <c r="G310" i="3"/>
  <c r="J309" i="3"/>
  <c r="I309" i="3"/>
  <c r="H309" i="3"/>
  <c r="G309" i="3"/>
  <c r="J308" i="3"/>
  <c r="I308" i="3"/>
  <c r="H308" i="3"/>
  <c r="G308" i="3"/>
  <c r="J307" i="3"/>
  <c r="I307" i="3"/>
  <c r="H307" i="3"/>
  <c r="G307" i="3"/>
  <c r="J306" i="3"/>
  <c r="I306" i="3"/>
  <c r="H306" i="3"/>
  <c r="G306" i="3"/>
  <c r="J305" i="3"/>
  <c r="I305" i="3"/>
  <c r="H305" i="3"/>
  <c r="G305" i="3"/>
  <c r="J304" i="3"/>
  <c r="I304" i="3"/>
  <c r="H304" i="3"/>
  <c r="G304" i="3"/>
  <c r="J303" i="3"/>
  <c r="I303" i="3"/>
  <c r="H303" i="3"/>
  <c r="G303" i="3"/>
  <c r="J302" i="3"/>
  <c r="I302" i="3"/>
  <c r="H302" i="3"/>
  <c r="G302" i="3"/>
  <c r="J301" i="3"/>
  <c r="I301" i="3"/>
  <c r="H301" i="3"/>
  <c r="G301" i="3"/>
  <c r="J300" i="3"/>
  <c r="I300" i="3"/>
  <c r="H300" i="3"/>
  <c r="G300" i="3"/>
  <c r="J299" i="3"/>
  <c r="I299" i="3"/>
  <c r="H299" i="3"/>
  <c r="G299" i="3"/>
  <c r="J298" i="3"/>
  <c r="I298" i="3"/>
  <c r="H298" i="3"/>
  <c r="G298" i="3"/>
  <c r="J297" i="3"/>
  <c r="I297" i="3"/>
  <c r="H297" i="3"/>
  <c r="G297" i="3"/>
  <c r="J296" i="3"/>
  <c r="I296" i="3"/>
  <c r="H296" i="3"/>
  <c r="G296" i="3"/>
  <c r="J295" i="3"/>
  <c r="I295" i="3"/>
  <c r="H295" i="3"/>
  <c r="G295" i="3"/>
  <c r="J294" i="3"/>
  <c r="I294" i="3"/>
  <c r="H294" i="3"/>
  <c r="G294" i="3"/>
  <c r="J293" i="3"/>
  <c r="I293" i="3"/>
  <c r="H293" i="3"/>
  <c r="G293" i="3"/>
  <c r="J292" i="3"/>
  <c r="I292" i="3"/>
  <c r="H292" i="3"/>
  <c r="G292" i="3"/>
  <c r="J291" i="3"/>
  <c r="I291" i="3"/>
  <c r="H291" i="3"/>
  <c r="G291" i="3"/>
  <c r="J290" i="3"/>
  <c r="I290" i="3"/>
  <c r="H290" i="3"/>
  <c r="G290" i="3"/>
  <c r="J289" i="3"/>
  <c r="I289" i="3"/>
  <c r="H289" i="3"/>
  <c r="G289" i="3"/>
  <c r="J288" i="3"/>
  <c r="I288" i="3"/>
  <c r="H288" i="3"/>
  <c r="G288" i="3"/>
  <c r="J287" i="3"/>
  <c r="I287" i="3"/>
  <c r="H287" i="3"/>
  <c r="G287" i="3"/>
  <c r="J286" i="3"/>
  <c r="I286" i="3"/>
  <c r="H286" i="3"/>
  <c r="G286" i="3"/>
  <c r="J285" i="3"/>
  <c r="I285" i="3"/>
  <c r="H285" i="3"/>
  <c r="G285" i="3"/>
  <c r="J284" i="3"/>
  <c r="I284" i="3"/>
  <c r="H284" i="3"/>
  <c r="G284" i="3"/>
  <c r="J283" i="3"/>
  <c r="I283" i="3"/>
  <c r="H283" i="3"/>
  <c r="G283" i="3"/>
  <c r="J282" i="3"/>
  <c r="I282" i="3"/>
  <c r="H282" i="3"/>
  <c r="G282" i="3"/>
  <c r="J281" i="3"/>
  <c r="I281" i="3"/>
  <c r="H281" i="3"/>
  <c r="G281" i="3"/>
  <c r="J280" i="3"/>
  <c r="I280" i="3"/>
  <c r="H280" i="3"/>
  <c r="G280" i="3"/>
  <c r="J279" i="3"/>
  <c r="I279" i="3"/>
  <c r="H279" i="3"/>
  <c r="G279" i="3"/>
  <c r="J278" i="3"/>
  <c r="I278" i="3"/>
  <c r="H278" i="3"/>
  <c r="G278" i="3"/>
  <c r="J277" i="3"/>
  <c r="I277" i="3"/>
  <c r="H277" i="3"/>
  <c r="G277" i="3"/>
  <c r="J276" i="3"/>
  <c r="I276" i="3"/>
  <c r="H276" i="3"/>
  <c r="G276" i="3"/>
  <c r="J275" i="3"/>
  <c r="I275" i="3"/>
  <c r="H275" i="3"/>
  <c r="G275" i="3"/>
  <c r="J274" i="3"/>
  <c r="I274" i="3"/>
  <c r="H274" i="3"/>
  <c r="G274" i="3"/>
  <c r="J273" i="3"/>
  <c r="I273" i="3"/>
  <c r="H273" i="3"/>
  <c r="G273" i="3"/>
  <c r="J272" i="3"/>
  <c r="I272" i="3"/>
  <c r="H272" i="3"/>
  <c r="G272" i="3"/>
  <c r="J271" i="3"/>
  <c r="I271" i="3"/>
  <c r="H271" i="3"/>
  <c r="G271" i="3"/>
  <c r="J270" i="3"/>
  <c r="I270" i="3"/>
  <c r="H270" i="3"/>
  <c r="G270" i="3"/>
  <c r="J269" i="3"/>
  <c r="I269" i="3"/>
  <c r="H269" i="3"/>
  <c r="G269" i="3"/>
  <c r="J268" i="3"/>
  <c r="I268" i="3"/>
  <c r="H268" i="3"/>
  <c r="G268" i="3"/>
  <c r="J267" i="3"/>
  <c r="I267" i="3"/>
  <c r="H267" i="3"/>
  <c r="G267" i="3"/>
  <c r="J266" i="3"/>
  <c r="I266" i="3"/>
  <c r="H266" i="3"/>
  <c r="G266" i="3"/>
  <c r="J265" i="3"/>
  <c r="I265" i="3"/>
  <c r="H265" i="3"/>
  <c r="G265" i="3"/>
  <c r="J264" i="3"/>
  <c r="I264" i="3"/>
  <c r="H264" i="3"/>
  <c r="G264" i="3"/>
  <c r="J263" i="3"/>
  <c r="I263" i="3"/>
  <c r="H263" i="3"/>
  <c r="G263" i="3"/>
  <c r="J262" i="3"/>
  <c r="I262" i="3"/>
  <c r="H262" i="3"/>
  <c r="G262" i="3"/>
  <c r="J261" i="3"/>
  <c r="I261" i="3"/>
  <c r="H261" i="3"/>
  <c r="G261" i="3"/>
  <c r="J260" i="3"/>
  <c r="I260" i="3"/>
  <c r="H260" i="3"/>
  <c r="G260" i="3"/>
  <c r="J259" i="3"/>
  <c r="I259" i="3"/>
  <c r="H259" i="3"/>
  <c r="G259" i="3"/>
  <c r="J258" i="3"/>
  <c r="I258" i="3"/>
  <c r="H258" i="3"/>
  <c r="G258" i="3"/>
  <c r="J257" i="3"/>
  <c r="I257" i="3"/>
  <c r="H257" i="3"/>
  <c r="G257" i="3"/>
  <c r="J256" i="3"/>
  <c r="I256" i="3"/>
  <c r="H256" i="3"/>
  <c r="G256" i="3"/>
  <c r="J255" i="3"/>
  <c r="I255" i="3"/>
  <c r="H255" i="3"/>
  <c r="G255" i="3"/>
  <c r="J254" i="3"/>
  <c r="I254" i="3"/>
  <c r="H254" i="3"/>
  <c r="G254" i="3"/>
  <c r="J253" i="3"/>
  <c r="I253" i="3"/>
  <c r="H253" i="3"/>
  <c r="G253" i="3"/>
  <c r="J252" i="3"/>
  <c r="I252" i="3"/>
  <c r="H252" i="3"/>
  <c r="G252" i="3"/>
  <c r="J251" i="3"/>
  <c r="I251" i="3"/>
  <c r="H251" i="3"/>
  <c r="G251" i="3"/>
  <c r="J250" i="3"/>
  <c r="I250" i="3"/>
  <c r="H250" i="3"/>
  <c r="G250" i="3"/>
  <c r="J249" i="3"/>
  <c r="I249" i="3"/>
  <c r="H249" i="3"/>
  <c r="G249" i="3"/>
  <c r="J248" i="3"/>
  <c r="I248" i="3"/>
  <c r="H248" i="3"/>
  <c r="G248" i="3"/>
  <c r="J247" i="3"/>
  <c r="I247" i="3"/>
  <c r="H247" i="3"/>
  <c r="G247" i="3"/>
  <c r="J246" i="3"/>
  <c r="I246" i="3"/>
  <c r="H246" i="3"/>
  <c r="G246" i="3"/>
  <c r="J245" i="3"/>
  <c r="I245" i="3"/>
  <c r="H245" i="3"/>
  <c r="G245" i="3"/>
  <c r="J244" i="3"/>
  <c r="I244" i="3"/>
  <c r="H244" i="3"/>
  <c r="G244" i="3"/>
  <c r="J243" i="3"/>
  <c r="I243" i="3"/>
  <c r="H243" i="3"/>
  <c r="G243" i="3"/>
  <c r="J242" i="3"/>
  <c r="I242" i="3"/>
  <c r="H242" i="3"/>
  <c r="G242" i="3"/>
  <c r="J241" i="3"/>
  <c r="I241" i="3"/>
  <c r="H241" i="3"/>
  <c r="G241" i="3"/>
  <c r="J240" i="3"/>
  <c r="I240" i="3"/>
  <c r="H240" i="3"/>
  <c r="G240" i="3"/>
  <c r="J239" i="3"/>
  <c r="I239" i="3"/>
  <c r="H239" i="3"/>
  <c r="G239" i="3"/>
  <c r="J238" i="3"/>
  <c r="I238" i="3"/>
  <c r="H238" i="3"/>
  <c r="G238" i="3"/>
  <c r="J237" i="3"/>
  <c r="I237" i="3"/>
  <c r="H237" i="3"/>
  <c r="G237" i="3"/>
  <c r="J236" i="3"/>
  <c r="I236" i="3"/>
  <c r="H236" i="3"/>
  <c r="G236" i="3"/>
  <c r="J235" i="3"/>
  <c r="I235" i="3"/>
  <c r="H235" i="3"/>
  <c r="G235" i="3"/>
  <c r="J234" i="3"/>
  <c r="I234" i="3"/>
  <c r="H234" i="3"/>
  <c r="G234" i="3"/>
  <c r="J233" i="3"/>
  <c r="I233" i="3"/>
  <c r="H233" i="3"/>
  <c r="G233" i="3"/>
  <c r="J232" i="3"/>
  <c r="I232" i="3"/>
  <c r="H232" i="3"/>
  <c r="G232" i="3"/>
  <c r="J231" i="3"/>
  <c r="I231" i="3"/>
  <c r="H231" i="3"/>
  <c r="G231" i="3"/>
  <c r="J230" i="3"/>
  <c r="I230" i="3"/>
  <c r="H230" i="3"/>
  <c r="G230" i="3"/>
  <c r="J229" i="3"/>
  <c r="I229" i="3"/>
  <c r="H229" i="3"/>
  <c r="G229" i="3"/>
  <c r="J228" i="3"/>
  <c r="I228" i="3"/>
  <c r="H228" i="3"/>
  <c r="G228" i="3"/>
  <c r="J227" i="3"/>
  <c r="I227" i="3"/>
  <c r="H227" i="3"/>
  <c r="G227" i="3"/>
  <c r="J226" i="3"/>
  <c r="I226" i="3"/>
  <c r="H226" i="3"/>
  <c r="G226" i="3"/>
  <c r="J225" i="3"/>
  <c r="I225" i="3"/>
  <c r="H225" i="3"/>
  <c r="G225" i="3"/>
  <c r="J224" i="3"/>
  <c r="I224" i="3"/>
  <c r="H224" i="3"/>
  <c r="G224" i="3"/>
  <c r="J223" i="3"/>
  <c r="I223" i="3"/>
  <c r="H223" i="3"/>
  <c r="G223" i="3"/>
  <c r="J222" i="3"/>
  <c r="I222" i="3"/>
  <c r="H222" i="3"/>
  <c r="G222" i="3"/>
  <c r="J221" i="3"/>
  <c r="I221" i="3"/>
  <c r="H221" i="3"/>
  <c r="G221" i="3"/>
  <c r="J220" i="3"/>
  <c r="I220" i="3"/>
  <c r="H220" i="3"/>
  <c r="G220" i="3"/>
  <c r="J219" i="3"/>
  <c r="I219" i="3"/>
  <c r="H219" i="3"/>
  <c r="G219" i="3"/>
  <c r="J218" i="3"/>
  <c r="I218" i="3"/>
  <c r="H218" i="3"/>
  <c r="G218" i="3"/>
  <c r="J217" i="3"/>
  <c r="I217" i="3"/>
  <c r="H217" i="3"/>
  <c r="G217" i="3"/>
  <c r="J216" i="3"/>
  <c r="I216" i="3"/>
  <c r="H216" i="3"/>
  <c r="G216" i="3"/>
  <c r="J215" i="3"/>
  <c r="I215" i="3"/>
  <c r="H215" i="3"/>
  <c r="G215" i="3"/>
  <c r="J214" i="3"/>
  <c r="I214" i="3"/>
  <c r="H214" i="3"/>
  <c r="G214" i="3"/>
  <c r="J213" i="3"/>
  <c r="I213" i="3"/>
  <c r="H213" i="3"/>
  <c r="G213" i="3"/>
  <c r="J212" i="3"/>
  <c r="I212" i="3"/>
  <c r="H212" i="3"/>
  <c r="G212" i="3"/>
  <c r="J211" i="3"/>
  <c r="I211" i="3"/>
  <c r="H211" i="3"/>
  <c r="G211" i="3"/>
  <c r="J210" i="3"/>
  <c r="I210" i="3"/>
  <c r="H210" i="3"/>
  <c r="G210" i="3"/>
  <c r="J209" i="3"/>
  <c r="I209" i="3"/>
  <c r="H209" i="3"/>
  <c r="G209" i="3"/>
  <c r="J208" i="3"/>
  <c r="I208" i="3"/>
  <c r="H208" i="3"/>
  <c r="G208" i="3"/>
  <c r="J207" i="3"/>
  <c r="I207" i="3"/>
  <c r="H207" i="3"/>
  <c r="G207" i="3"/>
  <c r="J206" i="3"/>
  <c r="I206" i="3"/>
  <c r="H206" i="3"/>
  <c r="G206" i="3"/>
  <c r="J205" i="3"/>
  <c r="I205" i="3"/>
  <c r="H205" i="3"/>
  <c r="G205" i="3"/>
  <c r="J204" i="3"/>
  <c r="I204" i="3"/>
  <c r="H204" i="3"/>
  <c r="G204" i="3"/>
  <c r="J203" i="3"/>
  <c r="I203" i="3"/>
  <c r="H203" i="3"/>
  <c r="G203" i="3"/>
  <c r="J202" i="3"/>
  <c r="I202" i="3"/>
  <c r="H202" i="3"/>
  <c r="G202" i="3"/>
  <c r="J201" i="3"/>
  <c r="I201" i="3"/>
  <c r="H201" i="3"/>
  <c r="G201" i="3"/>
  <c r="J200" i="3"/>
  <c r="I200" i="3"/>
  <c r="H200" i="3"/>
  <c r="G200" i="3"/>
  <c r="J199" i="3"/>
  <c r="I199" i="3"/>
  <c r="H199" i="3"/>
  <c r="G199" i="3"/>
  <c r="J198" i="3"/>
  <c r="I198" i="3"/>
  <c r="H198" i="3"/>
  <c r="G198" i="3"/>
  <c r="J197" i="3"/>
  <c r="I197" i="3"/>
  <c r="H197" i="3"/>
  <c r="G197" i="3"/>
  <c r="J196" i="3"/>
  <c r="I196" i="3"/>
  <c r="H196" i="3"/>
  <c r="G196" i="3"/>
  <c r="J195" i="3"/>
  <c r="I195" i="3"/>
  <c r="H195" i="3"/>
  <c r="G195" i="3"/>
  <c r="J194" i="3"/>
  <c r="I194" i="3"/>
  <c r="H194" i="3"/>
  <c r="G194" i="3"/>
  <c r="J193" i="3"/>
  <c r="I193" i="3"/>
  <c r="H193" i="3"/>
  <c r="G193" i="3"/>
  <c r="J192" i="3"/>
  <c r="I192" i="3"/>
  <c r="H192" i="3"/>
  <c r="G192" i="3"/>
  <c r="J191" i="3"/>
  <c r="I191" i="3"/>
  <c r="H191" i="3"/>
  <c r="G191" i="3"/>
  <c r="J190" i="3"/>
  <c r="I190" i="3"/>
  <c r="H190" i="3"/>
  <c r="G190" i="3"/>
  <c r="J189" i="3"/>
  <c r="I189" i="3"/>
  <c r="H189" i="3"/>
  <c r="G189" i="3"/>
  <c r="J188" i="3"/>
  <c r="I188" i="3"/>
  <c r="H188" i="3"/>
  <c r="G188" i="3"/>
  <c r="J187" i="3"/>
  <c r="I187" i="3"/>
  <c r="H187" i="3"/>
  <c r="G187" i="3"/>
  <c r="J186" i="3"/>
  <c r="I186" i="3"/>
  <c r="H186" i="3"/>
  <c r="G186" i="3"/>
  <c r="J185" i="3"/>
  <c r="I185" i="3"/>
  <c r="H185" i="3"/>
  <c r="G185" i="3"/>
  <c r="J184" i="3"/>
  <c r="I184" i="3"/>
  <c r="H184" i="3"/>
  <c r="G184" i="3"/>
  <c r="J183" i="3"/>
  <c r="I183" i="3"/>
  <c r="H183" i="3"/>
  <c r="G183" i="3"/>
  <c r="J182" i="3"/>
  <c r="I182" i="3"/>
  <c r="H182" i="3"/>
  <c r="G182" i="3"/>
  <c r="J181" i="3"/>
  <c r="I181" i="3"/>
  <c r="H181" i="3"/>
  <c r="G181" i="3"/>
  <c r="J180" i="3"/>
  <c r="I180" i="3"/>
  <c r="H180" i="3"/>
  <c r="G180" i="3"/>
  <c r="J179" i="3"/>
  <c r="I179" i="3"/>
  <c r="H179" i="3"/>
  <c r="G179" i="3"/>
  <c r="J178" i="3"/>
  <c r="I178" i="3"/>
  <c r="H178" i="3"/>
  <c r="G178" i="3"/>
  <c r="J177" i="3"/>
  <c r="I177" i="3"/>
  <c r="H177" i="3"/>
  <c r="G177" i="3"/>
  <c r="J176" i="3"/>
  <c r="I176" i="3"/>
  <c r="H176" i="3"/>
  <c r="G176" i="3"/>
  <c r="J175" i="3"/>
  <c r="I175" i="3"/>
  <c r="H175" i="3"/>
  <c r="G175" i="3"/>
  <c r="J174" i="3"/>
  <c r="I174" i="3"/>
  <c r="H174" i="3"/>
  <c r="G174" i="3"/>
  <c r="J173" i="3"/>
  <c r="I173" i="3"/>
  <c r="H173" i="3"/>
  <c r="G173" i="3"/>
  <c r="J172" i="3"/>
  <c r="I172" i="3"/>
  <c r="H172" i="3"/>
  <c r="G172" i="3"/>
  <c r="J171" i="3"/>
  <c r="I171" i="3"/>
  <c r="H171" i="3"/>
  <c r="G171" i="3"/>
  <c r="J170" i="3"/>
  <c r="I170" i="3"/>
  <c r="H170" i="3"/>
  <c r="G170" i="3"/>
  <c r="J169" i="3"/>
  <c r="I169" i="3"/>
  <c r="H169" i="3"/>
  <c r="G169" i="3"/>
  <c r="J168" i="3"/>
  <c r="I168" i="3"/>
  <c r="H168" i="3"/>
  <c r="G168" i="3"/>
  <c r="J167" i="3"/>
  <c r="I167" i="3"/>
  <c r="H167" i="3"/>
  <c r="G167" i="3"/>
  <c r="J166" i="3"/>
  <c r="I166" i="3"/>
  <c r="H166" i="3"/>
  <c r="G166" i="3"/>
  <c r="J165" i="3"/>
  <c r="I165" i="3"/>
  <c r="H165" i="3"/>
  <c r="G165" i="3"/>
  <c r="J164" i="3"/>
  <c r="I164" i="3"/>
  <c r="H164" i="3"/>
  <c r="G164" i="3"/>
  <c r="J163" i="3"/>
  <c r="I163" i="3"/>
  <c r="H163" i="3"/>
  <c r="G163" i="3"/>
  <c r="J162" i="3"/>
  <c r="I162" i="3"/>
  <c r="H162" i="3"/>
  <c r="G162" i="3"/>
  <c r="J161" i="3"/>
  <c r="I161" i="3"/>
  <c r="H161" i="3"/>
  <c r="G161" i="3"/>
  <c r="J160" i="3"/>
  <c r="I160" i="3"/>
  <c r="H160" i="3"/>
  <c r="G160" i="3"/>
  <c r="J159" i="3"/>
  <c r="I159" i="3"/>
  <c r="H159" i="3"/>
  <c r="G159" i="3"/>
  <c r="J158" i="3"/>
  <c r="I158" i="3"/>
  <c r="H158" i="3"/>
  <c r="G158" i="3"/>
  <c r="J157" i="3"/>
  <c r="I157" i="3"/>
  <c r="H157" i="3"/>
  <c r="G157" i="3"/>
  <c r="J156" i="3"/>
  <c r="I156" i="3"/>
  <c r="H156" i="3"/>
  <c r="G156" i="3"/>
  <c r="J155" i="3"/>
  <c r="I155" i="3"/>
  <c r="H155" i="3"/>
  <c r="G155" i="3"/>
  <c r="J154" i="3"/>
  <c r="I154" i="3"/>
  <c r="H154" i="3"/>
  <c r="G154" i="3"/>
  <c r="J153" i="3"/>
  <c r="I153" i="3"/>
  <c r="H153" i="3"/>
  <c r="G153" i="3"/>
  <c r="J152" i="3"/>
  <c r="I152" i="3"/>
  <c r="H152" i="3"/>
  <c r="G152" i="3"/>
  <c r="J151" i="3"/>
  <c r="I151" i="3"/>
  <c r="H151" i="3"/>
  <c r="G151" i="3"/>
  <c r="J150" i="3"/>
  <c r="I150" i="3"/>
  <c r="H150" i="3"/>
  <c r="G150" i="3"/>
  <c r="J149" i="3"/>
  <c r="I149" i="3"/>
  <c r="H149" i="3"/>
  <c r="G149" i="3"/>
  <c r="J148" i="3"/>
  <c r="I148" i="3"/>
  <c r="H148" i="3"/>
  <c r="G148" i="3"/>
  <c r="J147" i="3"/>
  <c r="I147" i="3"/>
  <c r="H147" i="3"/>
  <c r="G147" i="3"/>
  <c r="J146" i="3"/>
  <c r="I146" i="3"/>
  <c r="H146" i="3"/>
  <c r="G146" i="3"/>
  <c r="J145" i="3"/>
  <c r="I145" i="3"/>
  <c r="H145" i="3"/>
  <c r="G145" i="3"/>
  <c r="J144" i="3"/>
  <c r="I144" i="3"/>
  <c r="H144" i="3"/>
  <c r="G144" i="3"/>
  <c r="J143" i="3"/>
  <c r="I143" i="3"/>
  <c r="H143" i="3"/>
  <c r="G143" i="3"/>
  <c r="J142" i="3"/>
  <c r="I142" i="3"/>
  <c r="H142" i="3"/>
  <c r="G142" i="3"/>
  <c r="J141" i="3"/>
  <c r="I141" i="3"/>
  <c r="H141" i="3"/>
  <c r="G141" i="3"/>
  <c r="J140" i="3"/>
  <c r="I140" i="3"/>
  <c r="H140" i="3"/>
  <c r="G140" i="3"/>
  <c r="J139" i="3"/>
  <c r="I139" i="3"/>
  <c r="H139" i="3"/>
  <c r="G139" i="3"/>
  <c r="J138" i="3"/>
  <c r="I138" i="3"/>
  <c r="H138" i="3"/>
  <c r="G138" i="3"/>
  <c r="J137" i="3"/>
  <c r="I137" i="3"/>
  <c r="H137" i="3"/>
  <c r="G137" i="3"/>
  <c r="J136" i="3"/>
  <c r="I136" i="3"/>
  <c r="H136" i="3"/>
  <c r="G136" i="3"/>
  <c r="J135" i="3"/>
  <c r="I135" i="3"/>
  <c r="H135" i="3"/>
  <c r="G135" i="3"/>
  <c r="J134" i="3"/>
  <c r="I134" i="3"/>
  <c r="H134" i="3"/>
  <c r="G134" i="3"/>
  <c r="J133" i="3"/>
  <c r="I133" i="3"/>
  <c r="H133" i="3"/>
  <c r="G133" i="3"/>
  <c r="J132" i="3"/>
  <c r="I132" i="3"/>
  <c r="H132" i="3"/>
  <c r="G132" i="3"/>
  <c r="J131" i="3"/>
  <c r="I131" i="3"/>
  <c r="H131" i="3"/>
  <c r="G131" i="3"/>
  <c r="J130" i="3"/>
  <c r="I130" i="3"/>
  <c r="H130" i="3"/>
  <c r="G130" i="3"/>
  <c r="J129" i="3"/>
  <c r="I129" i="3"/>
  <c r="H129" i="3"/>
  <c r="G129" i="3"/>
  <c r="J128" i="3"/>
  <c r="I128" i="3"/>
  <c r="H128" i="3"/>
  <c r="G128" i="3"/>
  <c r="J127" i="3"/>
  <c r="I127" i="3"/>
  <c r="H127" i="3"/>
  <c r="G127" i="3"/>
  <c r="J126" i="3"/>
  <c r="I126" i="3"/>
  <c r="H126" i="3"/>
  <c r="G126" i="3"/>
  <c r="J125" i="3"/>
  <c r="I125" i="3"/>
  <c r="H125" i="3"/>
  <c r="G125" i="3"/>
  <c r="J124" i="3"/>
  <c r="I124" i="3"/>
  <c r="H124" i="3"/>
  <c r="G124" i="3"/>
  <c r="J123" i="3"/>
  <c r="I123" i="3"/>
  <c r="H123" i="3"/>
  <c r="G123" i="3"/>
  <c r="J122" i="3"/>
  <c r="I122" i="3"/>
  <c r="H122" i="3"/>
  <c r="G122" i="3"/>
  <c r="J121" i="3"/>
  <c r="I121" i="3"/>
  <c r="H121" i="3"/>
  <c r="G121" i="3"/>
  <c r="J120" i="3"/>
  <c r="I120" i="3"/>
  <c r="H120" i="3"/>
  <c r="G120" i="3"/>
  <c r="J119" i="3"/>
  <c r="I119" i="3"/>
  <c r="H119" i="3"/>
  <c r="G119" i="3"/>
  <c r="J118" i="3"/>
  <c r="I118" i="3"/>
  <c r="H118" i="3"/>
  <c r="G118" i="3"/>
  <c r="J117" i="3"/>
  <c r="I117" i="3"/>
  <c r="H117" i="3"/>
  <c r="G117" i="3"/>
  <c r="J116" i="3"/>
  <c r="I116" i="3"/>
  <c r="H116" i="3"/>
  <c r="G116" i="3"/>
  <c r="J115" i="3"/>
  <c r="I115" i="3"/>
  <c r="H115" i="3"/>
  <c r="G115" i="3"/>
  <c r="J114" i="3"/>
  <c r="I114" i="3"/>
  <c r="H114" i="3"/>
  <c r="G114" i="3"/>
  <c r="J113" i="3"/>
  <c r="I113" i="3"/>
  <c r="H113" i="3"/>
  <c r="G113" i="3"/>
  <c r="J112" i="3"/>
  <c r="I112" i="3"/>
  <c r="H112" i="3"/>
  <c r="G112" i="3"/>
  <c r="J111" i="3"/>
  <c r="I111" i="3"/>
  <c r="H111" i="3"/>
  <c r="G111" i="3"/>
  <c r="J110" i="3"/>
  <c r="I110" i="3"/>
  <c r="H110" i="3"/>
  <c r="G110" i="3"/>
  <c r="J109" i="3"/>
  <c r="I109" i="3"/>
  <c r="H109" i="3"/>
  <c r="G109" i="3"/>
  <c r="J108" i="3"/>
  <c r="I108" i="3"/>
  <c r="H108" i="3"/>
  <c r="G108" i="3"/>
  <c r="J107" i="3"/>
  <c r="I107" i="3"/>
  <c r="H107" i="3"/>
  <c r="G107" i="3"/>
  <c r="J106" i="3"/>
  <c r="I106" i="3"/>
  <c r="H106" i="3"/>
  <c r="G106" i="3"/>
  <c r="J105" i="3"/>
  <c r="I105" i="3"/>
  <c r="H105" i="3"/>
  <c r="G105" i="3"/>
  <c r="J104" i="3"/>
  <c r="I104" i="3"/>
  <c r="H104" i="3"/>
  <c r="G104" i="3"/>
  <c r="J103" i="3"/>
  <c r="I103" i="3"/>
  <c r="H103" i="3"/>
  <c r="G103" i="3"/>
  <c r="J102" i="3"/>
  <c r="I102" i="3"/>
  <c r="H102" i="3"/>
  <c r="G102" i="3"/>
  <c r="J101" i="3"/>
  <c r="I101" i="3"/>
  <c r="H101" i="3"/>
  <c r="G101" i="3"/>
  <c r="J100" i="3"/>
  <c r="I100" i="3"/>
  <c r="H100" i="3"/>
  <c r="G100" i="3"/>
  <c r="J99" i="3"/>
  <c r="I99" i="3"/>
  <c r="H99" i="3"/>
  <c r="G99" i="3"/>
  <c r="J98" i="3"/>
  <c r="I98" i="3"/>
  <c r="H98" i="3"/>
  <c r="G98" i="3"/>
  <c r="J97" i="3"/>
  <c r="I97" i="3"/>
  <c r="H97" i="3"/>
  <c r="G97" i="3"/>
  <c r="J96" i="3"/>
  <c r="I96" i="3"/>
  <c r="H96" i="3"/>
  <c r="G96" i="3"/>
  <c r="J95" i="3"/>
  <c r="I95" i="3"/>
  <c r="H95" i="3"/>
  <c r="G95" i="3"/>
  <c r="J94" i="3"/>
  <c r="I94" i="3"/>
  <c r="H94" i="3"/>
  <c r="G94" i="3"/>
  <c r="J93" i="3"/>
  <c r="I93" i="3"/>
  <c r="H93" i="3"/>
  <c r="G93" i="3"/>
  <c r="J92" i="3"/>
  <c r="I92" i="3"/>
  <c r="H92" i="3"/>
  <c r="G92" i="3"/>
  <c r="J91" i="3"/>
  <c r="I91" i="3"/>
  <c r="H91" i="3"/>
  <c r="G91" i="3"/>
  <c r="J90" i="3"/>
  <c r="I90" i="3"/>
  <c r="H90" i="3"/>
  <c r="G90" i="3"/>
  <c r="J89" i="3"/>
  <c r="I89" i="3"/>
  <c r="H89" i="3"/>
  <c r="G89" i="3"/>
  <c r="J88" i="3"/>
  <c r="I88" i="3"/>
  <c r="H88" i="3"/>
  <c r="G88" i="3"/>
  <c r="J87" i="3"/>
  <c r="I87" i="3"/>
  <c r="H87" i="3"/>
  <c r="G87" i="3"/>
  <c r="J86" i="3"/>
  <c r="I86" i="3"/>
  <c r="H86" i="3"/>
  <c r="G86" i="3"/>
  <c r="J85" i="3"/>
  <c r="I85" i="3"/>
  <c r="H85" i="3"/>
  <c r="G85" i="3"/>
  <c r="J84" i="3"/>
  <c r="I84" i="3"/>
  <c r="H84" i="3"/>
  <c r="G84" i="3"/>
  <c r="J83" i="3"/>
  <c r="I83" i="3"/>
  <c r="H83" i="3"/>
  <c r="G83" i="3"/>
  <c r="J82" i="3"/>
  <c r="I82" i="3"/>
  <c r="H82" i="3"/>
  <c r="G82" i="3"/>
  <c r="J81" i="3"/>
  <c r="I81" i="3"/>
  <c r="H81" i="3"/>
  <c r="G81" i="3"/>
  <c r="J80" i="3"/>
  <c r="I80" i="3"/>
  <c r="H80" i="3"/>
  <c r="G80" i="3"/>
  <c r="J79" i="3"/>
  <c r="I79" i="3"/>
  <c r="H79" i="3"/>
  <c r="G79" i="3"/>
  <c r="J78" i="3"/>
  <c r="I78" i="3"/>
  <c r="H78" i="3"/>
  <c r="G78" i="3"/>
  <c r="J77" i="3"/>
  <c r="I77" i="3"/>
  <c r="H77" i="3"/>
  <c r="G77" i="3"/>
  <c r="J76" i="3"/>
  <c r="I76" i="3"/>
  <c r="H76" i="3"/>
  <c r="G76" i="3"/>
  <c r="J75" i="3"/>
  <c r="I75" i="3"/>
  <c r="H75" i="3"/>
  <c r="G75" i="3"/>
  <c r="J74" i="3"/>
  <c r="I74" i="3"/>
  <c r="H74" i="3"/>
  <c r="G74" i="3"/>
  <c r="J73" i="3"/>
  <c r="I73" i="3"/>
  <c r="H73" i="3"/>
  <c r="G73" i="3"/>
  <c r="J72" i="3"/>
  <c r="I72" i="3"/>
  <c r="H72" i="3"/>
  <c r="G72" i="3"/>
  <c r="J71" i="3"/>
  <c r="I71" i="3"/>
  <c r="H71" i="3"/>
  <c r="G71" i="3"/>
  <c r="J70" i="3"/>
  <c r="I70" i="3"/>
  <c r="H70" i="3"/>
  <c r="G70" i="3"/>
  <c r="J69" i="3"/>
  <c r="I69" i="3"/>
  <c r="H69" i="3"/>
  <c r="G69" i="3"/>
  <c r="J68" i="3"/>
  <c r="I68" i="3"/>
  <c r="H68" i="3"/>
  <c r="G68" i="3"/>
  <c r="J67" i="3"/>
  <c r="I67" i="3"/>
  <c r="H67" i="3"/>
  <c r="G67" i="3"/>
  <c r="J66" i="3"/>
  <c r="I66" i="3"/>
  <c r="H66" i="3"/>
  <c r="G66" i="3"/>
  <c r="J65" i="3"/>
  <c r="I65" i="3"/>
  <c r="H65" i="3"/>
  <c r="G65" i="3"/>
  <c r="J64" i="3"/>
  <c r="I64" i="3"/>
  <c r="H64" i="3"/>
  <c r="G64" i="3"/>
  <c r="J63" i="3"/>
  <c r="I63" i="3"/>
  <c r="H63" i="3"/>
  <c r="G63" i="3"/>
  <c r="J62" i="3"/>
  <c r="I62" i="3"/>
  <c r="H62" i="3"/>
  <c r="G62" i="3"/>
  <c r="J61" i="3"/>
  <c r="I61" i="3"/>
  <c r="H61" i="3"/>
  <c r="G61" i="3"/>
  <c r="J60" i="3"/>
  <c r="I60" i="3"/>
  <c r="H60" i="3"/>
  <c r="G60" i="3"/>
  <c r="J59" i="3"/>
  <c r="I59" i="3"/>
  <c r="H59" i="3"/>
  <c r="G59" i="3"/>
  <c r="J58" i="3"/>
  <c r="I58" i="3"/>
  <c r="H58" i="3"/>
  <c r="G58" i="3"/>
  <c r="J57" i="3"/>
  <c r="I57" i="3"/>
  <c r="H57" i="3"/>
  <c r="G57" i="3"/>
  <c r="J56" i="3"/>
  <c r="I56" i="3"/>
  <c r="H56" i="3"/>
  <c r="G56" i="3"/>
  <c r="J55" i="3"/>
  <c r="I55" i="3"/>
  <c r="H55" i="3"/>
  <c r="G55" i="3"/>
  <c r="J54" i="3"/>
  <c r="I54" i="3"/>
  <c r="H54" i="3"/>
  <c r="G54" i="3"/>
  <c r="J53" i="3"/>
  <c r="I53" i="3"/>
  <c r="H53" i="3"/>
  <c r="G53" i="3"/>
  <c r="J52" i="3"/>
  <c r="I52" i="3"/>
  <c r="H52" i="3"/>
  <c r="G52" i="3"/>
  <c r="J51" i="3"/>
  <c r="I51" i="3"/>
  <c r="H51" i="3"/>
  <c r="G51" i="3"/>
  <c r="J50" i="3"/>
  <c r="I50" i="3"/>
  <c r="H50" i="3"/>
  <c r="G50" i="3"/>
  <c r="J49" i="3"/>
  <c r="I49" i="3"/>
  <c r="H49" i="3"/>
  <c r="G49" i="3"/>
  <c r="J48" i="3"/>
  <c r="I48" i="3"/>
  <c r="H48" i="3"/>
  <c r="G48" i="3"/>
  <c r="J47" i="3"/>
  <c r="I47" i="3"/>
  <c r="H47" i="3"/>
  <c r="G47" i="3"/>
  <c r="J46" i="3"/>
  <c r="I46" i="3"/>
  <c r="H46" i="3"/>
  <c r="G46" i="3"/>
  <c r="J45" i="3"/>
  <c r="I45" i="3"/>
  <c r="H45" i="3"/>
  <c r="G45" i="3"/>
  <c r="J44" i="3"/>
  <c r="I44" i="3"/>
  <c r="H44" i="3"/>
  <c r="G44" i="3"/>
  <c r="J43" i="3"/>
  <c r="I43" i="3"/>
  <c r="H43" i="3"/>
  <c r="G43" i="3"/>
  <c r="J42" i="3"/>
  <c r="I42" i="3"/>
  <c r="H42" i="3"/>
  <c r="G42" i="3"/>
  <c r="J41" i="3"/>
  <c r="I41" i="3"/>
  <c r="H41" i="3"/>
  <c r="G41" i="3"/>
  <c r="J40" i="3"/>
  <c r="I40" i="3"/>
  <c r="H40" i="3"/>
  <c r="G40" i="3"/>
  <c r="J39" i="3"/>
  <c r="I39" i="3"/>
  <c r="H39" i="3"/>
  <c r="G39" i="3"/>
  <c r="J38" i="3"/>
  <c r="I38" i="3"/>
  <c r="H38" i="3"/>
  <c r="G38" i="3"/>
  <c r="J37" i="3"/>
  <c r="I37" i="3"/>
  <c r="H37" i="3"/>
  <c r="G37" i="3"/>
  <c r="J36" i="3"/>
  <c r="I36" i="3"/>
  <c r="H36" i="3"/>
  <c r="G36" i="3"/>
  <c r="J35" i="3"/>
  <c r="I35" i="3"/>
  <c r="H35" i="3"/>
  <c r="G35" i="3"/>
  <c r="J34" i="3"/>
  <c r="I34" i="3"/>
  <c r="H34" i="3"/>
  <c r="G34" i="3"/>
  <c r="J33" i="3"/>
  <c r="I33" i="3"/>
  <c r="H33" i="3"/>
  <c r="G33" i="3"/>
  <c r="J32" i="3"/>
  <c r="I32" i="3"/>
  <c r="H32" i="3"/>
  <c r="G32" i="3"/>
  <c r="J31" i="3"/>
  <c r="I31" i="3"/>
  <c r="H31" i="3"/>
  <c r="G31" i="3"/>
  <c r="J30" i="3"/>
  <c r="I30" i="3"/>
  <c r="H30" i="3"/>
  <c r="G30" i="3"/>
  <c r="J29" i="3"/>
  <c r="I29" i="3"/>
  <c r="H29" i="3"/>
  <c r="G29" i="3"/>
  <c r="J28" i="3"/>
  <c r="I28" i="3"/>
  <c r="H28" i="3"/>
  <c r="G28" i="3"/>
  <c r="J27" i="3"/>
  <c r="I27" i="3"/>
  <c r="H27" i="3"/>
  <c r="G27" i="3"/>
  <c r="J26" i="3"/>
  <c r="I26" i="3"/>
  <c r="H26" i="3"/>
  <c r="G26" i="3"/>
  <c r="J25" i="3"/>
  <c r="I25" i="3"/>
  <c r="H25" i="3"/>
  <c r="G25" i="3"/>
  <c r="J24" i="3"/>
  <c r="I24" i="3"/>
  <c r="H24" i="3"/>
  <c r="G24" i="3"/>
  <c r="J23" i="3"/>
  <c r="I23" i="3"/>
  <c r="H23" i="3"/>
  <c r="G23" i="3"/>
  <c r="J22" i="3"/>
  <c r="I22" i="3"/>
  <c r="H22" i="3"/>
  <c r="G22" i="3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J8" i="3"/>
  <c r="I8" i="3"/>
  <c r="H8" i="3"/>
  <c r="G8" i="3"/>
  <c r="J7" i="3"/>
  <c r="I7" i="3"/>
  <c r="H7" i="3"/>
  <c r="G7" i="3"/>
  <c r="J6" i="3"/>
  <c r="I6" i="3"/>
  <c r="H6" i="3"/>
  <c r="G6" i="3"/>
  <c r="J5" i="3"/>
  <c r="I5" i="3"/>
  <c r="H5" i="3"/>
  <c r="G5" i="3"/>
  <c r="J4" i="3"/>
  <c r="I4" i="3"/>
  <c r="H4" i="3"/>
  <c r="G4" i="3"/>
  <c r="G3" i="3"/>
  <c r="H3" i="3"/>
  <c r="I3" i="3"/>
  <c r="J3" i="3"/>
  <c r="K2" i="1"/>
  <c r="J2" i="1"/>
  <c r="I2" i="1"/>
  <c r="H2" i="1"/>
  <c r="G2" i="1"/>
  <c r="K2001" i="1"/>
  <c r="J2001" i="1"/>
  <c r="I2001" i="1"/>
  <c r="H2001" i="1"/>
  <c r="G2001" i="1"/>
  <c r="K2000" i="1"/>
  <c r="J2000" i="1"/>
  <c r="I2000" i="1"/>
  <c r="H2000" i="1"/>
  <c r="G2000" i="1"/>
  <c r="K1999" i="1"/>
  <c r="J1999" i="1"/>
  <c r="I1999" i="1"/>
  <c r="H1999" i="1"/>
  <c r="G1999" i="1"/>
  <c r="K1998" i="1"/>
  <c r="J1998" i="1"/>
  <c r="I1998" i="1"/>
  <c r="H1998" i="1"/>
  <c r="G1998" i="1"/>
  <c r="K1997" i="1"/>
  <c r="J1997" i="1"/>
  <c r="I1997" i="1"/>
  <c r="H1997" i="1"/>
  <c r="G1997" i="1"/>
  <c r="K1996" i="1"/>
  <c r="J1996" i="1"/>
  <c r="I1996" i="1"/>
  <c r="H1996" i="1"/>
  <c r="G1996" i="1"/>
  <c r="K1995" i="1"/>
  <c r="J1995" i="1"/>
  <c r="I1995" i="1"/>
  <c r="H1995" i="1"/>
  <c r="G1995" i="1"/>
  <c r="K1994" i="1"/>
  <c r="J1994" i="1"/>
  <c r="I1994" i="1"/>
  <c r="H1994" i="1"/>
  <c r="G1994" i="1"/>
  <c r="K1993" i="1"/>
  <c r="J1993" i="1"/>
  <c r="I1993" i="1"/>
  <c r="H1993" i="1"/>
  <c r="G1993" i="1"/>
  <c r="K1992" i="1"/>
  <c r="J1992" i="1"/>
  <c r="I1992" i="1"/>
  <c r="H1992" i="1"/>
  <c r="G1992" i="1"/>
  <c r="K1991" i="1"/>
  <c r="J1991" i="1"/>
  <c r="I1991" i="1"/>
  <c r="H1991" i="1"/>
  <c r="G1991" i="1"/>
  <c r="K1990" i="1"/>
  <c r="J1990" i="1"/>
  <c r="I1990" i="1"/>
  <c r="H1990" i="1"/>
  <c r="G1990" i="1"/>
  <c r="K1989" i="1"/>
  <c r="J1989" i="1"/>
  <c r="I1989" i="1"/>
  <c r="H1989" i="1"/>
  <c r="G1989" i="1"/>
  <c r="K1988" i="1"/>
  <c r="J1988" i="1"/>
  <c r="I1988" i="1"/>
  <c r="H1988" i="1"/>
  <c r="G1988" i="1"/>
  <c r="K1987" i="1"/>
  <c r="J1987" i="1"/>
  <c r="I1987" i="1"/>
  <c r="H1987" i="1"/>
  <c r="G1987" i="1"/>
  <c r="K1986" i="1"/>
  <c r="J1986" i="1"/>
  <c r="I1986" i="1"/>
  <c r="H1986" i="1"/>
  <c r="G1986" i="1"/>
  <c r="K1985" i="1"/>
  <c r="J1985" i="1"/>
  <c r="I1985" i="1"/>
  <c r="H1985" i="1"/>
  <c r="G1985" i="1"/>
  <c r="K1984" i="1"/>
  <c r="J1984" i="1"/>
  <c r="I1984" i="1"/>
  <c r="H1984" i="1"/>
  <c r="G1984" i="1"/>
  <c r="K1983" i="1"/>
  <c r="J1983" i="1"/>
  <c r="I1983" i="1"/>
  <c r="H1983" i="1"/>
  <c r="G1983" i="1"/>
  <c r="K1982" i="1"/>
  <c r="J1982" i="1"/>
  <c r="I1982" i="1"/>
  <c r="H1982" i="1"/>
  <c r="G1982" i="1"/>
  <c r="K1981" i="1"/>
  <c r="J1981" i="1"/>
  <c r="I1981" i="1"/>
  <c r="H1981" i="1"/>
  <c r="G1981" i="1"/>
  <c r="K1980" i="1"/>
  <c r="J1980" i="1"/>
  <c r="I1980" i="1"/>
  <c r="H1980" i="1"/>
  <c r="G1980" i="1"/>
  <c r="K1979" i="1"/>
  <c r="J1979" i="1"/>
  <c r="I1979" i="1"/>
  <c r="H1979" i="1"/>
  <c r="G1979" i="1"/>
  <c r="K1978" i="1"/>
  <c r="J1978" i="1"/>
  <c r="I1978" i="1"/>
  <c r="H1978" i="1"/>
  <c r="G1978" i="1"/>
  <c r="K1977" i="1"/>
  <c r="J1977" i="1"/>
  <c r="I1977" i="1"/>
  <c r="H1977" i="1"/>
  <c r="G1977" i="1"/>
  <c r="K1976" i="1"/>
  <c r="J1976" i="1"/>
  <c r="I1976" i="1"/>
  <c r="H1976" i="1"/>
  <c r="G1976" i="1"/>
  <c r="K1975" i="1"/>
  <c r="J1975" i="1"/>
  <c r="I1975" i="1"/>
  <c r="H1975" i="1"/>
  <c r="G1975" i="1"/>
  <c r="K1974" i="1"/>
  <c r="J1974" i="1"/>
  <c r="I1974" i="1"/>
  <c r="H1974" i="1"/>
  <c r="G1974" i="1"/>
  <c r="K1973" i="1"/>
  <c r="J1973" i="1"/>
  <c r="I1973" i="1"/>
  <c r="H1973" i="1"/>
  <c r="G1973" i="1"/>
  <c r="K1972" i="1"/>
  <c r="J1972" i="1"/>
  <c r="I1972" i="1"/>
  <c r="H1972" i="1"/>
  <c r="G1972" i="1"/>
  <c r="K1971" i="1"/>
  <c r="J1971" i="1"/>
  <c r="I1971" i="1"/>
  <c r="H1971" i="1"/>
  <c r="G1971" i="1"/>
  <c r="K1970" i="1"/>
  <c r="J1970" i="1"/>
  <c r="I1970" i="1"/>
  <c r="H1970" i="1"/>
  <c r="G1970" i="1"/>
  <c r="K1969" i="1"/>
  <c r="J1969" i="1"/>
  <c r="I1969" i="1"/>
  <c r="H1969" i="1"/>
  <c r="G1969" i="1"/>
  <c r="K1968" i="1"/>
  <c r="J1968" i="1"/>
  <c r="I1968" i="1"/>
  <c r="H1968" i="1"/>
  <c r="G1968" i="1"/>
  <c r="K1967" i="1"/>
  <c r="J1967" i="1"/>
  <c r="I1967" i="1"/>
  <c r="H1967" i="1"/>
  <c r="G1967" i="1"/>
  <c r="K1966" i="1"/>
  <c r="J1966" i="1"/>
  <c r="I1966" i="1"/>
  <c r="H1966" i="1"/>
  <c r="G1966" i="1"/>
  <c r="K1965" i="1"/>
  <c r="J1965" i="1"/>
  <c r="I1965" i="1"/>
  <c r="H1965" i="1"/>
  <c r="G1965" i="1"/>
  <c r="K1964" i="1"/>
  <c r="J1964" i="1"/>
  <c r="I1964" i="1"/>
  <c r="H1964" i="1"/>
  <c r="G1964" i="1"/>
  <c r="K1963" i="1"/>
  <c r="J1963" i="1"/>
  <c r="I1963" i="1"/>
  <c r="H1963" i="1"/>
  <c r="G1963" i="1"/>
  <c r="K1962" i="1"/>
  <c r="J1962" i="1"/>
  <c r="I1962" i="1"/>
  <c r="H1962" i="1"/>
  <c r="G1962" i="1"/>
  <c r="K1961" i="1"/>
  <c r="J1961" i="1"/>
  <c r="I1961" i="1"/>
  <c r="H1961" i="1"/>
  <c r="G1961" i="1"/>
  <c r="K1960" i="1"/>
  <c r="J1960" i="1"/>
  <c r="I1960" i="1"/>
  <c r="H1960" i="1"/>
  <c r="G1960" i="1"/>
  <c r="K1959" i="1"/>
  <c r="J1959" i="1"/>
  <c r="I1959" i="1"/>
  <c r="H1959" i="1"/>
  <c r="G1959" i="1"/>
  <c r="K1958" i="1"/>
  <c r="J1958" i="1"/>
  <c r="I1958" i="1"/>
  <c r="H1958" i="1"/>
  <c r="G1958" i="1"/>
  <c r="K1957" i="1"/>
  <c r="J1957" i="1"/>
  <c r="I1957" i="1"/>
  <c r="H1957" i="1"/>
  <c r="G1957" i="1"/>
  <c r="K1956" i="1"/>
  <c r="J1956" i="1"/>
  <c r="I1956" i="1"/>
  <c r="H1956" i="1"/>
  <c r="G1956" i="1"/>
  <c r="K1955" i="1"/>
  <c r="J1955" i="1"/>
  <c r="I1955" i="1"/>
  <c r="H1955" i="1"/>
  <c r="G1955" i="1"/>
  <c r="K1954" i="1"/>
  <c r="J1954" i="1"/>
  <c r="I1954" i="1"/>
  <c r="H1954" i="1"/>
  <c r="G1954" i="1"/>
  <c r="K1953" i="1"/>
  <c r="J1953" i="1"/>
  <c r="I1953" i="1"/>
  <c r="H1953" i="1"/>
  <c r="G1953" i="1"/>
  <c r="K1952" i="1"/>
  <c r="J1952" i="1"/>
  <c r="I1952" i="1"/>
  <c r="H1952" i="1"/>
  <c r="G1952" i="1"/>
  <c r="K1951" i="1"/>
  <c r="J1951" i="1"/>
  <c r="I1951" i="1"/>
  <c r="H1951" i="1"/>
  <c r="G1951" i="1"/>
  <c r="K1950" i="1"/>
  <c r="J1950" i="1"/>
  <c r="I1950" i="1"/>
  <c r="H1950" i="1"/>
  <c r="G1950" i="1"/>
  <c r="K1949" i="1"/>
  <c r="J1949" i="1"/>
  <c r="I1949" i="1"/>
  <c r="H1949" i="1"/>
  <c r="G1949" i="1"/>
  <c r="K1948" i="1"/>
  <c r="J1948" i="1"/>
  <c r="I1948" i="1"/>
  <c r="H1948" i="1"/>
  <c r="G1948" i="1"/>
  <c r="K1947" i="1"/>
  <c r="J1947" i="1"/>
  <c r="I1947" i="1"/>
  <c r="H1947" i="1"/>
  <c r="G1947" i="1"/>
  <c r="K1946" i="1"/>
  <c r="J1946" i="1"/>
  <c r="I1946" i="1"/>
  <c r="H1946" i="1"/>
  <c r="G1946" i="1"/>
  <c r="K1945" i="1"/>
  <c r="J1945" i="1"/>
  <c r="I1945" i="1"/>
  <c r="H1945" i="1"/>
  <c r="G1945" i="1"/>
  <c r="K1944" i="1"/>
  <c r="J1944" i="1"/>
  <c r="I1944" i="1"/>
  <c r="H1944" i="1"/>
  <c r="G1944" i="1"/>
  <c r="K1943" i="1"/>
  <c r="J1943" i="1"/>
  <c r="I1943" i="1"/>
  <c r="H1943" i="1"/>
  <c r="G1943" i="1"/>
  <c r="K1942" i="1"/>
  <c r="J1942" i="1"/>
  <c r="I1942" i="1"/>
  <c r="H1942" i="1"/>
  <c r="G1942" i="1"/>
  <c r="K1941" i="1"/>
  <c r="J1941" i="1"/>
  <c r="I1941" i="1"/>
  <c r="H1941" i="1"/>
  <c r="G1941" i="1"/>
  <c r="K1940" i="1"/>
  <c r="J1940" i="1"/>
  <c r="I1940" i="1"/>
  <c r="H1940" i="1"/>
  <c r="G1940" i="1"/>
  <c r="K1939" i="1"/>
  <c r="J1939" i="1"/>
  <c r="I1939" i="1"/>
  <c r="H1939" i="1"/>
  <c r="G1939" i="1"/>
  <c r="K1938" i="1"/>
  <c r="J1938" i="1"/>
  <c r="I1938" i="1"/>
  <c r="H1938" i="1"/>
  <c r="G1938" i="1"/>
  <c r="K1937" i="1"/>
  <c r="J1937" i="1"/>
  <c r="I1937" i="1"/>
  <c r="H1937" i="1"/>
  <c r="G1937" i="1"/>
  <c r="K1936" i="1"/>
  <c r="J1936" i="1"/>
  <c r="I1936" i="1"/>
  <c r="H1936" i="1"/>
  <c r="G1936" i="1"/>
  <c r="K1935" i="1"/>
  <c r="J1935" i="1"/>
  <c r="I1935" i="1"/>
  <c r="H1935" i="1"/>
  <c r="G1935" i="1"/>
  <c r="K1934" i="1"/>
  <c r="J1934" i="1"/>
  <c r="I1934" i="1"/>
  <c r="H1934" i="1"/>
  <c r="G1934" i="1"/>
  <c r="K1933" i="1"/>
  <c r="J1933" i="1"/>
  <c r="I1933" i="1"/>
  <c r="H1933" i="1"/>
  <c r="G1933" i="1"/>
  <c r="K1932" i="1"/>
  <c r="J1932" i="1"/>
  <c r="I1932" i="1"/>
  <c r="H1932" i="1"/>
  <c r="G1932" i="1"/>
  <c r="K1931" i="1"/>
  <c r="J1931" i="1"/>
  <c r="I1931" i="1"/>
  <c r="H1931" i="1"/>
  <c r="G1931" i="1"/>
  <c r="K1930" i="1"/>
  <c r="J1930" i="1"/>
  <c r="I1930" i="1"/>
  <c r="H1930" i="1"/>
  <c r="G1930" i="1"/>
  <c r="K1929" i="1"/>
  <c r="J1929" i="1"/>
  <c r="I1929" i="1"/>
  <c r="H1929" i="1"/>
  <c r="G1929" i="1"/>
  <c r="K1928" i="1"/>
  <c r="J1928" i="1"/>
  <c r="I1928" i="1"/>
  <c r="H1928" i="1"/>
  <c r="G1928" i="1"/>
  <c r="K1927" i="1"/>
  <c r="J1927" i="1"/>
  <c r="I1927" i="1"/>
  <c r="H1927" i="1"/>
  <c r="G1927" i="1"/>
  <c r="K1926" i="1"/>
  <c r="J1926" i="1"/>
  <c r="I1926" i="1"/>
  <c r="H1926" i="1"/>
  <c r="G1926" i="1"/>
  <c r="K1925" i="1"/>
  <c r="J1925" i="1"/>
  <c r="I1925" i="1"/>
  <c r="H1925" i="1"/>
  <c r="G1925" i="1"/>
  <c r="K1924" i="1"/>
  <c r="J1924" i="1"/>
  <c r="I1924" i="1"/>
  <c r="H1924" i="1"/>
  <c r="G1924" i="1"/>
  <c r="K1923" i="1"/>
  <c r="J1923" i="1"/>
  <c r="I1923" i="1"/>
  <c r="H1923" i="1"/>
  <c r="G1923" i="1"/>
  <c r="K1922" i="1"/>
  <c r="J1922" i="1"/>
  <c r="I1922" i="1"/>
  <c r="H1922" i="1"/>
  <c r="G1922" i="1"/>
  <c r="K1921" i="1"/>
  <c r="J1921" i="1"/>
  <c r="I1921" i="1"/>
  <c r="H1921" i="1"/>
  <c r="G1921" i="1"/>
  <c r="K1920" i="1"/>
  <c r="J1920" i="1"/>
  <c r="I1920" i="1"/>
  <c r="H1920" i="1"/>
  <c r="G1920" i="1"/>
  <c r="K1919" i="1"/>
  <c r="J1919" i="1"/>
  <c r="I1919" i="1"/>
  <c r="H1919" i="1"/>
  <c r="G1919" i="1"/>
  <c r="K1918" i="1"/>
  <c r="J1918" i="1"/>
  <c r="I1918" i="1"/>
  <c r="H1918" i="1"/>
  <c r="G1918" i="1"/>
  <c r="K1917" i="1"/>
  <c r="J1917" i="1"/>
  <c r="I1917" i="1"/>
  <c r="H1917" i="1"/>
  <c r="G1917" i="1"/>
  <c r="K1916" i="1"/>
  <c r="J1916" i="1"/>
  <c r="I1916" i="1"/>
  <c r="H1916" i="1"/>
  <c r="G1916" i="1"/>
  <c r="K1915" i="1"/>
  <c r="J1915" i="1"/>
  <c r="I1915" i="1"/>
  <c r="H1915" i="1"/>
  <c r="G1915" i="1"/>
  <c r="K1914" i="1"/>
  <c r="J1914" i="1"/>
  <c r="I1914" i="1"/>
  <c r="H1914" i="1"/>
  <c r="G1914" i="1"/>
  <c r="K1913" i="1"/>
  <c r="J1913" i="1"/>
  <c r="I1913" i="1"/>
  <c r="H1913" i="1"/>
  <c r="G1913" i="1"/>
  <c r="K1912" i="1"/>
  <c r="J1912" i="1"/>
  <c r="I1912" i="1"/>
  <c r="H1912" i="1"/>
  <c r="G1912" i="1"/>
  <c r="K1911" i="1"/>
  <c r="J1911" i="1"/>
  <c r="I1911" i="1"/>
  <c r="H1911" i="1"/>
  <c r="G1911" i="1"/>
  <c r="K1910" i="1"/>
  <c r="J1910" i="1"/>
  <c r="I1910" i="1"/>
  <c r="H1910" i="1"/>
  <c r="G1910" i="1"/>
  <c r="K1909" i="1"/>
  <c r="J1909" i="1"/>
  <c r="I1909" i="1"/>
  <c r="H1909" i="1"/>
  <c r="G1909" i="1"/>
  <c r="K1908" i="1"/>
  <c r="J1908" i="1"/>
  <c r="I1908" i="1"/>
  <c r="H1908" i="1"/>
  <c r="G1908" i="1"/>
  <c r="K1907" i="1"/>
  <c r="J1907" i="1"/>
  <c r="I1907" i="1"/>
  <c r="H1907" i="1"/>
  <c r="G1907" i="1"/>
  <c r="K1906" i="1"/>
  <c r="J1906" i="1"/>
  <c r="I1906" i="1"/>
  <c r="H1906" i="1"/>
  <c r="G1906" i="1"/>
  <c r="K1905" i="1"/>
  <c r="J1905" i="1"/>
  <c r="I1905" i="1"/>
  <c r="H1905" i="1"/>
  <c r="G1905" i="1"/>
  <c r="K1904" i="1"/>
  <c r="J1904" i="1"/>
  <c r="I1904" i="1"/>
  <c r="H1904" i="1"/>
  <c r="G1904" i="1"/>
  <c r="K1903" i="1"/>
  <c r="J1903" i="1"/>
  <c r="I1903" i="1"/>
  <c r="H1903" i="1"/>
  <c r="G1903" i="1"/>
  <c r="K1902" i="1"/>
  <c r="J1902" i="1"/>
  <c r="I1902" i="1"/>
  <c r="H1902" i="1"/>
  <c r="G1902" i="1"/>
  <c r="K1901" i="1"/>
  <c r="J1901" i="1"/>
  <c r="I1901" i="1"/>
  <c r="H1901" i="1"/>
  <c r="G1901" i="1"/>
  <c r="K1900" i="1"/>
  <c r="J1900" i="1"/>
  <c r="I1900" i="1"/>
  <c r="H1900" i="1"/>
  <c r="G1900" i="1"/>
  <c r="K1899" i="1"/>
  <c r="J1899" i="1"/>
  <c r="I1899" i="1"/>
  <c r="H1899" i="1"/>
  <c r="G1899" i="1"/>
  <c r="K1898" i="1"/>
  <c r="J1898" i="1"/>
  <c r="I1898" i="1"/>
  <c r="H1898" i="1"/>
  <c r="G1898" i="1"/>
  <c r="K1897" i="1"/>
  <c r="J1897" i="1"/>
  <c r="I1897" i="1"/>
  <c r="H1897" i="1"/>
  <c r="G1897" i="1"/>
  <c r="K1896" i="1"/>
  <c r="J1896" i="1"/>
  <c r="I1896" i="1"/>
  <c r="H1896" i="1"/>
  <c r="G1896" i="1"/>
  <c r="K1895" i="1"/>
  <c r="J1895" i="1"/>
  <c r="I1895" i="1"/>
  <c r="H1895" i="1"/>
  <c r="G1895" i="1"/>
  <c r="K1894" i="1"/>
  <c r="J1894" i="1"/>
  <c r="I1894" i="1"/>
  <c r="H1894" i="1"/>
  <c r="G1894" i="1"/>
  <c r="K1893" i="1"/>
  <c r="J1893" i="1"/>
  <c r="I1893" i="1"/>
  <c r="H1893" i="1"/>
  <c r="G1893" i="1"/>
  <c r="K1892" i="1"/>
  <c r="J1892" i="1"/>
  <c r="I1892" i="1"/>
  <c r="H1892" i="1"/>
  <c r="G1892" i="1"/>
  <c r="K1891" i="1"/>
  <c r="J1891" i="1"/>
  <c r="I1891" i="1"/>
  <c r="H1891" i="1"/>
  <c r="G1891" i="1"/>
  <c r="K1890" i="1"/>
  <c r="J1890" i="1"/>
  <c r="I1890" i="1"/>
  <c r="H1890" i="1"/>
  <c r="G1890" i="1"/>
  <c r="K1889" i="1"/>
  <c r="J1889" i="1"/>
  <c r="I1889" i="1"/>
  <c r="H1889" i="1"/>
  <c r="G1889" i="1"/>
  <c r="K1888" i="1"/>
  <c r="J1888" i="1"/>
  <c r="I1888" i="1"/>
  <c r="H1888" i="1"/>
  <c r="G1888" i="1"/>
  <c r="K1887" i="1"/>
  <c r="J1887" i="1"/>
  <c r="I1887" i="1"/>
  <c r="H1887" i="1"/>
  <c r="G1887" i="1"/>
  <c r="K1886" i="1"/>
  <c r="J1886" i="1"/>
  <c r="I1886" i="1"/>
  <c r="H1886" i="1"/>
  <c r="G1886" i="1"/>
  <c r="K1885" i="1"/>
  <c r="J1885" i="1"/>
  <c r="I1885" i="1"/>
  <c r="H1885" i="1"/>
  <c r="G1885" i="1"/>
  <c r="K1884" i="1"/>
  <c r="J1884" i="1"/>
  <c r="I1884" i="1"/>
  <c r="H1884" i="1"/>
  <c r="G1884" i="1"/>
  <c r="K1883" i="1"/>
  <c r="J1883" i="1"/>
  <c r="I1883" i="1"/>
  <c r="H1883" i="1"/>
  <c r="G1883" i="1"/>
  <c r="K1882" i="1"/>
  <c r="J1882" i="1"/>
  <c r="I1882" i="1"/>
  <c r="H1882" i="1"/>
  <c r="G1882" i="1"/>
  <c r="K1881" i="1"/>
  <c r="J1881" i="1"/>
  <c r="I1881" i="1"/>
  <c r="H1881" i="1"/>
  <c r="G1881" i="1"/>
  <c r="K1880" i="1"/>
  <c r="J1880" i="1"/>
  <c r="I1880" i="1"/>
  <c r="H1880" i="1"/>
  <c r="G1880" i="1"/>
  <c r="K1879" i="1"/>
  <c r="J1879" i="1"/>
  <c r="I1879" i="1"/>
  <c r="H1879" i="1"/>
  <c r="G1879" i="1"/>
  <c r="K1878" i="1"/>
  <c r="J1878" i="1"/>
  <c r="I1878" i="1"/>
  <c r="H1878" i="1"/>
  <c r="G1878" i="1"/>
  <c r="K1877" i="1"/>
  <c r="J1877" i="1"/>
  <c r="I1877" i="1"/>
  <c r="H1877" i="1"/>
  <c r="G1877" i="1"/>
  <c r="K1876" i="1"/>
  <c r="J1876" i="1"/>
  <c r="I1876" i="1"/>
  <c r="H1876" i="1"/>
  <c r="G1876" i="1"/>
  <c r="K1875" i="1"/>
  <c r="J1875" i="1"/>
  <c r="I1875" i="1"/>
  <c r="H1875" i="1"/>
  <c r="G1875" i="1"/>
  <c r="K1874" i="1"/>
  <c r="J1874" i="1"/>
  <c r="I1874" i="1"/>
  <c r="H1874" i="1"/>
  <c r="G1874" i="1"/>
  <c r="K1873" i="1"/>
  <c r="J1873" i="1"/>
  <c r="I1873" i="1"/>
  <c r="H1873" i="1"/>
  <c r="G1873" i="1"/>
  <c r="K1872" i="1"/>
  <c r="J1872" i="1"/>
  <c r="I1872" i="1"/>
  <c r="H1872" i="1"/>
  <c r="G1872" i="1"/>
  <c r="K1871" i="1"/>
  <c r="J1871" i="1"/>
  <c r="I1871" i="1"/>
  <c r="H1871" i="1"/>
  <c r="G1871" i="1"/>
  <c r="K1870" i="1"/>
  <c r="J1870" i="1"/>
  <c r="I1870" i="1"/>
  <c r="H1870" i="1"/>
  <c r="G1870" i="1"/>
  <c r="K1869" i="1"/>
  <c r="J1869" i="1"/>
  <c r="I1869" i="1"/>
  <c r="H1869" i="1"/>
  <c r="G1869" i="1"/>
  <c r="K1868" i="1"/>
  <c r="J1868" i="1"/>
  <c r="I1868" i="1"/>
  <c r="H1868" i="1"/>
  <c r="G1868" i="1"/>
  <c r="K1867" i="1"/>
  <c r="J1867" i="1"/>
  <c r="I1867" i="1"/>
  <c r="H1867" i="1"/>
  <c r="G1867" i="1"/>
  <c r="K1866" i="1"/>
  <c r="J1866" i="1"/>
  <c r="I1866" i="1"/>
  <c r="H1866" i="1"/>
  <c r="G1866" i="1"/>
  <c r="K1865" i="1"/>
  <c r="J1865" i="1"/>
  <c r="I1865" i="1"/>
  <c r="H1865" i="1"/>
  <c r="G1865" i="1"/>
  <c r="K1864" i="1"/>
  <c r="J1864" i="1"/>
  <c r="I1864" i="1"/>
  <c r="H1864" i="1"/>
  <c r="G1864" i="1"/>
  <c r="K1863" i="1"/>
  <c r="J1863" i="1"/>
  <c r="I1863" i="1"/>
  <c r="H1863" i="1"/>
  <c r="G1863" i="1"/>
  <c r="K1862" i="1"/>
  <c r="J1862" i="1"/>
  <c r="I1862" i="1"/>
  <c r="H1862" i="1"/>
  <c r="G1862" i="1"/>
  <c r="K1861" i="1"/>
  <c r="J1861" i="1"/>
  <c r="I1861" i="1"/>
  <c r="H1861" i="1"/>
  <c r="G1861" i="1"/>
  <c r="K1860" i="1"/>
  <c r="J1860" i="1"/>
  <c r="I1860" i="1"/>
  <c r="H1860" i="1"/>
  <c r="G1860" i="1"/>
  <c r="K1859" i="1"/>
  <c r="J1859" i="1"/>
  <c r="I1859" i="1"/>
  <c r="H1859" i="1"/>
  <c r="G1859" i="1"/>
  <c r="K1858" i="1"/>
  <c r="J1858" i="1"/>
  <c r="I1858" i="1"/>
  <c r="H1858" i="1"/>
  <c r="G1858" i="1"/>
  <c r="K1857" i="1"/>
  <c r="J1857" i="1"/>
  <c r="I1857" i="1"/>
  <c r="H1857" i="1"/>
  <c r="G1857" i="1"/>
  <c r="K1856" i="1"/>
  <c r="J1856" i="1"/>
  <c r="I1856" i="1"/>
  <c r="H1856" i="1"/>
  <c r="G1856" i="1"/>
  <c r="K1855" i="1"/>
  <c r="J1855" i="1"/>
  <c r="I1855" i="1"/>
  <c r="H1855" i="1"/>
  <c r="G1855" i="1"/>
  <c r="K1854" i="1"/>
  <c r="J1854" i="1"/>
  <c r="I1854" i="1"/>
  <c r="H1854" i="1"/>
  <c r="G1854" i="1"/>
  <c r="K1853" i="1"/>
  <c r="J1853" i="1"/>
  <c r="I1853" i="1"/>
  <c r="H1853" i="1"/>
  <c r="G1853" i="1"/>
  <c r="K1852" i="1"/>
  <c r="J1852" i="1"/>
  <c r="I1852" i="1"/>
  <c r="H1852" i="1"/>
  <c r="G1852" i="1"/>
  <c r="K1851" i="1"/>
  <c r="J1851" i="1"/>
  <c r="I1851" i="1"/>
  <c r="H1851" i="1"/>
  <c r="G1851" i="1"/>
  <c r="K1850" i="1"/>
  <c r="J1850" i="1"/>
  <c r="I1850" i="1"/>
  <c r="H1850" i="1"/>
  <c r="G1850" i="1"/>
  <c r="K1849" i="1"/>
  <c r="J1849" i="1"/>
  <c r="I1849" i="1"/>
  <c r="H1849" i="1"/>
  <c r="G1849" i="1"/>
  <c r="K1848" i="1"/>
  <c r="J1848" i="1"/>
  <c r="I1848" i="1"/>
  <c r="H1848" i="1"/>
  <c r="G1848" i="1"/>
  <c r="K1847" i="1"/>
  <c r="J1847" i="1"/>
  <c r="I1847" i="1"/>
  <c r="H1847" i="1"/>
  <c r="G1847" i="1"/>
  <c r="K1846" i="1"/>
  <c r="J1846" i="1"/>
  <c r="I1846" i="1"/>
  <c r="H1846" i="1"/>
  <c r="G1846" i="1"/>
  <c r="K1845" i="1"/>
  <c r="J1845" i="1"/>
  <c r="I1845" i="1"/>
  <c r="H1845" i="1"/>
  <c r="G1845" i="1"/>
  <c r="K1844" i="1"/>
  <c r="J1844" i="1"/>
  <c r="I1844" i="1"/>
  <c r="H1844" i="1"/>
  <c r="G1844" i="1"/>
  <c r="K1843" i="1"/>
  <c r="J1843" i="1"/>
  <c r="I1843" i="1"/>
  <c r="H1843" i="1"/>
  <c r="G1843" i="1"/>
  <c r="K1842" i="1"/>
  <c r="J1842" i="1"/>
  <c r="I1842" i="1"/>
  <c r="H1842" i="1"/>
  <c r="G1842" i="1"/>
  <c r="K1841" i="1"/>
  <c r="J1841" i="1"/>
  <c r="I1841" i="1"/>
  <c r="H1841" i="1"/>
  <c r="G1841" i="1"/>
  <c r="K1840" i="1"/>
  <c r="J1840" i="1"/>
  <c r="I1840" i="1"/>
  <c r="H1840" i="1"/>
  <c r="G1840" i="1"/>
  <c r="K1839" i="1"/>
  <c r="J1839" i="1"/>
  <c r="I1839" i="1"/>
  <c r="H1839" i="1"/>
  <c r="G1839" i="1"/>
  <c r="K1838" i="1"/>
  <c r="J1838" i="1"/>
  <c r="I1838" i="1"/>
  <c r="H1838" i="1"/>
  <c r="G1838" i="1"/>
  <c r="K1837" i="1"/>
  <c r="J1837" i="1"/>
  <c r="I1837" i="1"/>
  <c r="H1837" i="1"/>
  <c r="G1837" i="1"/>
  <c r="K1836" i="1"/>
  <c r="J1836" i="1"/>
  <c r="I1836" i="1"/>
  <c r="H1836" i="1"/>
  <c r="G1836" i="1"/>
  <c r="K1835" i="1"/>
  <c r="J1835" i="1"/>
  <c r="I1835" i="1"/>
  <c r="H1835" i="1"/>
  <c r="G1835" i="1"/>
  <c r="K1834" i="1"/>
  <c r="J1834" i="1"/>
  <c r="I1834" i="1"/>
  <c r="H1834" i="1"/>
  <c r="G1834" i="1"/>
  <c r="K1833" i="1"/>
  <c r="J1833" i="1"/>
  <c r="I1833" i="1"/>
  <c r="H1833" i="1"/>
  <c r="G1833" i="1"/>
  <c r="K1832" i="1"/>
  <c r="J1832" i="1"/>
  <c r="I1832" i="1"/>
  <c r="H1832" i="1"/>
  <c r="G1832" i="1"/>
  <c r="K1831" i="1"/>
  <c r="J1831" i="1"/>
  <c r="I1831" i="1"/>
  <c r="H1831" i="1"/>
  <c r="G1831" i="1"/>
  <c r="K1830" i="1"/>
  <c r="J1830" i="1"/>
  <c r="I1830" i="1"/>
  <c r="H1830" i="1"/>
  <c r="G1830" i="1"/>
  <c r="K1829" i="1"/>
  <c r="J1829" i="1"/>
  <c r="I1829" i="1"/>
  <c r="H1829" i="1"/>
  <c r="G1829" i="1"/>
  <c r="K1828" i="1"/>
  <c r="J1828" i="1"/>
  <c r="I1828" i="1"/>
  <c r="H1828" i="1"/>
  <c r="G1828" i="1"/>
  <c r="K1827" i="1"/>
  <c r="J1827" i="1"/>
  <c r="I1827" i="1"/>
  <c r="H1827" i="1"/>
  <c r="G1827" i="1"/>
  <c r="K1826" i="1"/>
  <c r="J1826" i="1"/>
  <c r="I1826" i="1"/>
  <c r="H1826" i="1"/>
  <c r="G1826" i="1"/>
  <c r="K1825" i="1"/>
  <c r="J1825" i="1"/>
  <c r="I1825" i="1"/>
  <c r="H1825" i="1"/>
  <c r="G1825" i="1"/>
  <c r="K1824" i="1"/>
  <c r="J1824" i="1"/>
  <c r="I1824" i="1"/>
  <c r="H1824" i="1"/>
  <c r="G1824" i="1"/>
  <c r="K1823" i="1"/>
  <c r="J1823" i="1"/>
  <c r="I1823" i="1"/>
  <c r="H1823" i="1"/>
  <c r="G1823" i="1"/>
  <c r="K1822" i="1"/>
  <c r="J1822" i="1"/>
  <c r="I1822" i="1"/>
  <c r="H1822" i="1"/>
  <c r="G1822" i="1"/>
  <c r="K1821" i="1"/>
  <c r="J1821" i="1"/>
  <c r="I1821" i="1"/>
  <c r="H1821" i="1"/>
  <c r="G1821" i="1"/>
  <c r="K1820" i="1"/>
  <c r="J1820" i="1"/>
  <c r="I1820" i="1"/>
  <c r="H1820" i="1"/>
  <c r="G1820" i="1"/>
  <c r="K1819" i="1"/>
  <c r="J1819" i="1"/>
  <c r="I1819" i="1"/>
  <c r="H1819" i="1"/>
  <c r="G1819" i="1"/>
  <c r="K1818" i="1"/>
  <c r="J1818" i="1"/>
  <c r="I1818" i="1"/>
  <c r="H1818" i="1"/>
  <c r="G1818" i="1"/>
  <c r="K1817" i="1"/>
  <c r="J1817" i="1"/>
  <c r="I1817" i="1"/>
  <c r="H1817" i="1"/>
  <c r="G1817" i="1"/>
  <c r="K1816" i="1"/>
  <c r="J1816" i="1"/>
  <c r="I1816" i="1"/>
  <c r="H1816" i="1"/>
  <c r="G1816" i="1"/>
  <c r="K1815" i="1"/>
  <c r="J1815" i="1"/>
  <c r="I1815" i="1"/>
  <c r="H1815" i="1"/>
  <c r="G1815" i="1"/>
  <c r="K1814" i="1"/>
  <c r="J1814" i="1"/>
  <c r="I1814" i="1"/>
  <c r="H1814" i="1"/>
  <c r="G1814" i="1"/>
  <c r="K1813" i="1"/>
  <c r="J1813" i="1"/>
  <c r="I1813" i="1"/>
  <c r="H1813" i="1"/>
  <c r="G1813" i="1"/>
  <c r="K1812" i="1"/>
  <c r="J1812" i="1"/>
  <c r="I1812" i="1"/>
  <c r="H1812" i="1"/>
  <c r="G1812" i="1"/>
  <c r="K1811" i="1"/>
  <c r="J1811" i="1"/>
  <c r="I1811" i="1"/>
  <c r="H1811" i="1"/>
  <c r="G1811" i="1"/>
  <c r="K1810" i="1"/>
  <c r="J1810" i="1"/>
  <c r="I1810" i="1"/>
  <c r="H1810" i="1"/>
  <c r="G1810" i="1"/>
  <c r="K1809" i="1"/>
  <c r="J1809" i="1"/>
  <c r="I1809" i="1"/>
  <c r="H1809" i="1"/>
  <c r="G1809" i="1"/>
  <c r="K1808" i="1"/>
  <c r="J1808" i="1"/>
  <c r="I1808" i="1"/>
  <c r="H1808" i="1"/>
  <c r="G1808" i="1"/>
  <c r="K1807" i="1"/>
  <c r="J1807" i="1"/>
  <c r="I1807" i="1"/>
  <c r="H1807" i="1"/>
  <c r="G1807" i="1"/>
  <c r="K1806" i="1"/>
  <c r="J1806" i="1"/>
  <c r="I1806" i="1"/>
  <c r="H1806" i="1"/>
  <c r="G1806" i="1"/>
  <c r="K1805" i="1"/>
  <c r="J1805" i="1"/>
  <c r="I1805" i="1"/>
  <c r="H1805" i="1"/>
  <c r="G1805" i="1"/>
  <c r="K1804" i="1"/>
  <c r="J1804" i="1"/>
  <c r="I1804" i="1"/>
  <c r="H1804" i="1"/>
  <c r="G1804" i="1"/>
  <c r="K1803" i="1"/>
  <c r="J1803" i="1"/>
  <c r="I1803" i="1"/>
  <c r="H1803" i="1"/>
  <c r="G1803" i="1"/>
  <c r="K1802" i="1"/>
  <c r="J1802" i="1"/>
  <c r="I1802" i="1"/>
  <c r="H1802" i="1"/>
  <c r="G1802" i="1"/>
  <c r="K1801" i="1"/>
  <c r="J1801" i="1"/>
  <c r="I1801" i="1"/>
  <c r="H1801" i="1"/>
  <c r="G1801" i="1"/>
  <c r="K1800" i="1"/>
  <c r="J1800" i="1"/>
  <c r="I1800" i="1"/>
  <c r="H1800" i="1"/>
  <c r="G1800" i="1"/>
  <c r="K1799" i="1"/>
  <c r="J1799" i="1"/>
  <c r="I1799" i="1"/>
  <c r="H1799" i="1"/>
  <c r="G1799" i="1"/>
  <c r="K1798" i="1"/>
  <c r="J1798" i="1"/>
  <c r="I1798" i="1"/>
  <c r="H1798" i="1"/>
  <c r="G1798" i="1"/>
  <c r="K1797" i="1"/>
  <c r="J1797" i="1"/>
  <c r="I1797" i="1"/>
  <c r="H1797" i="1"/>
  <c r="G1797" i="1"/>
  <c r="K1796" i="1"/>
  <c r="J1796" i="1"/>
  <c r="I1796" i="1"/>
  <c r="H1796" i="1"/>
  <c r="G1796" i="1"/>
  <c r="K1795" i="1"/>
  <c r="J1795" i="1"/>
  <c r="I1795" i="1"/>
  <c r="H1795" i="1"/>
  <c r="G1795" i="1"/>
  <c r="K1794" i="1"/>
  <c r="J1794" i="1"/>
  <c r="I1794" i="1"/>
  <c r="H1794" i="1"/>
  <c r="G1794" i="1"/>
  <c r="K1793" i="1"/>
  <c r="J1793" i="1"/>
  <c r="I1793" i="1"/>
  <c r="H1793" i="1"/>
  <c r="G1793" i="1"/>
  <c r="K1792" i="1"/>
  <c r="J1792" i="1"/>
  <c r="I1792" i="1"/>
  <c r="H1792" i="1"/>
  <c r="G1792" i="1"/>
  <c r="K1791" i="1"/>
  <c r="J1791" i="1"/>
  <c r="I1791" i="1"/>
  <c r="H1791" i="1"/>
  <c r="G1791" i="1"/>
  <c r="K1790" i="1"/>
  <c r="J1790" i="1"/>
  <c r="I1790" i="1"/>
  <c r="H1790" i="1"/>
  <c r="G1790" i="1"/>
  <c r="K1789" i="1"/>
  <c r="J1789" i="1"/>
  <c r="I1789" i="1"/>
  <c r="H1789" i="1"/>
  <c r="G1789" i="1"/>
  <c r="K1788" i="1"/>
  <c r="J1788" i="1"/>
  <c r="I1788" i="1"/>
  <c r="H1788" i="1"/>
  <c r="G1788" i="1"/>
  <c r="K1787" i="1"/>
  <c r="J1787" i="1"/>
  <c r="I1787" i="1"/>
  <c r="H1787" i="1"/>
  <c r="G1787" i="1"/>
  <c r="K1786" i="1"/>
  <c r="J1786" i="1"/>
  <c r="I1786" i="1"/>
  <c r="H1786" i="1"/>
  <c r="G1786" i="1"/>
  <c r="K1785" i="1"/>
  <c r="J1785" i="1"/>
  <c r="I1785" i="1"/>
  <c r="H1785" i="1"/>
  <c r="G1785" i="1"/>
  <c r="K1784" i="1"/>
  <c r="J1784" i="1"/>
  <c r="I1784" i="1"/>
  <c r="H1784" i="1"/>
  <c r="G1784" i="1"/>
  <c r="K1783" i="1"/>
  <c r="J1783" i="1"/>
  <c r="I1783" i="1"/>
  <c r="H1783" i="1"/>
  <c r="G1783" i="1"/>
  <c r="K1782" i="1"/>
  <c r="J1782" i="1"/>
  <c r="I1782" i="1"/>
  <c r="H1782" i="1"/>
  <c r="G1782" i="1"/>
  <c r="K1781" i="1"/>
  <c r="J1781" i="1"/>
  <c r="I1781" i="1"/>
  <c r="H1781" i="1"/>
  <c r="G1781" i="1"/>
  <c r="K1780" i="1"/>
  <c r="J1780" i="1"/>
  <c r="I1780" i="1"/>
  <c r="H1780" i="1"/>
  <c r="G1780" i="1"/>
  <c r="K1779" i="1"/>
  <c r="J1779" i="1"/>
  <c r="I1779" i="1"/>
  <c r="H1779" i="1"/>
  <c r="G1779" i="1"/>
  <c r="K1778" i="1"/>
  <c r="J1778" i="1"/>
  <c r="I1778" i="1"/>
  <c r="H1778" i="1"/>
  <c r="G1778" i="1"/>
  <c r="K1777" i="1"/>
  <c r="J1777" i="1"/>
  <c r="I1777" i="1"/>
  <c r="H1777" i="1"/>
  <c r="G1777" i="1"/>
  <c r="K1776" i="1"/>
  <c r="J1776" i="1"/>
  <c r="I1776" i="1"/>
  <c r="H1776" i="1"/>
  <c r="G1776" i="1"/>
  <c r="K1775" i="1"/>
  <c r="J1775" i="1"/>
  <c r="I1775" i="1"/>
  <c r="H1775" i="1"/>
  <c r="G1775" i="1"/>
  <c r="K1774" i="1"/>
  <c r="J1774" i="1"/>
  <c r="I1774" i="1"/>
  <c r="H1774" i="1"/>
  <c r="G1774" i="1"/>
  <c r="K1773" i="1"/>
  <c r="J1773" i="1"/>
  <c r="I1773" i="1"/>
  <c r="H1773" i="1"/>
  <c r="G1773" i="1"/>
  <c r="K1772" i="1"/>
  <c r="J1772" i="1"/>
  <c r="I1772" i="1"/>
  <c r="H1772" i="1"/>
  <c r="G1772" i="1"/>
  <c r="K1771" i="1"/>
  <c r="J1771" i="1"/>
  <c r="I1771" i="1"/>
  <c r="H1771" i="1"/>
  <c r="G1771" i="1"/>
  <c r="K1770" i="1"/>
  <c r="J1770" i="1"/>
  <c r="I1770" i="1"/>
  <c r="H1770" i="1"/>
  <c r="G1770" i="1"/>
  <c r="K1769" i="1"/>
  <c r="J1769" i="1"/>
  <c r="I1769" i="1"/>
  <c r="H1769" i="1"/>
  <c r="G1769" i="1"/>
  <c r="K1768" i="1"/>
  <c r="J1768" i="1"/>
  <c r="I1768" i="1"/>
  <c r="H1768" i="1"/>
  <c r="G1768" i="1"/>
  <c r="K1767" i="1"/>
  <c r="J1767" i="1"/>
  <c r="I1767" i="1"/>
  <c r="H1767" i="1"/>
  <c r="G1767" i="1"/>
  <c r="K1766" i="1"/>
  <c r="J1766" i="1"/>
  <c r="I1766" i="1"/>
  <c r="H1766" i="1"/>
  <c r="G1766" i="1"/>
  <c r="K1765" i="1"/>
  <c r="J1765" i="1"/>
  <c r="I1765" i="1"/>
  <c r="H1765" i="1"/>
  <c r="G1765" i="1"/>
  <c r="K1764" i="1"/>
  <c r="J1764" i="1"/>
  <c r="I1764" i="1"/>
  <c r="H1764" i="1"/>
  <c r="G1764" i="1"/>
  <c r="K1763" i="1"/>
  <c r="J1763" i="1"/>
  <c r="I1763" i="1"/>
  <c r="H1763" i="1"/>
  <c r="G1763" i="1"/>
  <c r="K1762" i="1"/>
  <c r="J1762" i="1"/>
  <c r="I1762" i="1"/>
  <c r="H1762" i="1"/>
  <c r="G1762" i="1"/>
  <c r="K1761" i="1"/>
  <c r="J1761" i="1"/>
  <c r="I1761" i="1"/>
  <c r="H1761" i="1"/>
  <c r="G1761" i="1"/>
  <c r="K1760" i="1"/>
  <c r="J1760" i="1"/>
  <c r="I1760" i="1"/>
  <c r="H1760" i="1"/>
  <c r="G1760" i="1"/>
  <c r="K1759" i="1"/>
  <c r="J1759" i="1"/>
  <c r="I1759" i="1"/>
  <c r="H1759" i="1"/>
  <c r="G1759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1" i="1"/>
  <c r="J1751" i="1"/>
  <c r="I1751" i="1"/>
  <c r="H1751" i="1"/>
  <c r="G1751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7" i="1"/>
  <c r="J1747" i="1"/>
  <c r="I1747" i="1"/>
  <c r="H1747" i="1"/>
  <c r="G1747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2" i="1"/>
  <c r="J1742" i="1"/>
  <c r="I1742" i="1"/>
  <c r="H1742" i="1"/>
  <c r="G1742" i="1"/>
  <c r="K1741" i="1"/>
  <c r="J1741" i="1"/>
  <c r="I1741" i="1"/>
  <c r="H1741" i="1"/>
  <c r="G1741" i="1"/>
  <c r="K1740" i="1"/>
  <c r="J1740" i="1"/>
  <c r="I1740" i="1"/>
  <c r="H1740" i="1"/>
  <c r="G1740" i="1"/>
  <c r="K1739" i="1"/>
  <c r="J1739" i="1"/>
  <c r="I1739" i="1"/>
  <c r="H1739" i="1"/>
  <c r="G1739" i="1"/>
  <c r="K1738" i="1"/>
  <c r="J1738" i="1"/>
  <c r="I1738" i="1"/>
  <c r="H1738" i="1"/>
  <c r="G1738" i="1"/>
  <c r="K1737" i="1"/>
  <c r="J1737" i="1"/>
  <c r="I1737" i="1"/>
  <c r="H1737" i="1"/>
  <c r="G1737" i="1"/>
  <c r="K1736" i="1"/>
  <c r="J1736" i="1"/>
  <c r="I1736" i="1"/>
  <c r="H1736" i="1"/>
  <c r="G1736" i="1"/>
  <c r="K1735" i="1"/>
  <c r="J1735" i="1"/>
  <c r="I1735" i="1"/>
  <c r="H1735" i="1"/>
  <c r="G1735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31" i="1"/>
  <c r="J1731" i="1"/>
  <c r="I1731" i="1"/>
  <c r="H1731" i="1"/>
  <c r="G1731" i="1"/>
  <c r="K1730" i="1"/>
  <c r="J1730" i="1"/>
  <c r="I1730" i="1"/>
  <c r="H1730" i="1"/>
  <c r="G1730" i="1"/>
  <c r="K1729" i="1"/>
  <c r="J1729" i="1"/>
  <c r="I1729" i="1"/>
  <c r="H1729" i="1"/>
  <c r="G1729" i="1"/>
  <c r="K1728" i="1"/>
  <c r="J1728" i="1"/>
  <c r="I1728" i="1"/>
  <c r="H1728" i="1"/>
  <c r="G1728" i="1"/>
  <c r="K1727" i="1"/>
  <c r="J1727" i="1"/>
  <c r="I1727" i="1"/>
  <c r="H1727" i="1"/>
  <c r="G1727" i="1"/>
  <c r="K1726" i="1"/>
  <c r="J1726" i="1"/>
  <c r="I1726" i="1"/>
  <c r="H1726" i="1"/>
  <c r="G1726" i="1"/>
  <c r="K1725" i="1"/>
  <c r="J1725" i="1"/>
  <c r="I1725" i="1"/>
  <c r="H1725" i="1"/>
  <c r="G1725" i="1"/>
  <c r="K1724" i="1"/>
  <c r="J1724" i="1"/>
  <c r="I1724" i="1"/>
  <c r="H1724" i="1"/>
  <c r="G1724" i="1"/>
  <c r="K1723" i="1"/>
  <c r="J1723" i="1"/>
  <c r="I1723" i="1"/>
  <c r="H1723" i="1"/>
  <c r="G1723" i="1"/>
  <c r="K1722" i="1"/>
  <c r="J1722" i="1"/>
  <c r="I1722" i="1"/>
  <c r="H1722" i="1"/>
  <c r="G1722" i="1"/>
  <c r="K1721" i="1"/>
  <c r="J1721" i="1"/>
  <c r="I1721" i="1"/>
  <c r="H1721" i="1"/>
  <c r="G1721" i="1"/>
  <c r="K1720" i="1"/>
  <c r="J1720" i="1"/>
  <c r="I1720" i="1"/>
  <c r="H1720" i="1"/>
  <c r="G1720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4" i="1"/>
  <c r="J1714" i="1"/>
  <c r="I1714" i="1"/>
  <c r="H1714" i="1"/>
  <c r="G1714" i="1"/>
  <c r="K1713" i="1"/>
  <c r="J1713" i="1"/>
  <c r="I1713" i="1"/>
  <c r="H1713" i="1"/>
  <c r="G1713" i="1"/>
  <c r="K1712" i="1"/>
  <c r="J1712" i="1"/>
  <c r="I1712" i="1"/>
  <c r="H1712" i="1"/>
  <c r="G1712" i="1"/>
  <c r="K1711" i="1"/>
  <c r="J1711" i="1"/>
  <c r="I1711" i="1"/>
  <c r="H1711" i="1"/>
  <c r="G1711" i="1"/>
  <c r="K1710" i="1"/>
  <c r="J1710" i="1"/>
  <c r="I1710" i="1"/>
  <c r="H1710" i="1"/>
  <c r="G1710" i="1"/>
  <c r="K1709" i="1"/>
  <c r="J1709" i="1"/>
  <c r="I1709" i="1"/>
  <c r="H1709" i="1"/>
  <c r="G1709" i="1"/>
  <c r="K1708" i="1"/>
  <c r="J1708" i="1"/>
  <c r="I1708" i="1"/>
  <c r="H1708" i="1"/>
  <c r="G1708" i="1"/>
  <c r="K1707" i="1"/>
  <c r="J1707" i="1"/>
  <c r="I1707" i="1"/>
  <c r="H1707" i="1"/>
  <c r="G1707" i="1"/>
  <c r="K1706" i="1"/>
  <c r="J1706" i="1"/>
  <c r="I1706" i="1"/>
  <c r="H1706" i="1"/>
  <c r="G1706" i="1"/>
  <c r="K1705" i="1"/>
  <c r="J1705" i="1"/>
  <c r="I1705" i="1"/>
  <c r="H1705" i="1"/>
  <c r="G1705" i="1"/>
  <c r="K1704" i="1"/>
  <c r="J1704" i="1"/>
  <c r="I1704" i="1"/>
  <c r="H1704" i="1"/>
  <c r="G1704" i="1"/>
  <c r="K1703" i="1"/>
  <c r="J1703" i="1"/>
  <c r="I1703" i="1"/>
  <c r="H1703" i="1"/>
  <c r="G1703" i="1"/>
  <c r="K1702" i="1"/>
  <c r="J1702" i="1"/>
  <c r="I1702" i="1"/>
  <c r="H1702" i="1"/>
  <c r="G1702" i="1"/>
  <c r="K1701" i="1"/>
  <c r="J1701" i="1"/>
  <c r="I1701" i="1"/>
  <c r="H1701" i="1"/>
  <c r="G1701" i="1"/>
  <c r="K1700" i="1"/>
  <c r="J1700" i="1"/>
  <c r="I1700" i="1"/>
  <c r="H1700" i="1"/>
  <c r="G1700" i="1"/>
  <c r="K1699" i="1"/>
  <c r="J1699" i="1"/>
  <c r="I1699" i="1"/>
  <c r="H1699" i="1"/>
  <c r="G1699" i="1"/>
  <c r="K1698" i="1"/>
  <c r="J1698" i="1"/>
  <c r="I1698" i="1"/>
  <c r="H1698" i="1"/>
  <c r="G1698" i="1"/>
  <c r="K1697" i="1"/>
  <c r="J1697" i="1"/>
  <c r="I1697" i="1"/>
  <c r="H1697" i="1"/>
  <c r="G1697" i="1"/>
  <c r="K1696" i="1"/>
  <c r="J1696" i="1"/>
  <c r="I1696" i="1"/>
  <c r="H1696" i="1"/>
  <c r="G1696" i="1"/>
  <c r="K1695" i="1"/>
  <c r="J1695" i="1"/>
  <c r="I1695" i="1"/>
  <c r="H1695" i="1"/>
  <c r="G1695" i="1"/>
  <c r="K1694" i="1"/>
  <c r="J1694" i="1"/>
  <c r="I1694" i="1"/>
  <c r="H1694" i="1"/>
  <c r="G1694" i="1"/>
  <c r="K1693" i="1"/>
  <c r="J1693" i="1"/>
  <c r="I1693" i="1"/>
  <c r="H1693" i="1"/>
  <c r="G1693" i="1"/>
  <c r="K1692" i="1"/>
  <c r="J1692" i="1"/>
  <c r="I1692" i="1"/>
  <c r="H1692" i="1"/>
  <c r="G1692" i="1"/>
  <c r="K1691" i="1"/>
  <c r="J1691" i="1"/>
  <c r="I1691" i="1"/>
  <c r="H1691" i="1"/>
  <c r="G1691" i="1"/>
  <c r="K1690" i="1"/>
  <c r="J1690" i="1"/>
  <c r="I1690" i="1"/>
  <c r="H1690" i="1"/>
  <c r="G1690" i="1"/>
  <c r="K1689" i="1"/>
  <c r="J1689" i="1"/>
  <c r="I1689" i="1"/>
  <c r="H1689" i="1"/>
  <c r="G1689" i="1"/>
  <c r="K1688" i="1"/>
  <c r="J1688" i="1"/>
  <c r="I1688" i="1"/>
  <c r="H1688" i="1"/>
  <c r="G1688" i="1"/>
  <c r="K1687" i="1"/>
  <c r="J1687" i="1"/>
  <c r="I1687" i="1"/>
  <c r="H1687" i="1"/>
  <c r="G1687" i="1"/>
  <c r="K1686" i="1"/>
  <c r="J1686" i="1"/>
  <c r="I1686" i="1"/>
  <c r="H1686" i="1"/>
  <c r="G1686" i="1"/>
  <c r="K1685" i="1"/>
  <c r="J1685" i="1"/>
  <c r="I1685" i="1"/>
  <c r="H1685" i="1"/>
  <c r="G1685" i="1"/>
  <c r="K1684" i="1"/>
  <c r="J1684" i="1"/>
  <c r="I1684" i="1"/>
  <c r="H1684" i="1"/>
  <c r="G1684" i="1"/>
  <c r="K1683" i="1"/>
  <c r="J1683" i="1"/>
  <c r="I1683" i="1"/>
  <c r="H1683" i="1"/>
  <c r="G1683" i="1"/>
  <c r="K1682" i="1"/>
  <c r="J1682" i="1"/>
  <c r="I1682" i="1"/>
  <c r="H1682" i="1"/>
  <c r="G1682" i="1"/>
  <c r="K1681" i="1"/>
  <c r="J1681" i="1"/>
  <c r="I1681" i="1"/>
  <c r="H1681" i="1"/>
  <c r="G1681" i="1"/>
  <c r="K1680" i="1"/>
  <c r="J1680" i="1"/>
  <c r="I1680" i="1"/>
  <c r="H1680" i="1"/>
  <c r="G1680" i="1"/>
  <c r="K1679" i="1"/>
  <c r="J1679" i="1"/>
  <c r="I1679" i="1"/>
  <c r="H1679" i="1"/>
  <c r="G1679" i="1"/>
  <c r="K1678" i="1"/>
  <c r="J1678" i="1"/>
  <c r="I1678" i="1"/>
  <c r="H1678" i="1"/>
  <c r="G1678" i="1"/>
  <c r="K1677" i="1"/>
  <c r="J1677" i="1"/>
  <c r="I1677" i="1"/>
  <c r="H1677" i="1"/>
  <c r="G1677" i="1"/>
  <c r="K1676" i="1"/>
  <c r="J1676" i="1"/>
  <c r="I1676" i="1"/>
  <c r="H1676" i="1"/>
  <c r="G1676" i="1"/>
  <c r="K1675" i="1"/>
  <c r="J1675" i="1"/>
  <c r="I1675" i="1"/>
  <c r="H1675" i="1"/>
  <c r="G1675" i="1"/>
  <c r="K1674" i="1"/>
  <c r="J1674" i="1"/>
  <c r="I1674" i="1"/>
  <c r="H1674" i="1"/>
  <c r="G1674" i="1"/>
  <c r="K1673" i="1"/>
  <c r="J1673" i="1"/>
  <c r="I1673" i="1"/>
  <c r="H1673" i="1"/>
  <c r="G1673" i="1"/>
  <c r="K1672" i="1"/>
  <c r="J1672" i="1"/>
  <c r="I1672" i="1"/>
  <c r="H1672" i="1"/>
  <c r="G1672" i="1"/>
  <c r="K1671" i="1"/>
  <c r="J1671" i="1"/>
  <c r="I1671" i="1"/>
  <c r="H1671" i="1"/>
  <c r="G1671" i="1"/>
  <c r="K1670" i="1"/>
  <c r="J1670" i="1"/>
  <c r="I1670" i="1"/>
  <c r="H1670" i="1"/>
  <c r="G1670" i="1"/>
  <c r="K1669" i="1"/>
  <c r="J1669" i="1"/>
  <c r="I1669" i="1"/>
  <c r="H1669" i="1"/>
  <c r="G1669" i="1"/>
  <c r="K1668" i="1"/>
  <c r="J1668" i="1"/>
  <c r="I1668" i="1"/>
  <c r="H1668" i="1"/>
  <c r="G1668" i="1"/>
  <c r="K1667" i="1"/>
  <c r="J1667" i="1"/>
  <c r="I1667" i="1"/>
  <c r="H1667" i="1"/>
  <c r="G1667" i="1"/>
  <c r="K1666" i="1"/>
  <c r="J1666" i="1"/>
  <c r="I1666" i="1"/>
  <c r="H1666" i="1"/>
  <c r="G1666" i="1"/>
  <c r="K1665" i="1"/>
  <c r="J1665" i="1"/>
  <c r="I1665" i="1"/>
  <c r="H1665" i="1"/>
  <c r="G1665" i="1"/>
  <c r="K1664" i="1"/>
  <c r="J1664" i="1"/>
  <c r="I1664" i="1"/>
  <c r="H1664" i="1"/>
  <c r="G1664" i="1"/>
  <c r="K1663" i="1"/>
  <c r="J1663" i="1"/>
  <c r="I1663" i="1"/>
  <c r="H1663" i="1"/>
  <c r="G1663" i="1"/>
  <c r="K1662" i="1"/>
  <c r="J1662" i="1"/>
  <c r="I1662" i="1"/>
  <c r="H1662" i="1"/>
  <c r="G1662" i="1"/>
  <c r="K1661" i="1"/>
  <c r="J1661" i="1"/>
  <c r="I1661" i="1"/>
  <c r="H1661" i="1"/>
  <c r="G1661" i="1"/>
  <c r="K1660" i="1"/>
  <c r="J1660" i="1"/>
  <c r="I1660" i="1"/>
  <c r="H1660" i="1"/>
  <c r="G1660" i="1"/>
  <c r="K1659" i="1"/>
  <c r="J1659" i="1"/>
  <c r="I1659" i="1"/>
  <c r="H1659" i="1"/>
  <c r="G1659" i="1"/>
  <c r="K1658" i="1"/>
  <c r="J1658" i="1"/>
  <c r="I1658" i="1"/>
  <c r="H1658" i="1"/>
  <c r="G1658" i="1"/>
  <c r="K1657" i="1"/>
  <c r="J1657" i="1"/>
  <c r="I1657" i="1"/>
  <c r="H1657" i="1"/>
  <c r="G1657" i="1"/>
  <c r="K1656" i="1"/>
  <c r="J1656" i="1"/>
  <c r="I1656" i="1"/>
  <c r="H1656" i="1"/>
  <c r="G1656" i="1"/>
  <c r="K1655" i="1"/>
  <c r="J1655" i="1"/>
  <c r="I1655" i="1"/>
  <c r="H1655" i="1"/>
  <c r="G1655" i="1"/>
  <c r="K1654" i="1"/>
  <c r="J1654" i="1"/>
  <c r="I1654" i="1"/>
  <c r="H1654" i="1"/>
  <c r="G1654" i="1"/>
  <c r="K1653" i="1"/>
  <c r="J1653" i="1"/>
  <c r="I1653" i="1"/>
  <c r="H1653" i="1"/>
  <c r="G1653" i="1"/>
  <c r="K1652" i="1"/>
  <c r="J1652" i="1"/>
  <c r="I1652" i="1"/>
  <c r="H1652" i="1"/>
  <c r="G1652" i="1"/>
  <c r="K1651" i="1"/>
  <c r="J1651" i="1"/>
  <c r="I1651" i="1"/>
  <c r="H1651" i="1"/>
  <c r="G1651" i="1"/>
  <c r="K1650" i="1"/>
  <c r="J1650" i="1"/>
  <c r="I1650" i="1"/>
  <c r="H1650" i="1"/>
  <c r="G1650" i="1"/>
  <c r="K1649" i="1"/>
  <c r="J1649" i="1"/>
  <c r="I1649" i="1"/>
  <c r="H1649" i="1"/>
  <c r="G1649" i="1"/>
  <c r="K1648" i="1"/>
  <c r="J1648" i="1"/>
  <c r="I1648" i="1"/>
  <c r="H1648" i="1"/>
  <c r="G1648" i="1"/>
  <c r="K1647" i="1"/>
  <c r="J1647" i="1"/>
  <c r="I1647" i="1"/>
  <c r="H1647" i="1"/>
  <c r="G1647" i="1"/>
  <c r="K1646" i="1"/>
  <c r="J1646" i="1"/>
  <c r="I1646" i="1"/>
  <c r="H1646" i="1"/>
  <c r="G1646" i="1"/>
  <c r="K1645" i="1"/>
  <c r="J1645" i="1"/>
  <c r="I1645" i="1"/>
  <c r="H1645" i="1"/>
  <c r="G1645" i="1"/>
  <c r="K1644" i="1"/>
  <c r="J1644" i="1"/>
  <c r="I1644" i="1"/>
  <c r="H1644" i="1"/>
  <c r="G1644" i="1"/>
  <c r="K1643" i="1"/>
  <c r="J1643" i="1"/>
  <c r="I1643" i="1"/>
  <c r="H1643" i="1"/>
  <c r="G1643" i="1"/>
  <c r="K1642" i="1"/>
  <c r="J1642" i="1"/>
  <c r="I1642" i="1"/>
  <c r="H1642" i="1"/>
  <c r="G1642" i="1"/>
  <c r="K1641" i="1"/>
  <c r="J1641" i="1"/>
  <c r="I1641" i="1"/>
  <c r="H1641" i="1"/>
  <c r="G1641" i="1"/>
  <c r="K1640" i="1"/>
  <c r="J1640" i="1"/>
  <c r="I1640" i="1"/>
  <c r="H1640" i="1"/>
  <c r="G1640" i="1"/>
  <c r="K1639" i="1"/>
  <c r="J1639" i="1"/>
  <c r="I1639" i="1"/>
  <c r="H1639" i="1"/>
  <c r="G1639" i="1"/>
  <c r="K1638" i="1"/>
  <c r="J1638" i="1"/>
  <c r="I1638" i="1"/>
  <c r="H1638" i="1"/>
  <c r="G1638" i="1"/>
  <c r="K1637" i="1"/>
  <c r="J1637" i="1"/>
  <c r="I1637" i="1"/>
  <c r="H1637" i="1"/>
  <c r="G1637" i="1"/>
  <c r="K1636" i="1"/>
  <c r="J1636" i="1"/>
  <c r="I1636" i="1"/>
  <c r="H1636" i="1"/>
  <c r="G1636" i="1"/>
  <c r="K1635" i="1"/>
  <c r="J1635" i="1"/>
  <c r="I1635" i="1"/>
  <c r="H1635" i="1"/>
  <c r="G1635" i="1"/>
  <c r="K1634" i="1"/>
  <c r="J1634" i="1"/>
  <c r="I1634" i="1"/>
  <c r="H1634" i="1"/>
  <c r="G1634" i="1"/>
  <c r="K1633" i="1"/>
  <c r="J1633" i="1"/>
  <c r="I1633" i="1"/>
  <c r="H1633" i="1"/>
  <c r="G1633" i="1"/>
  <c r="K1632" i="1"/>
  <c r="J1632" i="1"/>
  <c r="I1632" i="1"/>
  <c r="H1632" i="1"/>
  <c r="G1632" i="1"/>
  <c r="K1631" i="1"/>
  <c r="J1631" i="1"/>
  <c r="I1631" i="1"/>
  <c r="H1631" i="1"/>
  <c r="G1631" i="1"/>
  <c r="K1630" i="1"/>
  <c r="J1630" i="1"/>
  <c r="I1630" i="1"/>
  <c r="H1630" i="1"/>
  <c r="G1630" i="1"/>
  <c r="K1629" i="1"/>
  <c r="J1629" i="1"/>
  <c r="I1629" i="1"/>
  <c r="H1629" i="1"/>
  <c r="G1629" i="1"/>
  <c r="K1628" i="1"/>
  <c r="J1628" i="1"/>
  <c r="I1628" i="1"/>
  <c r="H1628" i="1"/>
  <c r="G1628" i="1"/>
  <c r="K1627" i="1"/>
  <c r="J1627" i="1"/>
  <c r="I1627" i="1"/>
  <c r="H1627" i="1"/>
  <c r="G1627" i="1"/>
  <c r="K1626" i="1"/>
  <c r="J1626" i="1"/>
  <c r="I1626" i="1"/>
  <c r="H1626" i="1"/>
  <c r="G1626" i="1"/>
  <c r="K1625" i="1"/>
  <c r="J1625" i="1"/>
  <c r="I1625" i="1"/>
  <c r="H1625" i="1"/>
  <c r="G1625" i="1"/>
  <c r="K1624" i="1"/>
  <c r="J1624" i="1"/>
  <c r="I1624" i="1"/>
  <c r="H1624" i="1"/>
  <c r="G1624" i="1"/>
  <c r="K1623" i="1"/>
  <c r="J1623" i="1"/>
  <c r="I1623" i="1"/>
  <c r="H1623" i="1"/>
  <c r="G1623" i="1"/>
  <c r="K1622" i="1"/>
  <c r="J1622" i="1"/>
  <c r="I1622" i="1"/>
  <c r="H1622" i="1"/>
  <c r="G1622" i="1"/>
  <c r="K1621" i="1"/>
  <c r="J1621" i="1"/>
  <c r="I1621" i="1"/>
  <c r="H1621" i="1"/>
  <c r="G1621" i="1"/>
  <c r="K1620" i="1"/>
  <c r="J1620" i="1"/>
  <c r="I1620" i="1"/>
  <c r="H1620" i="1"/>
  <c r="G1620" i="1"/>
  <c r="K1619" i="1"/>
  <c r="J1619" i="1"/>
  <c r="I1619" i="1"/>
  <c r="H1619" i="1"/>
  <c r="G1619" i="1"/>
  <c r="K1618" i="1"/>
  <c r="J1618" i="1"/>
  <c r="I1618" i="1"/>
  <c r="H1618" i="1"/>
  <c r="G1618" i="1"/>
  <c r="K1617" i="1"/>
  <c r="J1617" i="1"/>
  <c r="I1617" i="1"/>
  <c r="H1617" i="1"/>
  <c r="G1617" i="1"/>
  <c r="K1616" i="1"/>
  <c r="J1616" i="1"/>
  <c r="I1616" i="1"/>
  <c r="H1616" i="1"/>
  <c r="G1616" i="1"/>
  <c r="K1615" i="1"/>
  <c r="J1615" i="1"/>
  <c r="I1615" i="1"/>
  <c r="H1615" i="1"/>
  <c r="G1615" i="1"/>
  <c r="K1614" i="1"/>
  <c r="J1614" i="1"/>
  <c r="I1614" i="1"/>
  <c r="H1614" i="1"/>
  <c r="G1614" i="1"/>
  <c r="K1613" i="1"/>
  <c r="J1613" i="1"/>
  <c r="I1613" i="1"/>
  <c r="H1613" i="1"/>
  <c r="G1613" i="1"/>
  <c r="K1612" i="1"/>
  <c r="J1612" i="1"/>
  <c r="I1612" i="1"/>
  <c r="H1612" i="1"/>
  <c r="G1612" i="1"/>
  <c r="K1611" i="1"/>
  <c r="J1611" i="1"/>
  <c r="I1611" i="1"/>
  <c r="H1611" i="1"/>
  <c r="G1611" i="1"/>
  <c r="K1610" i="1"/>
  <c r="J1610" i="1"/>
  <c r="I1610" i="1"/>
  <c r="H1610" i="1"/>
  <c r="G1610" i="1"/>
  <c r="K1609" i="1"/>
  <c r="J1609" i="1"/>
  <c r="I1609" i="1"/>
  <c r="H1609" i="1"/>
  <c r="G1609" i="1"/>
  <c r="K1608" i="1"/>
  <c r="J1608" i="1"/>
  <c r="I1608" i="1"/>
  <c r="H1608" i="1"/>
  <c r="G1608" i="1"/>
  <c r="K1607" i="1"/>
  <c r="J1607" i="1"/>
  <c r="I1607" i="1"/>
  <c r="H1607" i="1"/>
  <c r="G1607" i="1"/>
  <c r="K1606" i="1"/>
  <c r="J1606" i="1"/>
  <c r="I1606" i="1"/>
  <c r="H1606" i="1"/>
  <c r="G1606" i="1"/>
  <c r="K1605" i="1"/>
  <c r="J1605" i="1"/>
  <c r="I1605" i="1"/>
  <c r="H1605" i="1"/>
  <c r="G1605" i="1"/>
  <c r="K1604" i="1"/>
  <c r="J1604" i="1"/>
  <c r="I1604" i="1"/>
  <c r="H1604" i="1"/>
  <c r="G1604" i="1"/>
  <c r="K1603" i="1"/>
  <c r="J1603" i="1"/>
  <c r="I1603" i="1"/>
  <c r="H1603" i="1"/>
  <c r="G1603" i="1"/>
  <c r="K1602" i="1"/>
  <c r="J1602" i="1"/>
  <c r="I1602" i="1"/>
  <c r="H1602" i="1"/>
  <c r="G1602" i="1"/>
  <c r="K1601" i="1"/>
  <c r="J1601" i="1"/>
  <c r="I1601" i="1"/>
  <c r="H1601" i="1"/>
  <c r="G1601" i="1"/>
  <c r="K1600" i="1"/>
  <c r="J1600" i="1"/>
  <c r="I1600" i="1"/>
  <c r="H1600" i="1"/>
  <c r="G1600" i="1"/>
  <c r="K1599" i="1"/>
  <c r="J1599" i="1"/>
  <c r="I1599" i="1"/>
  <c r="H1599" i="1"/>
  <c r="G1599" i="1"/>
  <c r="K1598" i="1"/>
  <c r="J1598" i="1"/>
  <c r="I1598" i="1"/>
  <c r="H1598" i="1"/>
  <c r="G1598" i="1"/>
  <c r="K1597" i="1"/>
  <c r="J1597" i="1"/>
  <c r="I1597" i="1"/>
  <c r="H1597" i="1"/>
  <c r="G1597" i="1"/>
  <c r="K1596" i="1"/>
  <c r="J1596" i="1"/>
  <c r="I1596" i="1"/>
  <c r="H1596" i="1"/>
  <c r="G1596" i="1"/>
  <c r="K1595" i="1"/>
  <c r="J1595" i="1"/>
  <c r="I1595" i="1"/>
  <c r="H1595" i="1"/>
  <c r="G1595" i="1"/>
  <c r="K1594" i="1"/>
  <c r="J1594" i="1"/>
  <c r="I1594" i="1"/>
  <c r="H1594" i="1"/>
  <c r="G1594" i="1"/>
  <c r="K1593" i="1"/>
  <c r="J1593" i="1"/>
  <c r="I1593" i="1"/>
  <c r="H1593" i="1"/>
  <c r="G1593" i="1"/>
  <c r="K1592" i="1"/>
  <c r="J1592" i="1"/>
  <c r="I1592" i="1"/>
  <c r="H1592" i="1"/>
  <c r="G1592" i="1"/>
  <c r="K1591" i="1"/>
  <c r="J1591" i="1"/>
  <c r="I1591" i="1"/>
  <c r="H1591" i="1"/>
  <c r="G1591" i="1"/>
  <c r="K1590" i="1"/>
  <c r="J1590" i="1"/>
  <c r="I1590" i="1"/>
  <c r="H1590" i="1"/>
  <c r="G1590" i="1"/>
  <c r="K1589" i="1"/>
  <c r="J1589" i="1"/>
  <c r="I1589" i="1"/>
  <c r="H1589" i="1"/>
  <c r="G1589" i="1"/>
  <c r="K1588" i="1"/>
  <c r="J1588" i="1"/>
  <c r="I1588" i="1"/>
  <c r="H1588" i="1"/>
  <c r="G1588" i="1"/>
  <c r="K1587" i="1"/>
  <c r="J1587" i="1"/>
  <c r="I1587" i="1"/>
  <c r="H1587" i="1"/>
  <c r="G1587" i="1"/>
  <c r="K1586" i="1"/>
  <c r="J1586" i="1"/>
  <c r="I1586" i="1"/>
  <c r="H1586" i="1"/>
  <c r="G1586" i="1"/>
  <c r="K1585" i="1"/>
  <c r="J1585" i="1"/>
  <c r="I1585" i="1"/>
  <c r="H1585" i="1"/>
  <c r="G1585" i="1"/>
  <c r="K1584" i="1"/>
  <c r="J1584" i="1"/>
  <c r="I1584" i="1"/>
  <c r="H1584" i="1"/>
  <c r="G1584" i="1"/>
  <c r="K1583" i="1"/>
  <c r="J1583" i="1"/>
  <c r="I1583" i="1"/>
  <c r="H1583" i="1"/>
  <c r="G1583" i="1"/>
  <c r="K1582" i="1"/>
  <c r="J1582" i="1"/>
  <c r="I1582" i="1"/>
  <c r="H1582" i="1"/>
  <c r="G1582" i="1"/>
  <c r="K1581" i="1"/>
  <c r="J1581" i="1"/>
  <c r="I1581" i="1"/>
  <c r="H1581" i="1"/>
  <c r="G1581" i="1"/>
  <c r="K1580" i="1"/>
  <c r="J1580" i="1"/>
  <c r="I1580" i="1"/>
  <c r="H1580" i="1"/>
  <c r="G1580" i="1"/>
  <c r="K1579" i="1"/>
  <c r="J1579" i="1"/>
  <c r="I1579" i="1"/>
  <c r="H1579" i="1"/>
  <c r="G1579" i="1"/>
  <c r="K1578" i="1"/>
  <c r="J1578" i="1"/>
  <c r="I1578" i="1"/>
  <c r="H1578" i="1"/>
  <c r="G1578" i="1"/>
  <c r="K1577" i="1"/>
  <c r="J1577" i="1"/>
  <c r="I1577" i="1"/>
  <c r="H1577" i="1"/>
  <c r="G1577" i="1"/>
  <c r="K1576" i="1"/>
  <c r="J1576" i="1"/>
  <c r="I1576" i="1"/>
  <c r="H1576" i="1"/>
  <c r="G1576" i="1"/>
  <c r="K1575" i="1"/>
  <c r="J1575" i="1"/>
  <c r="I1575" i="1"/>
  <c r="H1575" i="1"/>
  <c r="G1575" i="1"/>
  <c r="K1574" i="1"/>
  <c r="J1574" i="1"/>
  <c r="I1574" i="1"/>
  <c r="H1574" i="1"/>
  <c r="G1574" i="1"/>
  <c r="K1573" i="1"/>
  <c r="J1573" i="1"/>
  <c r="I1573" i="1"/>
  <c r="H1573" i="1"/>
  <c r="G1573" i="1"/>
  <c r="K1572" i="1"/>
  <c r="J1572" i="1"/>
  <c r="I1572" i="1"/>
  <c r="H1572" i="1"/>
  <c r="G1572" i="1"/>
  <c r="K1571" i="1"/>
  <c r="J1571" i="1"/>
  <c r="I1571" i="1"/>
  <c r="H1571" i="1"/>
  <c r="G1571" i="1"/>
  <c r="K1570" i="1"/>
  <c r="J1570" i="1"/>
  <c r="I1570" i="1"/>
  <c r="H1570" i="1"/>
  <c r="G1570" i="1"/>
  <c r="K1569" i="1"/>
  <c r="J1569" i="1"/>
  <c r="I1569" i="1"/>
  <c r="H1569" i="1"/>
  <c r="G1569" i="1"/>
  <c r="K1568" i="1"/>
  <c r="J1568" i="1"/>
  <c r="I1568" i="1"/>
  <c r="H1568" i="1"/>
  <c r="G1568" i="1"/>
  <c r="K1567" i="1"/>
  <c r="J1567" i="1"/>
  <c r="I1567" i="1"/>
  <c r="H1567" i="1"/>
  <c r="G1567" i="1"/>
  <c r="K1566" i="1"/>
  <c r="J1566" i="1"/>
  <c r="I1566" i="1"/>
  <c r="H1566" i="1"/>
  <c r="G1566" i="1"/>
  <c r="K1565" i="1"/>
  <c r="J1565" i="1"/>
  <c r="I1565" i="1"/>
  <c r="H1565" i="1"/>
  <c r="G1565" i="1"/>
  <c r="K1564" i="1"/>
  <c r="J1564" i="1"/>
  <c r="I1564" i="1"/>
  <c r="H1564" i="1"/>
  <c r="G1564" i="1"/>
  <c r="K1563" i="1"/>
  <c r="J1563" i="1"/>
  <c r="I1563" i="1"/>
  <c r="H1563" i="1"/>
  <c r="G1563" i="1"/>
  <c r="K1562" i="1"/>
  <c r="J1562" i="1"/>
  <c r="I1562" i="1"/>
  <c r="H1562" i="1"/>
  <c r="G1562" i="1"/>
  <c r="K1561" i="1"/>
  <c r="J1561" i="1"/>
  <c r="I1561" i="1"/>
  <c r="H1561" i="1"/>
  <c r="G1561" i="1"/>
  <c r="K1560" i="1"/>
  <c r="J1560" i="1"/>
  <c r="I1560" i="1"/>
  <c r="H1560" i="1"/>
  <c r="G1560" i="1"/>
  <c r="K1559" i="1"/>
  <c r="J1559" i="1"/>
  <c r="I1559" i="1"/>
  <c r="H1559" i="1"/>
  <c r="G1559" i="1"/>
  <c r="K1558" i="1"/>
  <c r="J1558" i="1"/>
  <c r="I1558" i="1"/>
  <c r="H1558" i="1"/>
  <c r="G1558" i="1"/>
  <c r="K1557" i="1"/>
  <c r="J1557" i="1"/>
  <c r="I1557" i="1"/>
  <c r="H1557" i="1"/>
  <c r="G1557" i="1"/>
  <c r="K1556" i="1"/>
  <c r="J1556" i="1"/>
  <c r="I1556" i="1"/>
  <c r="H1556" i="1"/>
  <c r="G1556" i="1"/>
  <c r="K1555" i="1"/>
  <c r="J1555" i="1"/>
  <c r="I1555" i="1"/>
  <c r="H1555" i="1"/>
  <c r="G1555" i="1"/>
  <c r="K1554" i="1"/>
  <c r="J1554" i="1"/>
  <c r="I1554" i="1"/>
  <c r="H1554" i="1"/>
  <c r="G1554" i="1"/>
  <c r="K1553" i="1"/>
  <c r="J1553" i="1"/>
  <c r="I1553" i="1"/>
  <c r="H1553" i="1"/>
  <c r="G1553" i="1"/>
  <c r="K1552" i="1"/>
  <c r="J1552" i="1"/>
  <c r="I1552" i="1"/>
  <c r="H1552" i="1"/>
  <c r="G1552" i="1"/>
  <c r="K1551" i="1"/>
  <c r="J1551" i="1"/>
  <c r="I1551" i="1"/>
  <c r="H1551" i="1"/>
  <c r="G1551" i="1"/>
  <c r="K1550" i="1"/>
  <c r="J1550" i="1"/>
  <c r="I1550" i="1"/>
  <c r="H1550" i="1"/>
  <c r="G1550" i="1"/>
  <c r="K1549" i="1"/>
  <c r="J1549" i="1"/>
  <c r="I1549" i="1"/>
  <c r="H1549" i="1"/>
  <c r="G1549" i="1"/>
  <c r="K1548" i="1"/>
  <c r="J1548" i="1"/>
  <c r="I1548" i="1"/>
  <c r="H1548" i="1"/>
  <c r="G1548" i="1"/>
  <c r="K1547" i="1"/>
  <c r="J1547" i="1"/>
  <c r="I1547" i="1"/>
  <c r="H1547" i="1"/>
  <c r="G1547" i="1"/>
  <c r="K1546" i="1"/>
  <c r="J1546" i="1"/>
  <c r="I1546" i="1"/>
  <c r="H1546" i="1"/>
  <c r="G1546" i="1"/>
  <c r="K1545" i="1"/>
  <c r="J1545" i="1"/>
  <c r="I1545" i="1"/>
  <c r="H1545" i="1"/>
  <c r="G1545" i="1"/>
  <c r="K1544" i="1"/>
  <c r="J1544" i="1"/>
  <c r="I1544" i="1"/>
  <c r="H1544" i="1"/>
  <c r="G1544" i="1"/>
  <c r="K1543" i="1"/>
  <c r="J1543" i="1"/>
  <c r="I1543" i="1"/>
  <c r="H1543" i="1"/>
  <c r="G1543" i="1"/>
  <c r="K1542" i="1"/>
  <c r="J1542" i="1"/>
  <c r="I1542" i="1"/>
  <c r="H1542" i="1"/>
  <c r="G1542" i="1"/>
  <c r="K1541" i="1"/>
  <c r="J1541" i="1"/>
  <c r="I1541" i="1"/>
  <c r="H1541" i="1"/>
  <c r="G1541" i="1"/>
  <c r="K1540" i="1"/>
  <c r="J1540" i="1"/>
  <c r="I1540" i="1"/>
  <c r="H1540" i="1"/>
  <c r="G1540" i="1"/>
  <c r="K1539" i="1"/>
  <c r="J1539" i="1"/>
  <c r="I1539" i="1"/>
  <c r="H1539" i="1"/>
  <c r="G1539" i="1"/>
  <c r="K1538" i="1"/>
  <c r="J1538" i="1"/>
  <c r="I1538" i="1"/>
  <c r="H1538" i="1"/>
  <c r="G1538" i="1"/>
  <c r="K1537" i="1"/>
  <c r="J1537" i="1"/>
  <c r="I1537" i="1"/>
  <c r="H1537" i="1"/>
  <c r="G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K1532" i="1"/>
  <c r="J1532" i="1"/>
  <c r="I1532" i="1"/>
  <c r="H1532" i="1"/>
  <c r="G1532" i="1"/>
  <c r="K1531" i="1"/>
  <c r="J1531" i="1"/>
  <c r="I1531" i="1"/>
  <c r="H1531" i="1"/>
  <c r="G1531" i="1"/>
  <c r="K1530" i="1"/>
  <c r="J1530" i="1"/>
  <c r="I1530" i="1"/>
  <c r="H1530" i="1"/>
  <c r="G1530" i="1"/>
  <c r="K1529" i="1"/>
  <c r="J1529" i="1"/>
  <c r="I1529" i="1"/>
  <c r="H1529" i="1"/>
  <c r="G1529" i="1"/>
  <c r="K1528" i="1"/>
  <c r="J1528" i="1"/>
  <c r="I1528" i="1"/>
  <c r="H1528" i="1"/>
  <c r="G1528" i="1"/>
  <c r="K1527" i="1"/>
  <c r="J1527" i="1"/>
  <c r="I1527" i="1"/>
  <c r="H1527" i="1"/>
  <c r="G1527" i="1"/>
  <c r="K1526" i="1"/>
  <c r="J1526" i="1"/>
  <c r="I1526" i="1"/>
  <c r="H1526" i="1"/>
  <c r="G1526" i="1"/>
  <c r="K1525" i="1"/>
  <c r="J1525" i="1"/>
  <c r="I1525" i="1"/>
  <c r="H1525" i="1"/>
  <c r="G1525" i="1"/>
  <c r="K1524" i="1"/>
  <c r="J1524" i="1"/>
  <c r="I1524" i="1"/>
  <c r="H1524" i="1"/>
  <c r="G1524" i="1"/>
  <c r="K1523" i="1"/>
  <c r="J1523" i="1"/>
  <c r="I1523" i="1"/>
  <c r="H1523" i="1"/>
  <c r="G1523" i="1"/>
  <c r="K1522" i="1"/>
  <c r="J1522" i="1"/>
  <c r="I1522" i="1"/>
  <c r="H1522" i="1"/>
  <c r="G1522" i="1"/>
  <c r="K1521" i="1"/>
  <c r="J1521" i="1"/>
  <c r="I1521" i="1"/>
  <c r="H1521" i="1"/>
  <c r="G1521" i="1"/>
  <c r="K1520" i="1"/>
  <c r="J1520" i="1"/>
  <c r="I1520" i="1"/>
  <c r="H1520" i="1"/>
  <c r="G1520" i="1"/>
  <c r="K1519" i="1"/>
  <c r="J1519" i="1"/>
  <c r="I1519" i="1"/>
  <c r="H1519" i="1"/>
  <c r="G1519" i="1"/>
  <c r="K1518" i="1"/>
  <c r="J1518" i="1"/>
  <c r="I1518" i="1"/>
  <c r="H1518" i="1"/>
  <c r="G1518" i="1"/>
  <c r="K1517" i="1"/>
  <c r="J1517" i="1"/>
  <c r="I1517" i="1"/>
  <c r="H1517" i="1"/>
  <c r="G1517" i="1"/>
  <c r="K1516" i="1"/>
  <c r="J1516" i="1"/>
  <c r="I1516" i="1"/>
  <c r="H1516" i="1"/>
  <c r="G1516" i="1"/>
  <c r="K1515" i="1"/>
  <c r="J1515" i="1"/>
  <c r="I1515" i="1"/>
  <c r="H1515" i="1"/>
  <c r="G1515" i="1"/>
  <c r="K1514" i="1"/>
  <c r="J1514" i="1"/>
  <c r="I1514" i="1"/>
  <c r="H1514" i="1"/>
  <c r="G1514" i="1"/>
  <c r="K1513" i="1"/>
  <c r="J1513" i="1"/>
  <c r="I1513" i="1"/>
  <c r="H1513" i="1"/>
  <c r="G1513" i="1"/>
  <c r="K1512" i="1"/>
  <c r="J1512" i="1"/>
  <c r="I1512" i="1"/>
  <c r="H1512" i="1"/>
  <c r="G1512" i="1"/>
  <c r="K1511" i="1"/>
  <c r="J1511" i="1"/>
  <c r="I1511" i="1"/>
  <c r="H1511" i="1"/>
  <c r="G1511" i="1"/>
  <c r="K1510" i="1"/>
  <c r="J1510" i="1"/>
  <c r="I1510" i="1"/>
  <c r="H1510" i="1"/>
  <c r="G1510" i="1"/>
  <c r="K1509" i="1"/>
  <c r="J1509" i="1"/>
  <c r="I1509" i="1"/>
  <c r="H1509" i="1"/>
  <c r="G1509" i="1"/>
  <c r="K1508" i="1"/>
  <c r="J1508" i="1"/>
  <c r="I1508" i="1"/>
  <c r="H1508" i="1"/>
  <c r="G1508" i="1"/>
  <c r="K1507" i="1"/>
  <c r="J1507" i="1"/>
  <c r="I1507" i="1"/>
  <c r="H1507" i="1"/>
  <c r="G1507" i="1"/>
  <c r="K1506" i="1"/>
  <c r="J1506" i="1"/>
  <c r="I1506" i="1"/>
  <c r="H1506" i="1"/>
  <c r="G1506" i="1"/>
  <c r="K1505" i="1"/>
  <c r="J1505" i="1"/>
  <c r="I1505" i="1"/>
  <c r="H1505" i="1"/>
  <c r="G1505" i="1"/>
  <c r="K1504" i="1"/>
  <c r="J1504" i="1"/>
  <c r="I1504" i="1"/>
  <c r="H1504" i="1"/>
  <c r="G1504" i="1"/>
  <c r="K1503" i="1"/>
  <c r="J1503" i="1"/>
  <c r="I1503" i="1"/>
  <c r="H1503" i="1"/>
  <c r="G1503" i="1"/>
  <c r="K1502" i="1"/>
  <c r="J1502" i="1"/>
  <c r="I1502" i="1"/>
  <c r="H1502" i="1"/>
  <c r="G1502" i="1"/>
  <c r="K1501" i="1"/>
  <c r="J1501" i="1"/>
  <c r="I1501" i="1"/>
  <c r="H1501" i="1"/>
  <c r="G1501" i="1"/>
  <c r="K1500" i="1"/>
  <c r="J1500" i="1"/>
  <c r="I1500" i="1"/>
  <c r="H1500" i="1"/>
  <c r="G1500" i="1"/>
  <c r="K1499" i="1"/>
  <c r="J1499" i="1"/>
  <c r="I1499" i="1"/>
  <c r="H1499" i="1"/>
  <c r="G1499" i="1"/>
  <c r="K1498" i="1"/>
  <c r="J1498" i="1"/>
  <c r="I1498" i="1"/>
  <c r="H1498" i="1"/>
  <c r="G1498" i="1"/>
  <c r="K1497" i="1"/>
  <c r="J1497" i="1"/>
  <c r="I1497" i="1"/>
  <c r="H1497" i="1"/>
  <c r="G1497" i="1"/>
  <c r="K1496" i="1"/>
  <c r="J1496" i="1"/>
  <c r="I1496" i="1"/>
  <c r="H1496" i="1"/>
  <c r="G1496" i="1"/>
  <c r="K1495" i="1"/>
  <c r="J1495" i="1"/>
  <c r="I1495" i="1"/>
  <c r="H1495" i="1"/>
  <c r="G1495" i="1"/>
  <c r="K1494" i="1"/>
  <c r="J1494" i="1"/>
  <c r="I1494" i="1"/>
  <c r="H1494" i="1"/>
  <c r="G1494" i="1"/>
  <c r="K1493" i="1"/>
  <c r="J1493" i="1"/>
  <c r="I1493" i="1"/>
  <c r="H1493" i="1"/>
  <c r="G1493" i="1"/>
  <c r="K1492" i="1"/>
  <c r="J1492" i="1"/>
  <c r="I1492" i="1"/>
  <c r="H1492" i="1"/>
  <c r="G1492" i="1"/>
  <c r="K1491" i="1"/>
  <c r="J1491" i="1"/>
  <c r="I1491" i="1"/>
  <c r="H1491" i="1"/>
  <c r="G1491" i="1"/>
  <c r="K1490" i="1"/>
  <c r="J1490" i="1"/>
  <c r="I1490" i="1"/>
  <c r="H1490" i="1"/>
  <c r="G1490" i="1"/>
  <c r="K1489" i="1"/>
  <c r="J1489" i="1"/>
  <c r="I1489" i="1"/>
  <c r="H1489" i="1"/>
  <c r="G1489" i="1"/>
  <c r="K1488" i="1"/>
  <c r="J1488" i="1"/>
  <c r="I1488" i="1"/>
  <c r="H1488" i="1"/>
  <c r="G1488" i="1"/>
  <c r="K1487" i="1"/>
  <c r="J1487" i="1"/>
  <c r="I1487" i="1"/>
  <c r="H1487" i="1"/>
  <c r="G1487" i="1"/>
  <c r="K1486" i="1"/>
  <c r="J1486" i="1"/>
  <c r="I1486" i="1"/>
  <c r="H1486" i="1"/>
  <c r="G1486" i="1"/>
  <c r="K1485" i="1"/>
  <c r="J1485" i="1"/>
  <c r="I1485" i="1"/>
  <c r="H1485" i="1"/>
  <c r="G1485" i="1"/>
  <c r="K1484" i="1"/>
  <c r="J1484" i="1"/>
  <c r="I1484" i="1"/>
  <c r="H1484" i="1"/>
  <c r="G1484" i="1"/>
  <c r="K1483" i="1"/>
  <c r="J1483" i="1"/>
  <c r="I1483" i="1"/>
  <c r="H1483" i="1"/>
  <c r="G1483" i="1"/>
  <c r="K1482" i="1"/>
  <c r="J1482" i="1"/>
  <c r="I1482" i="1"/>
  <c r="H1482" i="1"/>
  <c r="G1482" i="1"/>
  <c r="K1481" i="1"/>
  <c r="J1481" i="1"/>
  <c r="I1481" i="1"/>
  <c r="H1481" i="1"/>
  <c r="G1481" i="1"/>
  <c r="K1480" i="1"/>
  <c r="J1480" i="1"/>
  <c r="I1480" i="1"/>
  <c r="H1480" i="1"/>
  <c r="G1480" i="1"/>
  <c r="K1479" i="1"/>
  <c r="J1479" i="1"/>
  <c r="I1479" i="1"/>
  <c r="H1479" i="1"/>
  <c r="G1479" i="1"/>
  <c r="K1478" i="1"/>
  <c r="J1478" i="1"/>
  <c r="I1478" i="1"/>
  <c r="H1478" i="1"/>
  <c r="G1478" i="1"/>
  <c r="K1477" i="1"/>
  <c r="J1477" i="1"/>
  <c r="I1477" i="1"/>
  <c r="H1477" i="1"/>
  <c r="G1477" i="1"/>
  <c r="K1476" i="1"/>
  <c r="J1476" i="1"/>
  <c r="I1476" i="1"/>
  <c r="H1476" i="1"/>
  <c r="G1476" i="1"/>
  <c r="K1475" i="1"/>
  <c r="J1475" i="1"/>
  <c r="I1475" i="1"/>
  <c r="H1475" i="1"/>
  <c r="G1475" i="1"/>
  <c r="K1474" i="1"/>
  <c r="J1474" i="1"/>
  <c r="I1474" i="1"/>
  <c r="H1474" i="1"/>
  <c r="G1474" i="1"/>
  <c r="K1473" i="1"/>
  <c r="J1473" i="1"/>
  <c r="I1473" i="1"/>
  <c r="H1473" i="1"/>
  <c r="G1473" i="1"/>
  <c r="K1472" i="1"/>
  <c r="J1472" i="1"/>
  <c r="I1472" i="1"/>
  <c r="H1472" i="1"/>
  <c r="G1472" i="1"/>
  <c r="K1471" i="1"/>
  <c r="J1471" i="1"/>
  <c r="I1471" i="1"/>
  <c r="H1471" i="1"/>
  <c r="G1471" i="1"/>
  <c r="K1470" i="1"/>
  <c r="J1470" i="1"/>
  <c r="I1470" i="1"/>
  <c r="H1470" i="1"/>
  <c r="G1470" i="1"/>
  <c r="K1469" i="1"/>
  <c r="J1469" i="1"/>
  <c r="I1469" i="1"/>
  <c r="H1469" i="1"/>
  <c r="G1469" i="1"/>
  <c r="K1468" i="1"/>
  <c r="J1468" i="1"/>
  <c r="I1468" i="1"/>
  <c r="H1468" i="1"/>
  <c r="G1468" i="1"/>
  <c r="K1467" i="1"/>
  <c r="J1467" i="1"/>
  <c r="I1467" i="1"/>
  <c r="H1467" i="1"/>
  <c r="G1467" i="1"/>
  <c r="K1466" i="1"/>
  <c r="J1466" i="1"/>
  <c r="I1466" i="1"/>
  <c r="H1466" i="1"/>
  <c r="G1466" i="1"/>
  <c r="K1465" i="1"/>
  <c r="J1465" i="1"/>
  <c r="I1465" i="1"/>
  <c r="H1465" i="1"/>
  <c r="G1465" i="1"/>
  <c r="K1464" i="1"/>
  <c r="J1464" i="1"/>
  <c r="I1464" i="1"/>
  <c r="H1464" i="1"/>
  <c r="G1464" i="1"/>
  <c r="K1463" i="1"/>
  <c r="J1463" i="1"/>
  <c r="I1463" i="1"/>
  <c r="H1463" i="1"/>
  <c r="G1463" i="1"/>
  <c r="K1462" i="1"/>
  <c r="J1462" i="1"/>
  <c r="I1462" i="1"/>
  <c r="H1462" i="1"/>
  <c r="G1462" i="1"/>
  <c r="K1461" i="1"/>
  <c r="J1461" i="1"/>
  <c r="I1461" i="1"/>
  <c r="H1461" i="1"/>
  <c r="G1461" i="1"/>
  <c r="K1460" i="1"/>
  <c r="J1460" i="1"/>
  <c r="I1460" i="1"/>
  <c r="H1460" i="1"/>
  <c r="G1460" i="1"/>
  <c r="K1459" i="1"/>
  <c r="J1459" i="1"/>
  <c r="I1459" i="1"/>
  <c r="H1459" i="1"/>
  <c r="G1459" i="1"/>
  <c r="K1458" i="1"/>
  <c r="J1458" i="1"/>
  <c r="I1458" i="1"/>
  <c r="H1458" i="1"/>
  <c r="G1458" i="1"/>
  <c r="K1457" i="1"/>
  <c r="J1457" i="1"/>
  <c r="I1457" i="1"/>
  <c r="H1457" i="1"/>
  <c r="G1457" i="1"/>
  <c r="K1456" i="1"/>
  <c r="J1456" i="1"/>
  <c r="I1456" i="1"/>
  <c r="H1456" i="1"/>
  <c r="G1456" i="1"/>
  <c r="K1455" i="1"/>
  <c r="J1455" i="1"/>
  <c r="I1455" i="1"/>
  <c r="H1455" i="1"/>
  <c r="G1455" i="1"/>
  <c r="K1454" i="1"/>
  <c r="J1454" i="1"/>
  <c r="I1454" i="1"/>
  <c r="H1454" i="1"/>
  <c r="G1454" i="1"/>
  <c r="K1453" i="1"/>
  <c r="J1453" i="1"/>
  <c r="I1453" i="1"/>
  <c r="H1453" i="1"/>
  <c r="G1453" i="1"/>
  <c r="K1452" i="1"/>
  <c r="J1452" i="1"/>
  <c r="I1452" i="1"/>
  <c r="H1452" i="1"/>
  <c r="G1452" i="1"/>
  <c r="K1451" i="1"/>
  <c r="J1451" i="1"/>
  <c r="I1451" i="1"/>
  <c r="H1451" i="1"/>
  <c r="G1451" i="1"/>
  <c r="K1450" i="1"/>
  <c r="J1450" i="1"/>
  <c r="I1450" i="1"/>
  <c r="H1450" i="1"/>
  <c r="G1450" i="1"/>
  <c r="K1449" i="1"/>
  <c r="J1449" i="1"/>
  <c r="I1449" i="1"/>
  <c r="H1449" i="1"/>
  <c r="G1449" i="1"/>
  <c r="K1448" i="1"/>
  <c r="J1448" i="1"/>
  <c r="I1448" i="1"/>
  <c r="H1448" i="1"/>
  <c r="G1448" i="1"/>
  <c r="K1447" i="1"/>
  <c r="J1447" i="1"/>
  <c r="I1447" i="1"/>
  <c r="H1447" i="1"/>
  <c r="G1447" i="1"/>
  <c r="K1446" i="1"/>
  <c r="J1446" i="1"/>
  <c r="I1446" i="1"/>
  <c r="H1446" i="1"/>
  <c r="G1446" i="1"/>
  <c r="K1445" i="1"/>
  <c r="J1445" i="1"/>
  <c r="I1445" i="1"/>
  <c r="H1445" i="1"/>
  <c r="G1445" i="1"/>
  <c r="K1444" i="1"/>
  <c r="J1444" i="1"/>
  <c r="I1444" i="1"/>
  <c r="H1444" i="1"/>
  <c r="G1444" i="1"/>
  <c r="K1443" i="1"/>
  <c r="J1443" i="1"/>
  <c r="I1443" i="1"/>
  <c r="H1443" i="1"/>
  <c r="G1443" i="1"/>
  <c r="K1442" i="1"/>
  <c r="J1442" i="1"/>
  <c r="I1442" i="1"/>
  <c r="H1442" i="1"/>
  <c r="G1442" i="1"/>
  <c r="K1441" i="1"/>
  <c r="J1441" i="1"/>
  <c r="I1441" i="1"/>
  <c r="H1441" i="1"/>
  <c r="G1441" i="1"/>
  <c r="K1440" i="1"/>
  <c r="J1440" i="1"/>
  <c r="I1440" i="1"/>
  <c r="H1440" i="1"/>
  <c r="G1440" i="1"/>
  <c r="K1439" i="1"/>
  <c r="J1439" i="1"/>
  <c r="I1439" i="1"/>
  <c r="H1439" i="1"/>
  <c r="G1439" i="1"/>
  <c r="K1438" i="1"/>
  <c r="J1438" i="1"/>
  <c r="I1438" i="1"/>
  <c r="H1438" i="1"/>
  <c r="G1438" i="1"/>
  <c r="K1437" i="1"/>
  <c r="J1437" i="1"/>
  <c r="I1437" i="1"/>
  <c r="H1437" i="1"/>
  <c r="G1437" i="1"/>
  <c r="K1436" i="1"/>
  <c r="J1436" i="1"/>
  <c r="I1436" i="1"/>
  <c r="H1436" i="1"/>
  <c r="G1436" i="1"/>
  <c r="K1435" i="1"/>
  <c r="J1435" i="1"/>
  <c r="I1435" i="1"/>
  <c r="H1435" i="1"/>
  <c r="G1435" i="1"/>
  <c r="K1434" i="1"/>
  <c r="J1434" i="1"/>
  <c r="I1434" i="1"/>
  <c r="H1434" i="1"/>
  <c r="G1434" i="1"/>
  <c r="K1433" i="1"/>
  <c r="J1433" i="1"/>
  <c r="I1433" i="1"/>
  <c r="H1433" i="1"/>
  <c r="G1433" i="1"/>
  <c r="K1432" i="1"/>
  <c r="J1432" i="1"/>
  <c r="I1432" i="1"/>
  <c r="H1432" i="1"/>
  <c r="G1432" i="1"/>
  <c r="K1431" i="1"/>
  <c r="J1431" i="1"/>
  <c r="I1431" i="1"/>
  <c r="H1431" i="1"/>
  <c r="G1431" i="1"/>
  <c r="K1430" i="1"/>
  <c r="J1430" i="1"/>
  <c r="I1430" i="1"/>
  <c r="H1430" i="1"/>
  <c r="G1430" i="1"/>
  <c r="K1429" i="1"/>
  <c r="J1429" i="1"/>
  <c r="I1429" i="1"/>
  <c r="H1429" i="1"/>
  <c r="G1429" i="1"/>
  <c r="K1428" i="1"/>
  <c r="J1428" i="1"/>
  <c r="I1428" i="1"/>
  <c r="H1428" i="1"/>
  <c r="G1428" i="1"/>
  <c r="K1427" i="1"/>
  <c r="J1427" i="1"/>
  <c r="I1427" i="1"/>
  <c r="H1427" i="1"/>
  <c r="G1427" i="1"/>
  <c r="K1426" i="1"/>
  <c r="J1426" i="1"/>
  <c r="I1426" i="1"/>
  <c r="H1426" i="1"/>
  <c r="G1426" i="1"/>
  <c r="K1425" i="1"/>
  <c r="J1425" i="1"/>
  <c r="I1425" i="1"/>
  <c r="H1425" i="1"/>
  <c r="G1425" i="1"/>
  <c r="K1424" i="1"/>
  <c r="J1424" i="1"/>
  <c r="I1424" i="1"/>
  <c r="H1424" i="1"/>
  <c r="G1424" i="1"/>
  <c r="K1423" i="1"/>
  <c r="J1423" i="1"/>
  <c r="I1423" i="1"/>
  <c r="H1423" i="1"/>
  <c r="G1423" i="1"/>
  <c r="K1422" i="1"/>
  <c r="J1422" i="1"/>
  <c r="I1422" i="1"/>
  <c r="H1422" i="1"/>
  <c r="G1422" i="1"/>
  <c r="K1421" i="1"/>
  <c r="J1421" i="1"/>
  <c r="I1421" i="1"/>
  <c r="H1421" i="1"/>
  <c r="G1421" i="1"/>
  <c r="K1420" i="1"/>
  <c r="J1420" i="1"/>
  <c r="I1420" i="1"/>
  <c r="H1420" i="1"/>
  <c r="G1420" i="1"/>
  <c r="K1419" i="1"/>
  <c r="J1419" i="1"/>
  <c r="I1419" i="1"/>
  <c r="H1419" i="1"/>
  <c r="G1419" i="1"/>
  <c r="K1418" i="1"/>
  <c r="J1418" i="1"/>
  <c r="I1418" i="1"/>
  <c r="H1418" i="1"/>
  <c r="G1418" i="1"/>
  <c r="K1417" i="1"/>
  <c r="J1417" i="1"/>
  <c r="I1417" i="1"/>
  <c r="H1417" i="1"/>
  <c r="G1417" i="1"/>
  <c r="K1416" i="1"/>
  <c r="J1416" i="1"/>
  <c r="I1416" i="1"/>
  <c r="H1416" i="1"/>
  <c r="G1416" i="1"/>
  <c r="K1415" i="1"/>
  <c r="J1415" i="1"/>
  <c r="I1415" i="1"/>
  <c r="H1415" i="1"/>
  <c r="G1415" i="1"/>
  <c r="K1414" i="1"/>
  <c r="J1414" i="1"/>
  <c r="I1414" i="1"/>
  <c r="H1414" i="1"/>
  <c r="G1414" i="1"/>
  <c r="K1413" i="1"/>
  <c r="J1413" i="1"/>
  <c r="I1413" i="1"/>
  <c r="H1413" i="1"/>
  <c r="G1413" i="1"/>
  <c r="K1412" i="1"/>
  <c r="J1412" i="1"/>
  <c r="I1412" i="1"/>
  <c r="H1412" i="1"/>
  <c r="G1412" i="1"/>
  <c r="K1411" i="1"/>
  <c r="J1411" i="1"/>
  <c r="I1411" i="1"/>
  <c r="H1411" i="1"/>
  <c r="G1411" i="1"/>
  <c r="K1410" i="1"/>
  <c r="J1410" i="1"/>
  <c r="I1410" i="1"/>
  <c r="H1410" i="1"/>
  <c r="G1410" i="1"/>
  <c r="K1409" i="1"/>
  <c r="J1409" i="1"/>
  <c r="I1409" i="1"/>
  <c r="H1409" i="1"/>
  <c r="G1409" i="1"/>
  <c r="K1408" i="1"/>
  <c r="J1408" i="1"/>
  <c r="I1408" i="1"/>
  <c r="H1408" i="1"/>
  <c r="G1408" i="1"/>
  <c r="K1407" i="1"/>
  <c r="J1407" i="1"/>
  <c r="I1407" i="1"/>
  <c r="H1407" i="1"/>
  <c r="G1407" i="1"/>
  <c r="K1406" i="1"/>
  <c r="J1406" i="1"/>
  <c r="I1406" i="1"/>
  <c r="H1406" i="1"/>
  <c r="G1406" i="1"/>
  <c r="K1405" i="1"/>
  <c r="J1405" i="1"/>
  <c r="I1405" i="1"/>
  <c r="H1405" i="1"/>
  <c r="G1405" i="1"/>
  <c r="K1404" i="1"/>
  <c r="J1404" i="1"/>
  <c r="I1404" i="1"/>
  <c r="H1404" i="1"/>
  <c r="G1404" i="1"/>
  <c r="K1403" i="1"/>
  <c r="J1403" i="1"/>
  <c r="I1403" i="1"/>
  <c r="H1403" i="1"/>
  <c r="G1403" i="1"/>
  <c r="K1402" i="1"/>
  <c r="J1402" i="1"/>
  <c r="I1402" i="1"/>
  <c r="H1402" i="1"/>
  <c r="G1402" i="1"/>
  <c r="K1401" i="1"/>
  <c r="J1401" i="1"/>
  <c r="I1401" i="1"/>
  <c r="H1401" i="1"/>
  <c r="G1401" i="1"/>
  <c r="K1400" i="1"/>
  <c r="J1400" i="1"/>
  <c r="I1400" i="1"/>
  <c r="H1400" i="1"/>
  <c r="G1400" i="1"/>
  <c r="K1399" i="1"/>
  <c r="J1399" i="1"/>
  <c r="I1399" i="1"/>
  <c r="H1399" i="1"/>
  <c r="G1399" i="1"/>
  <c r="K1398" i="1"/>
  <c r="J1398" i="1"/>
  <c r="I1398" i="1"/>
  <c r="H1398" i="1"/>
  <c r="G1398" i="1"/>
  <c r="K1397" i="1"/>
  <c r="J1397" i="1"/>
  <c r="I1397" i="1"/>
  <c r="H1397" i="1"/>
  <c r="G1397" i="1"/>
  <c r="K1396" i="1"/>
  <c r="J1396" i="1"/>
  <c r="I1396" i="1"/>
  <c r="H1396" i="1"/>
  <c r="G1396" i="1"/>
  <c r="K1395" i="1"/>
  <c r="J1395" i="1"/>
  <c r="I1395" i="1"/>
  <c r="H1395" i="1"/>
  <c r="G1395" i="1"/>
  <c r="K1394" i="1"/>
  <c r="J1394" i="1"/>
  <c r="I1394" i="1"/>
  <c r="H1394" i="1"/>
  <c r="G1394" i="1"/>
  <c r="K1393" i="1"/>
  <c r="J1393" i="1"/>
  <c r="I1393" i="1"/>
  <c r="H1393" i="1"/>
  <c r="G1393" i="1"/>
  <c r="K1392" i="1"/>
  <c r="J1392" i="1"/>
  <c r="I1392" i="1"/>
  <c r="H1392" i="1"/>
  <c r="G1392" i="1"/>
  <c r="K1391" i="1"/>
  <c r="J1391" i="1"/>
  <c r="I1391" i="1"/>
  <c r="H1391" i="1"/>
  <c r="G1391" i="1"/>
  <c r="K1390" i="1"/>
  <c r="J1390" i="1"/>
  <c r="I1390" i="1"/>
  <c r="H1390" i="1"/>
  <c r="G1390" i="1"/>
  <c r="K1389" i="1"/>
  <c r="J1389" i="1"/>
  <c r="I1389" i="1"/>
  <c r="H1389" i="1"/>
  <c r="G1389" i="1"/>
  <c r="K1388" i="1"/>
  <c r="J1388" i="1"/>
  <c r="I1388" i="1"/>
  <c r="H1388" i="1"/>
  <c r="G1388" i="1"/>
  <c r="K1387" i="1"/>
  <c r="J1387" i="1"/>
  <c r="I1387" i="1"/>
  <c r="H1387" i="1"/>
  <c r="G1387" i="1"/>
  <c r="K1386" i="1"/>
  <c r="J1386" i="1"/>
  <c r="I1386" i="1"/>
  <c r="H1386" i="1"/>
  <c r="G1386" i="1"/>
  <c r="K1385" i="1"/>
  <c r="J1385" i="1"/>
  <c r="I1385" i="1"/>
  <c r="H1385" i="1"/>
  <c r="G1385" i="1"/>
  <c r="K1384" i="1"/>
  <c r="J1384" i="1"/>
  <c r="I1384" i="1"/>
  <c r="H1384" i="1"/>
  <c r="G1384" i="1"/>
  <c r="K1383" i="1"/>
  <c r="J1383" i="1"/>
  <c r="I1383" i="1"/>
  <c r="H1383" i="1"/>
  <c r="G1383" i="1"/>
  <c r="K1382" i="1"/>
  <c r="J1382" i="1"/>
  <c r="I1382" i="1"/>
  <c r="H1382" i="1"/>
  <c r="G1382" i="1"/>
  <c r="K1381" i="1"/>
  <c r="J1381" i="1"/>
  <c r="I1381" i="1"/>
  <c r="H1381" i="1"/>
  <c r="G1381" i="1"/>
  <c r="K1380" i="1"/>
  <c r="J1380" i="1"/>
  <c r="I1380" i="1"/>
  <c r="H1380" i="1"/>
  <c r="G1380" i="1"/>
  <c r="K1379" i="1"/>
  <c r="J1379" i="1"/>
  <c r="I1379" i="1"/>
  <c r="H1379" i="1"/>
  <c r="G1379" i="1"/>
  <c r="K1378" i="1"/>
  <c r="J1378" i="1"/>
  <c r="I1378" i="1"/>
  <c r="H1378" i="1"/>
  <c r="G1378" i="1"/>
  <c r="K1377" i="1"/>
  <c r="J1377" i="1"/>
  <c r="I1377" i="1"/>
  <c r="H1377" i="1"/>
  <c r="G1377" i="1"/>
  <c r="K1376" i="1"/>
  <c r="J1376" i="1"/>
  <c r="I1376" i="1"/>
  <c r="H1376" i="1"/>
  <c r="G1376" i="1"/>
  <c r="K1375" i="1"/>
  <c r="J1375" i="1"/>
  <c r="I1375" i="1"/>
  <c r="H1375" i="1"/>
  <c r="G1375" i="1"/>
  <c r="K1374" i="1"/>
  <c r="J1374" i="1"/>
  <c r="I1374" i="1"/>
  <c r="H1374" i="1"/>
  <c r="G1374" i="1"/>
  <c r="K1373" i="1"/>
  <c r="J1373" i="1"/>
  <c r="I1373" i="1"/>
  <c r="H1373" i="1"/>
  <c r="G1373" i="1"/>
  <c r="K1372" i="1"/>
  <c r="J1372" i="1"/>
  <c r="I1372" i="1"/>
  <c r="H1372" i="1"/>
  <c r="G1372" i="1"/>
  <c r="K1371" i="1"/>
  <c r="J1371" i="1"/>
  <c r="I1371" i="1"/>
  <c r="H1371" i="1"/>
  <c r="G1371" i="1"/>
  <c r="K1370" i="1"/>
  <c r="J1370" i="1"/>
  <c r="I1370" i="1"/>
  <c r="H1370" i="1"/>
  <c r="G1370" i="1"/>
  <c r="K1369" i="1"/>
  <c r="J1369" i="1"/>
  <c r="I1369" i="1"/>
  <c r="H1369" i="1"/>
  <c r="G1369" i="1"/>
  <c r="K1368" i="1"/>
  <c r="J1368" i="1"/>
  <c r="I1368" i="1"/>
  <c r="H1368" i="1"/>
  <c r="G1368" i="1"/>
  <c r="K1367" i="1"/>
  <c r="J1367" i="1"/>
  <c r="I1367" i="1"/>
  <c r="H1367" i="1"/>
  <c r="G1367" i="1"/>
  <c r="K1366" i="1"/>
  <c r="J1366" i="1"/>
  <c r="I1366" i="1"/>
  <c r="H1366" i="1"/>
  <c r="G1366" i="1"/>
  <c r="K1365" i="1"/>
  <c r="J1365" i="1"/>
  <c r="I1365" i="1"/>
  <c r="H1365" i="1"/>
  <c r="G1365" i="1"/>
  <c r="K1364" i="1"/>
  <c r="J1364" i="1"/>
  <c r="I1364" i="1"/>
  <c r="H1364" i="1"/>
  <c r="G1364" i="1"/>
  <c r="K1363" i="1"/>
  <c r="J1363" i="1"/>
  <c r="I1363" i="1"/>
  <c r="H1363" i="1"/>
  <c r="G1363" i="1"/>
  <c r="K1362" i="1"/>
  <c r="J1362" i="1"/>
  <c r="I1362" i="1"/>
  <c r="H1362" i="1"/>
  <c r="G1362" i="1"/>
  <c r="K1361" i="1"/>
  <c r="J1361" i="1"/>
  <c r="I1361" i="1"/>
  <c r="H1361" i="1"/>
  <c r="G1361" i="1"/>
  <c r="K1360" i="1"/>
  <c r="J1360" i="1"/>
  <c r="I1360" i="1"/>
  <c r="H1360" i="1"/>
  <c r="G1360" i="1"/>
  <c r="K1359" i="1"/>
  <c r="J1359" i="1"/>
  <c r="I1359" i="1"/>
  <c r="H1359" i="1"/>
  <c r="G1359" i="1"/>
  <c r="K1358" i="1"/>
  <c r="J1358" i="1"/>
  <c r="I1358" i="1"/>
  <c r="H1358" i="1"/>
  <c r="G1358" i="1"/>
  <c r="K1357" i="1"/>
  <c r="J1357" i="1"/>
  <c r="I1357" i="1"/>
  <c r="H1357" i="1"/>
  <c r="G1357" i="1"/>
  <c r="K1356" i="1"/>
  <c r="J1356" i="1"/>
  <c r="I1356" i="1"/>
  <c r="H1356" i="1"/>
  <c r="G1356" i="1"/>
  <c r="K1355" i="1"/>
  <c r="J1355" i="1"/>
  <c r="I1355" i="1"/>
  <c r="H1355" i="1"/>
  <c r="G1355" i="1"/>
  <c r="K1354" i="1"/>
  <c r="J1354" i="1"/>
  <c r="I1354" i="1"/>
  <c r="H1354" i="1"/>
  <c r="G1354" i="1"/>
  <c r="K1353" i="1"/>
  <c r="J1353" i="1"/>
  <c r="I1353" i="1"/>
  <c r="H1353" i="1"/>
  <c r="G1353" i="1"/>
  <c r="K1352" i="1"/>
  <c r="J1352" i="1"/>
  <c r="I1352" i="1"/>
  <c r="H1352" i="1"/>
  <c r="G1352" i="1"/>
  <c r="K1351" i="1"/>
  <c r="J1351" i="1"/>
  <c r="I1351" i="1"/>
  <c r="H1351" i="1"/>
  <c r="G1351" i="1"/>
  <c r="K1350" i="1"/>
  <c r="J1350" i="1"/>
  <c r="I1350" i="1"/>
  <c r="H1350" i="1"/>
  <c r="G1350" i="1"/>
  <c r="K1349" i="1"/>
  <c r="J1349" i="1"/>
  <c r="I1349" i="1"/>
  <c r="H1349" i="1"/>
  <c r="G1349" i="1"/>
  <c r="K1348" i="1"/>
  <c r="J1348" i="1"/>
  <c r="I1348" i="1"/>
  <c r="H1348" i="1"/>
  <c r="G1348" i="1"/>
  <c r="K1347" i="1"/>
  <c r="J1347" i="1"/>
  <c r="I1347" i="1"/>
  <c r="H1347" i="1"/>
  <c r="G1347" i="1"/>
  <c r="K1346" i="1"/>
  <c r="J1346" i="1"/>
  <c r="I1346" i="1"/>
  <c r="H1346" i="1"/>
  <c r="G1346" i="1"/>
  <c r="K1345" i="1"/>
  <c r="J1345" i="1"/>
  <c r="I1345" i="1"/>
  <c r="H1345" i="1"/>
  <c r="G1345" i="1"/>
  <c r="K1344" i="1"/>
  <c r="J1344" i="1"/>
  <c r="I1344" i="1"/>
  <c r="H1344" i="1"/>
  <c r="G1344" i="1"/>
  <c r="K1343" i="1"/>
  <c r="J1343" i="1"/>
  <c r="I1343" i="1"/>
  <c r="H1343" i="1"/>
  <c r="G1343" i="1"/>
  <c r="K1342" i="1"/>
  <c r="J1342" i="1"/>
  <c r="I1342" i="1"/>
  <c r="H1342" i="1"/>
  <c r="G1342" i="1"/>
  <c r="K1341" i="1"/>
  <c r="J1341" i="1"/>
  <c r="I1341" i="1"/>
  <c r="H1341" i="1"/>
  <c r="G1341" i="1"/>
  <c r="K1340" i="1"/>
  <c r="J1340" i="1"/>
  <c r="I1340" i="1"/>
  <c r="H1340" i="1"/>
  <c r="G1340" i="1"/>
  <c r="K1339" i="1"/>
  <c r="J1339" i="1"/>
  <c r="I1339" i="1"/>
  <c r="H1339" i="1"/>
  <c r="G1339" i="1"/>
  <c r="K1338" i="1"/>
  <c r="J1338" i="1"/>
  <c r="I1338" i="1"/>
  <c r="H1338" i="1"/>
  <c r="G1338" i="1"/>
  <c r="K1337" i="1"/>
  <c r="J1337" i="1"/>
  <c r="I1337" i="1"/>
  <c r="H1337" i="1"/>
  <c r="G1337" i="1"/>
  <c r="K1336" i="1"/>
  <c r="J1336" i="1"/>
  <c r="I1336" i="1"/>
  <c r="H1336" i="1"/>
  <c r="G1336" i="1"/>
  <c r="K1335" i="1"/>
  <c r="J1335" i="1"/>
  <c r="I1335" i="1"/>
  <c r="H1335" i="1"/>
  <c r="G1335" i="1"/>
  <c r="K1334" i="1"/>
  <c r="J1334" i="1"/>
  <c r="I1334" i="1"/>
  <c r="H1334" i="1"/>
  <c r="G1334" i="1"/>
  <c r="K1333" i="1"/>
  <c r="J1333" i="1"/>
  <c r="I1333" i="1"/>
  <c r="H1333" i="1"/>
  <c r="G1333" i="1"/>
  <c r="K1332" i="1"/>
  <c r="J1332" i="1"/>
  <c r="I1332" i="1"/>
  <c r="H1332" i="1"/>
  <c r="G1332" i="1"/>
  <c r="K1331" i="1"/>
  <c r="J1331" i="1"/>
  <c r="I1331" i="1"/>
  <c r="H1331" i="1"/>
  <c r="G1331" i="1"/>
  <c r="K1330" i="1"/>
  <c r="J1330" i="1"/>
  <c r="I1330" i="1"/>
  <c r="H1330" i="1"/>
  <c r="G1330" i="1"/>
  <c r="K1329" i="1"/>
  <c r="J1329" i="1"/>
  <c r="I1329" i="1"/>
  <c r="H1329" i="1"/>
  <c r="G1329" i="1"/>
  <c r="K1328" i="1"/>
  <c r="J1328" i="1"/>
  <c r="I1328" i="1"/>
  <c r="H1328" i="1"/>
  <c r="G1328" i="1"/>
  <c r="K1327" i="1"/>
  <c r="J1327" i="1"/>
  <c r="I1327" i="1"/>
  <c r="H1327" i="1"/>
  <c r="G1327" i="1"/>
  <c r="K1326" i="1"/>
  <c r="J1326" i="1"/>
  <c r="I1326" i="1"/>
  <c r="H1326" i="1"/>
  <c r="G1326" i="1"/>
  <c r="K1325" i="1"/>
  <c r="J1325" i="1"/>
  <c r="I1325" i="1"/>
  <c r="H1325" i="1"/>
  <c r="G1325" i="1"/>
  <c r="K1324" i="1"/>
  <c r="J1324" i="1"/>
  <c r="I1324" i="1"/>
  <c r="H1324" i="1"/>
  <c r="G1324" i="1"/>
  <c r="K1323" i="1"/>
  <c r="J1323" i="1"/>
  <c r="I1323" i="1"/>
  <c r="H1323" i="1"/>
  <c r="G1323" i="1"/>
  <c r="K1322" i="1"/>
  <c r="J1322" i="1"/>
  <c r="I1322" i="1"/>
  <c r="H1322" i="1"/>
  <c r="G1322" i="1"/>
  <c r="K1321" i="1"/>
  <c r="J1321" i="1"/>
  <c r="I1321" i="1"/>
  <c r="H1321" i="1"/>
  <c r="G1321" i="1"/>
  <c r="K1320" i="1"/>
  <c r="J1320" i="1"/>
  <c r="I1320" i="1"/>
  <c r="H1320" i="1"/>
  <c r="G1320" i="1"/>
  <c r="K1319" i="1"/>
  <c r="J1319" i="1"/>
  <c r="I1319" i="1"/>
  <c r="H1319" i="1"/>
  <c r="G1319" i="1"/>
  <c r="K1318" i="1"/>
  <c r="J1318" i="1"/>
  <c r="I1318" i="1"/>
  <c r="H1318" i="1"/>
  <c r="G1318" i="1"/>
  <c r="K1317" i="1"/>
  <c r="J1317" i="1"/>
  <c r="I1317" i="1"/>
  <c r="H1317" i="1"/>
  <c r="G1317" i="1"/>
  <c r="K1316" i="1"/>
  <c r="J1316" i="1"/>
  <c r="I1316" i="1"/>
  <c r="H1316" i="1"/>
  <c r="G1316" i="1"/>
  <c r="K1315" i="1"/>
  <c r="J1315" i="1"/>
  <c r="I1315" i="1"/>
  <c r="H1315" i="1"/>
  <c r="G1315" i="1"/>
  <c r="K1314" i="1"/>
  <c r="J1314" i="1"/>
  <c r="I1314" i="1"/>
  <c r="H1314" i="1"/>
  <c r="G1314" i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K1308" i="1"/>
  <c r="J1308" i="1"/>
  <c r="I1308" i="1"/>
  <c r="H1308" i="1"/>
  <c r="G1308" i="1"/>
  <c r="K1307" i="1"/>
  <c r="J1307" i="1"/>
  <c r="I1307" i="1"/>
  <c r="H1307" i="1"/>
  <c r="G1307" i="1"/>
  <c r="K1306" i="1"/>
  <c r="J1306" i="1"/>
  <c r="I1306" i="1"/>
  <c r="H1306" i="1"/>
  <c r="G1306" i="1"/>
  <c r="K1305" i="1"/>
  <c r="J1305" i="1"/>
  <c r="I1305" i="1"/>
  <c r="H1305" i="1"/>
  <c r="G1305" i="1"/>
  <c r="K1304" i="1"/>
  <c r="J1304" i="1"/>
  <c r="I1304" i="1"/>
  <c r="H1304" i="1"/>
  <c r="G1304" i="1"/>
  <c r="K1303" i="1"/>
  <c r="J1303" i="1"/>
  <c r="I1303" i="1"/>
  <c r="H1303" i="1"/>
  <c r="G1303" i="1"/>
  <c r="K1302" i="1"/>
  <c r="J1302" i="1"/>
  <c r="I1302" i="1"/>
  <c r="H1302" i="1"/>
  <c r="G1302" i="1"/>
  <c r="K1301" i="1"/>
  <c r="J1301" i="1"/>
  <c r="I1301" i="1"/>
  <c r="H1301" i="1"/>
  <c r="G1301" i="1"/>
  <c r="K1300" i="1"/>
  <c r="J1300" i="1"/>
  <c r="I1300" i="1"/>
  <c r="H1300" i="1"/>
  <c r="G1300" i="1"/>
  <c r="K1299" i="1"/>
  <c r="J1299" i="1"/>
  <c r="I1299" i="1"/>
  <c r="H1299" i="1"/>
  <c r="G1299" i="1"/>
  <c r="K1298" i="1"/>
  <c r="J1298" i="1"/>
  <c r="I1298" i="1"/>
  <c r="H1298" i="1"/>
  <c r="G1298" i="1"/>
  <c r="K1297" i="1"/>
  <c r="J1297" i="1"/>
  <c r="I1297" i="1"/>
  <c r="H1297" i="1"/>
  <c r="G1297" i="1"/>
  <c r="K1296" i="1"/>
  <c r="J1296" i="1"/>
  <c r="I1296" i="1"/>
  <c r="H1296" i="1"/>
  <c r="G1296" i="1"/>
  <c r="K1295" i="1"/>
  <c r="J1295" i="1"/>
  <c r="I1295" i="1"/>
  <c r="H1295" i="1"/>
  <c r="G1295" i="1"/>
  <c r="K1294" i="1"/>
  <c r="J1294" i="1"/>
  <c r="I1294" i="1"/>
  <c r="H1294" i="1"/>
  <c r="G1294" i="1"/>
  <c r="K1293" i="1"/>
  <c r="J1293" i="1"/>
  <c r="I1293" i="1"/>
  <c r="H1293" i="1"/>
  <c r="G1293" i="1"/>
  <c r="K1292" i="1"/>
  <c r="J1292" i="1"/>
  <c r="I1292" i="1"/>
  <c r="H1292" i="1"/>
  <c r="G1292" i="1"/>
  <c r="K1291" i="1"/>
  <c r="J1291" i="1"/>
  <c r="I1291" i="1"/>
  <c r="H1291" i="1"/>
  <c r="G1291" i="1"/>
  <c r="K1290" i="1"/>
  <c r="J1290" i="1"/>
  <c r="I1290" i="1"/>
  <c r="H1290" i="1"/>
  <c r="G1290" i="1"/>
  <c r="K1289" i="1"/>
  <c r="J1289" i="1"/>
  <c r="I1289" i="1"/>
  <c r="H1289" i="1"/>
  <c r="G1289" i="1"/>
  <c r="K1288" i="1"/>
  <c r="J1288" i="1"/>
  <c r="I1288" i="1"/>
  <c r="H1288" i="1"/>
  <c r="G1288" i="1"/>
  <c r="K1287" i="1"/>
  <c r="J1287" i="1"/>
  <c r="I1287" i="1"/>
  <c r="H1287" i="1"/>
  <c r="G1287" i="1"/>
  <c r="K1286" i="1"/>
  <c r="J1286" i="1"/>
  <c r="I1286" i="1"/>
  <c r="H1286" i="1"/>
  <c r="G1286" i="1"/>
  <c r="K1285" i="1"/>
  <c r="J1285" i="1"/>
  <c r="I1285" i="1"/>
  <c r="H1285" i="1"/>
  <c r="G1285" i="1"/>
  <c r="K1284" i="1"/>
  <c r="J1284" i="1"/>
  <c r="I1284" i="1"/>
  <c r="H1284" i="1"/>
  <c r="G1284" i="1"/>
  <c r="K1283" i="1"/>
  <c r="J1283" i="1"/>
  <c r="I1283" i="1"/>
  <c r="H1283" i="1"/>
  <c r="G1283" i="1"/>
  <c r="K1282" i="1"/>
  <c r="J1282" i="1"/>
  <c r="I1282" i="1"/>
  <c r="H1282" i="1"/>
  <c r="G1282" i="1"/>
  <c r="K1281" i="1"/>
  <c r="J1281" i="1"/>
  <c r="I1281" i="1"/>
  <c r="H1281" i="1"/>
  <c r="G1281" i="1"/>
  <c r="K1280" i="1"/>
  <c r="J1280" i="1"/>
  <c r="I1280" i="1"/>
  <c r="H1280" i="1"/>
  <c r="G1280" i="1"/>
  <c r="K1279" i="1"/>
  <c r="J1279" i="1"/>
  <c r="I1279" i="1"/>
  <c r="H1279" i="1"/>
  <c r="G1279" i="1"/>
  <c r="K1278" i="1"/>
  <c r="J1278" i="1"/>
  <c r="I1278" i="1"/>
  <c r="H1278" i="1"/>
  <c r="G1278" i="1"/>
  <c r="K1277" i="1"/>
  <c r="J1277" i="1"/>
  <c r="I1277" i="1"/>
  <c r="H1277" i="1"/>
  <c r="G1277" i="1"/>
  <c r="K1276" i="1"/>
  <c r="J1276" i="1"/>
  <c r="I1276" i="1"/>
  <c r="H1276" i="1"/>
  <c r="G1276" i="1"/>
  <c r="K1275" i="1"/>
  <c r="J1275" i="1"/>
  <c r="I1275" i="1"/>
  <c r="H1275" i="1"/>
  <c r="G1275" i="1"/>
  <c r="K1274" i="1"/>
  <c r="J1274" i="1"/>
  <c r="I1274" i="1"/>
  <c r="H1274" i="1"/>
  <c r="G1274" i="1"/>
  <c r="K1273" i="1"/>
  <c r="J1273" i="1"/>
  <c r="I1273" i="1"/>
  <c r="H1273" i="1"/>
  <c r="G1273" i="1"/>
  <c r="K1272" i="1"/>
  <c r="J1272" i="1"/>
  <c r="I1272" i="1"/>
  <c r="H1272" i="1"/>
  <c r="G1272" i="1"/>
  <c r="K1271" i="1"/>
  <c r="J1271" i="1"/>
  <c r="I1271" i="1"/>
  <c r="H1271" i="1"/>
  <c r="G1271" i="1"/>
  <c r="K1270" i="1"/>
  <c r="J1270" i="1"/>
  <c r="I1270" i="1"/>
  <c r="H1270" i="1"/>
  <c r="G1270" i="1"/>
  <c r="K1269" i="1"/>
  <c r="J1269" i="1"/>
  <c r="I1269" i="1"/>
  <c r="H1269" i="1"/>
  <c r="G1269" i="1"/>
  <c r="K1268" i="1"/>
  <c r="J1268" i="1"/>
  <c r="I1268" i="1"/>
  <c r="H1268" i="1"/>
  <c r="G1268" i="1"/>
  <c r="K1267" i="1"/>
  <c r="J1267" i="1"/>
  <c r="I1267" i="1"/>
  <c r="H1267" i="1"/>
  <c r="G1267" i="1"/>
  <c r="K1266" i="1"/>
  <c r="J1266" i="1"/>
  <c r="I1266" i="1"/>
  <c r="H1266" i="1"/>
  <c r="G1266" i="1"/>
  <c r="K1265" i="1"/>
  <c r="J1265" i="1"/>
  <c r="I1265" i="1"/>
  <c r="H1265" i="1"/>
  <c r="G1265" i="1"/>
  <c r="K1264" i="1"/>
  <c r="J1264" i="1"/>
  <c r="I1264" i="1"/>
  <c r="H1264" i="1"/>
  <c r="G1264" i="1"/>
  <c r="K1263" i="1"/>
  <c r="J1263" i="1"/>
  <c r="I1263" i="1"/>
  <c r="H1263" i="1"/>
  <c r="G1263" i="1"/>
  <c r="K1262" i="1"/>
  <c r="J1262" i="1"/>
  <c r="I1262" i="1"/>
  <c r="H1262" i="1"/>
  <c r="G1262" i="1"/>
  <c r="K1261" i="1"/>
  <c r="J1261" i="1"/>
  <c r="I1261" i="1"/>
  <c r="H1261" i="1"/>
  <c r="G1261" i="1"/>
  <c r="K1260" i="1"/>
  <c r="J1260" i="1"/>
  <c r="I1260" i="1"/>
  <c r="H1260" i="1"/>
  <c r="G1260" i="1"/>
  <c r="K1259" i="1"/>
  <c r="J1259" i="1"/>
  <c r="I1259" i="1"/>
  <c r="H1259" i="1"/>
  <c r="G1259" i="1"/>
  <c r="K1258" i="1"/>
  <c r="J1258" i="1"/>
  <c r="I1258" i="1"/>
  <c r="H1258" i="1"/>
  <c r="G1258" i="1"/>
  <c r="K1257" i="1"/>
  <c r="J1257" i="1"/>
  <c r="I1257" i="1"/>
  <c r="H1257" i="1"/>
  <c r="G1257" i="1"/>
  <c r="K1256" i="1"/>
  <c r="J1256" i="1"/>
  <c r="I1256" i="1"/>
  <c r="H1256" i="1"/>
  <c r="G1256" i="1"/>
  <c r="K1255" i="1"/>
  <c r="J1255" i="1"/>
  <c r="I1255" i="1"/>
  <c r="H1255" i="1"/>
  <c r="G1255" i="1"/>
  <c r="K1254" i="1"/>
  <c r="J1254" i="1"/>
  <c r="I1254" i="1"/>
  <c r="H1254" i="1"/>
  <c r="G1254" i="1"/>
  <c r="K1253" i="1"/>
  <c r="J1253" i="1"/>
  <c r="I1253" i="1"/>
  <c r="H1253" i="1"/>
  <c r="G1253" i="1"/>
  <c r="K1252" i="1"/>
  <c r="J1252" i="1"/>
  <c r="I1252" i="1"/>
  <c r="H1252" i="1"/>
  <c r="G1252" i="1"/>
  <c r="K1251" i="1"/>
  <c r="J1251" i="1"/>
  <c r="I1251" i="1"/>
  <c r="H1251" i="1"/>
  <c r="G1251" i="1"/>
  <c r="K1250" i="1"/>
  <c r="J1250" i="1"/>
  <c r="I1250" i="1"/>
  <c r="H1250" i="1"/>
  <c r="G1250" i="1"/>
  <c r="K1249" i="1"/>
  <c r="J1249" i="1"/>
  <c r="I1249" i="1"/>
  <c r="H1249" i="1"/>
  <c r="G1249" i="1"/>
  <c r="K1248" i="1"/>
  <c r="J1248" i="1"/>
  <c r="I1248" i="1"/>
  <c r="H1248" i="1"/>
  <c r="G1248" i="1"/>
  <c r="K1247" i="1"/>
  <c r="J1247" i="1"/>
  <c r="I1247" i="1"/>
  <c r="H1247" i="1"/>
  <c r="G1247" i="1"/>
  <c r="K1246" i="1"/>
  <c r="J1246" i="1"/>
  <c r="I1246" i="1"/>
  <c r="H1246" i="1"/>
  <c r="G1246" i="1"/>
  <c r="K1245" i="1"/>
  <c r="J1245" i="1"/>
  <c r="I1245" i="1"/>
  <c r="H1245" i="1"/>
  <c r="G1245" i="1"/>
  <c r="K1244" i="1"/>
  <c r="J1244" i="1"/>
  <c r="I1244" i="1"/>
  <c r="H1244" i="1"/>
  <c r="G1244" i="1"/>
  <c r="K1243" i="1"/>
  <c r="J1243" i="1"/>
  <c r="I1243" i="1"/>
  <c r="H1243" i="1"/>
  <c r="G1243" i="1"/>
  <c r="K1242" i="1"/>
  <c r="J1242" i="1"/>
  <c r="I1242" i="1"/>
  <c r="H1242" i="1"/>
  <c r="G1242" i="1"/>
  <c r="K1241" i="1"/>
  <c r="J1241" i="1"/>
  <c r="I1241" i="1"/>
  <c r="H1241" i="1"/>
  <c r="G1241" i="1"/>
  <c r="K1240" i="1"/>
  <c r="J1240" i="1"/>
  <c r="I1240" i="1"/>
  <c r="H1240" i="1"/>
  <c r="G1240" i="1"/>
  <c r="K1239" i="1"/>
  <c r="J1239" i="1"/>
  <c r="I1239" i="1"/>
  <c r="H1239" i="1"/>
  <c r="G1239" i="1"/>
  <c r="K1238" i="1"/>
  <c r="J1238" i="1"/>
  <c r="I1238" i="1"/>
  <c r="H1238" i="1"/>
  <c r="G1238" i="1"/>
  <c r="K1237" i="1"/>
  <c r="J1237" i="1"/>
  <c r="I1237" i="1"/>
  <c r="H1237" i="1"/>
  <c r="G1237" i="1"/>
  <c r="K1236" i="1"/>
  <c r="J1236" i="1"/>
  <c r="I1236" i="1"/>
  <c r="H1236" i="1"/>
  <c r="G1236" i="1"/>
  <c r="K1235" i="1"/>
  <c r="J1235" i="1"/>
  <c r="I1235" i="1"/>
  <c r="H1235" i="1"/>
  <c r="G1235" i="1"/>
  <c r="K1234" i="1"/>
  <c r="J1234" i="1"/>
  <c r="I1234" i="1"/>
  <c r="H1234" i="1"/>
  <c r="G1234" i="1"/>
  <c r="K1233" i="1"/>
  <c r="J1233" i="1"/>
  <c r="I1233" i="1"/>
  <c r="H1233" i="1"/>
  <c r="G1233" i="1"/>
  <c r="K1232" i="1"/>
  <c r="J1232" i="1"/>
  <c r="I1232" i="1"/>
  <c r="H1232" i="1"/>
  <c r="G1232" i="1"/>
  <c r="K1231" i="1"/>
  <c r="J1231" i="1"/>
  <c r="I1231" i="1"/>
  <c r="H1231" i="1"/>
  <c r="G1231" i="1"/>
  <c r="K1230" i="1"/>
  <c r="J1230" i="1"/>
  <c r="I1230" i="1"/>
  <c r="H1230" i="1"/>
  <c r="G1230" i="1"/>
  <c r="K1229" i="1"/>
  <c r="J1229" i="1"/>
  <c r="I1229" i="1"/>
  <c r="H1229" i="1"/>
  <c r="G1229" i="1"/>
  <c r="K1228" i="1"/>
  <c r="J1228" i="1"/>
  <c r="I1228" i="1"/>
  <c r="H1228" i="1"/>
  <c r="G1228" i="1"/>
  <c r="K1227" i="1"/>
  <c r="J1227" i="1"/>
  <c r="I1227" i="1"/>
  <c r="H1227" i="1"/>
  <c r="G1227" i="1"/>
  <c r="K1226" i="1"/>
  <c r="J1226" i="1"/>
  <c r="I1226" i="1"/>
  <c r="H1226" i="1"/>
  <c r="G1226" i="1"/>
  <c r="K1225" i="1"/>
  <c r="J1225" i="1"/>
  <c r="I1225" i="1"/>
  <c r="H1225" i="1"/>
  <c r="G1225" i="1"/>
  <c r="K1224" i="1"/>
  <c r="J1224" i="1"/>
  <c r="I1224" i="1"/>
  <c r="H1224" i="1"/>
  <c r="G1224" i="1"/>
  <c r="K1223" i="1"/>
  <c r="J1223" i="1"/>
  <c r="I1223" i="1"/>
  <c r="H1223" i="1"/>
  <c r="G1223" i="1"/>
  <c r="K1222" i="1"/>
  <c r="J1222" i="1"/>
  <c r="I1222" i="1"/>
  <c r="H1222" i="1"/>
  <c r="G1222" i="1"/>
  <c r="K1221" i="1"/>
  <c r="J1221" i="1"/>
  <c r="I1221" i="1"/>
  <c r="H1221" i="1"/>
  <c r="G1221" i="1"/>
  <c r="K1220" i="1"/>
  <c r="J1220" i="1"/>
  <c r="I1220" i="1"/>
  <c r="H1220" i="1"/>
  <c r="G1220" i="1"/>
  <c r="K1219" i="1"/>
  <c r="J1219" i="1"/>
  <c r="I1219" i="1"/>
  <c r="H1219" i="1"/>
  <c r="G1219" i="1"/>
  <c r="K1218" i="1"/>
  <c r="J1218" i="1"/>
  <c r="I1218" i="1"/>
  <c r="H1218" i="1"/>
  <c r="G1218" i="1"/>
  <c r="K1217" i="1"/>
  <c r="J1217" i="1"/>
  <c r="I1217" i="1"/>
  <c r="H1217" i="1"/>
  <c r="G1217" i="1"/>
  <c r="K1216" i="1"/>
  <c r="J1216" i="1"/>
  <c r="I1216" i="1"/>
  <c r="H1216" i="1"/>
  <c r="G1216" i="1"/>
  <c r="K1215" i="1"/>
  <c r="J1215" i="1"/>
  <c r="I1215" i="1"/>
  <c r="H1215" i="1"/>
  <c r="G1215" i="1"/>
  <c r="K1214" i="1"/>
  <c r="J1214" i="1"/>
  <c r="I1214" i="1"/>
  <c r="H1214" i="1"/>
  <c r="G1214" i="1"/>
  <c r="K1213" i="1"/>
  <c r="J1213" i="1"/>
  <c r="I1213" i="1"/>
  <c r="H1213" i="1"/>
  <c r="G1213" i="1"/>
  <c r="K1212" i="1"/>
  <c r="J1212" i="1"/>
  <c r="I1212" i="1"/>
  <c r="H1212" i="1"/>
  <c r="G1212" i="1"/>
  <c r="K1211" i="1"/>
  <c r="J1211" i="1"/>
  <c r="I1211" i="1"/>
  <c r="H1211" i="1"/>
  <c r="G1211" i="1"/>
  <c r="K1210" i="1"/>
  <c r="J1210" i="1"/>
  <c r="I1210" i="1"/>
  <c r="H1210" i="1"/>
  <c r="G1210" i="1"/>
  <c r="K1209" i="1"/>
  <c r="J1209" i="1"/>
  <c r="I1209" i="1"/>
  <c r="H1209" i="1"/>
  <c r="G1209" i="1"/>
  <c r="K1208" i="1"/>
  <c r="J1208" i="1"/>
  <c r="I1208" i="1"/>
  <c r="H1208" i="1"/>
  <c r="G1208" i="1"/>
  <c r="K1207" i="1"/>
  <c r="J1207" i="1"/>
  <c r="I1207" i="1"/>
  <c r="H1207" i="1"/>
  <c r="G1207" i="1"/>
  <c r="K1206" i="1"/>
  <c r="J1206" i="1"/>
  <c r="I1206" i="1"/>
  <c r="H1206" i="1"/>
  <c r="G1206" i="1"/>
  <c r="K1205" i="1"/>
  <c r="J1205" i="1"/>
  <c r="I1205" i="1"/>
  <c r="H1205" i="1"/>
  <c r="G1205" i="1"/>
  <c r="K1204" i="1"/>
  <c r="J1204" i="1"/>
  <c r="I1204" i="1"/>
  <c r="H1204" i="1"/>
  <c r="G1204" i="1"/>
  <c r="K1203" i="1"/>
  <c r="J1203" i="1"/>
  <c r="I1203" i="1"/>
  <c r="H1203" i="1"/>
  <c r="G1203" i="1"/>
  <c r="K1202" i="1"/>
  <c r="J1202" i="1"/>
  <c r="I1202" i="1"/>
  <c r="H1202" i="1"/>
  <c r="G1202" i="1"/>
  <c r="K1201" i="1"/>
  <c r="J1201" i="1"/>
  <c r="I1201" i="1"/>
  <c r="H1201" i="1"/>
  <c r="G1201" i="1"/>
  <c r="K1200" i="1"/>
  <c r="J1200" i="1"/>
  <c r="I1200" i="1"/>
  <c r="H1200" i="1"/>
  <c r="G1200" i="1"/>
  <c r="K1199" i="1"/>
  <c r="J1199" i="1"/>
  <c r="I1199" i="1"/>
  <c r="H1199" i="1"/>
  <c r="G1199" i="1"/>
  <c r="K1198" i="1"/>
  <c r="J1198" i="1"/>
  <c r="I1198" i="1"/>
  <c r="H1198" i="1"/>
  <c r="G1198" i="1"/>
  <c r="K1197" i="1"/>
  <c r="J1197" i="1"/>
  <c r="I1197" i="1"/>
  <c r="H1197" i="1"/>
  <c r="G1197" i="1"/>
  <c r="K1196" i="1"/>
  <c r="J1196" i="1"/>
  <c r="I1196" i="1"/>
  <c r="H1196" i="1"/>
  <c r="G1196" i="1"/>
  <c r="K1195" i="1"/>
  <c r="J1195" i="1"/>
  <c r="I1195" i="1"/>
  <c r="H1195" i="1"/>
  <c r="G1195" i="1"/>
  <c r="K1194" i="1"/>
  <c r="J1194" i="1"/>
  <c r="I1194" i="1"/>
  <c r="H1194" i="1"/>
  <c r="G1194" i="1"/>
  <c r="K1193" i="1"/>
  <c r="J1193" i="1"/>
  <c r="I1193" i="1"/>
  <c r="H1193" i="1"/>
  <c r="G1193" i="1"/>
  <c r="K1192" i="1"/>
  <c r="J1192" i="1"/>
  <c r="I1192" i="1"/>
  <c r="H1192" i="1"/>
  <c r="G1192" i="1"/>
  <c r="K1191" i="1"/>
  <c r="J1191" i="1"/>
  <c r="I1191" i="1"/>
  <c r="H1191" i="1"/>
  <c r="G1191" i="1"/>
  <c r="K1190" i="1"/>
  <c r="J1190" i="1"/>
  <c r="I1190" i="1"/>
  <c r="H1190" i="1"/>
  <c r="G1190" i="1"/>
  <c r="K1189" i="1"/>
  <c r="J1189" i="1"/>
  <c r="I1189" i="1"/>
  <c r="H1189" i="1"/>
  <c r="G1189" i="1"/>
  <c r="K1188" i="1"/>
  <c r="J1188" i="1"/>
  <c r="I1188" i="1"/>
  <c r="H1188" i="1"/>
  <c r="G1188" i="1"/>
  <c r="K1187" i="1"/>
  <c r="J1187" i="1"/>
  <c r="I1187" i="1"/>
  <c r="H1187" i="1"/>
  <c r="G1187" i="1"/>
  <c r="K1186" i="1"/>
  <c r="J1186" i="1"/>
  <c r="I1186" i="1"/>
  <c r="H1186" i="1"/>
  <c r="G1186" i="1"/>
  <c r="K1185" i="1"/>
  <c r="J1185" i="1"/>
  <c r="I1185" i="1"/>
  <c r="H1185" i="1"/>
  <c r="G1185" i="1"/>
  <c r="K1184" i="1"/>
  <c r="J1184" i="1"/>
  <c r="I1184" i="1"/>
  <c r="H1184" i="1"/>
  <c r="G1184" i="1"/>
  <c r="K1183" i="1"/>
  <c r="J1183" i="1"/>
  <c r="I1183" i="1"/>
  <c r="H1183" i="1"/>
  <c r="G1183" i="1"/>
  <c r="K1182" i="1"/>
  <c r="J1182" i="1"/>
  <c r="I1182" i="1"/>
  <c r="H1182" i="1"/>
  <c r="G1182" i="1"/>
  <c r="K1181" i="1"/>
  <c r="J1181" i="1"/>
  <c r="I1181" i="1"/>
  <c r="H1181" i="1"/>
  <c r="G1181" i="1"/>
  <c r="K1180" i="1"/>
  <c r="J1180" i="1"/>
  <c r="I1180" i="1"/>
  <c r="H1180" i="1"/>
  <c r="G1180" i="1"/>
  <c r="K1179" i="1"/>
  <c r="J1179" i="1"/>
  <c r="I1179" i="1"/>
  <c r="H1179" i="1"/>
  <c r="G1179" i="1"/>
  <c r="K1178" i="1"/>
  <c r="J1178" i="1"/>
  <c r="I1178" i="1"/>
  <c r="H1178" i="1"/>
  <c r="G1178" i="1"/>
  <c r="K1177" i="1"/>
  <c r="J1177" i="1"/>
  <c r="I1177" i="1"/>
  <c r="H1177" i="1"/>
  <c r="G1177" i="1"/>
  <c r="K1176" i="1"/>
  <c r="J1176" i="1"/>
  <c r="I1176" i="1"/>
  <c r="H1176" i="1"/>
  <c r="G1176" i="1"/>
  <c r="K1175" i="1"/>
  <c r="J1175" i="1"/>
  <c r="I1175" i="1"/>
  <c r="H1175" i="1"/>
  <c r="G1175" i="1"/>
  <c r="K1174" i="1"/>
  <c r="J1174" i="1"/>
  <c r="I1174" i="1"/>
  <c r="H1174" i="1"/>
  <c r="G1174" i="1"/>
  <c r="K1173" i="1"/>
  <c r="J1173" i="1"/>
  <c r="I1173" i="1"/>
  <c r="H1173" i="1"/>
  <c r="G1173" i="1"/>
  <c r="K1172" i="1"/>
  <c r="J1172" i="1"/>
  <c r="I1172" i="1"/>
  <c r="H1172" i="1"/>
  <c r="G1172" i="1"/>
  <c r="K1171" i="1"/>
  <c r="J1171" i="1"/>
  <c r="I1171" i="1"/>
  <c r="H1171" i="1"/>
  <c r="G1171" i="1"/>
  <c r="K1170" i="1"/>
  <c r="J1170" i="1"/>
  <c r="I1170" i="1"/>
  <c r="H1170" i="1"/>
  <c r="G1170" i="1"/>
  <c r="K1169" i="1"/>
  <c r="J1169" i="1"/>
  <c r="I1169" i="1"/>
  <c r="H1169" i="1"/>
  <c r="G1169" i="1"/>
  <c r="K1168" i="1"/>
  <c r="J1168" i="1"/>
  <c r="I1168" i="1"/>
  <c r="H1168" i="1"/>
  <c r="G1168" i="1"/>
  <c r="K1167" i="1"/>
  <c r="J1167" i="1"/>
  <c r="I1167" i="1"/>
  <c r="H1167" i="1"/>
  <c r="G1167" i="1"/>
  <c r="K1166" i="1"/>
  <c r="J1166" i="1"/>
  <c r="I1166" i="1"/>
  <c r="H1166" i="1"/>
  <c r="G1166" i="1"/>
  <c r="K1165" i="1"/>
  <c r="J1165" i="1"/>
  <c r="I1165" i="1"/>
  <c r="H1165" i="1"/>
  <c r="G1165" i="1"/>
  <c r="K1164" i="1"/>
  <c r="J1164" i="1"/>
  <c r="I1164" i="1"/>
  <c r="H1164" i="1"/>
  <c r="G1164" i="1"/>
  <c r="K1163" i="1"/>
  <c r="J1163" i="1"/>
  <c r="I1163" i="1"/>
  <c r="H1163" i="1"/>
  <c r="G1163" i="1"/>
  <c r="K1162" i="1"/>
  <c r="J1162" i="1"/>
  <c r="I1162" i="1"/>
  <c r="H1162" i="1"/>
  <c r="G1162" i="1"/>
  <c r="K1161" i="1"/>
  <c r="J1161" i="1"/>
  <c r="I1161" i="1"/>
  <c r="H1161" i="1"/>
  <c r="G1161" i="1"/>
  <c r="K1160" i="1"/>
  <c r="J1160" i="1"/>
  <c r="I1160" i="1"/>
  <c r="H1160" i="1"/>
  <c r="G1160" i="1"/>
  <c r="K1159" i="1"/>
  <c r="J1159" i="1"/>
  <c r="I1159" i="1"/>
  <c r="H1159" i="1"/>
  <c r="G1159" i="1"/>
  <c r="K1158" i="1"/>
  <c r="J1158" i="1"/>
  <c r="I1158" i="1"/>
  <c r="H1158" i="1"/>
  <c r="G1158" i="1"/>
  <c r="K1157" i="1"/>
  <c r="J1157" i="1"/>
  <c r="I1157" i="1"/>
  <c r="H1157" i="1"/>
  <c r="G1157" i="1"/>
  <c r="K1156" i="1"/>
  <c r="J1156" i="1"/>
  <c r="I1156" i="1"/>
  <c r="H1156" i="1"/>
  <c r="G1156" i="1"/>
  <c r="K1155" i="1"/>
  <c r="J1155" i="1"/>
  <c r="I1155" i="1"/>
  <c r="H1155" i="1"/>
  <c r="G1155" i="1"/>
  <c r="K1154" i="1"/>
  <c r="J1154" i="1"/>
  <c r="I1154" i="1"/>
  <c r="H1154" i="1"/>
  <c r="G1154" i="1"/>
  <c r="K1153" i="1"/>
  <c r="J1153" i="1"/>
  <c r="I1153" i="1"/>
  <c r="H1153" i="1"/>
  <c r="G1153" i="1"/>
  <c r="K1152" i="1"/>
  <c r="J1152" i="1"/>
  <c r="I1152" i="1"/>
  <c r="H1152" i="1"/>
  <c r="G1152" i="1"/>
  <c r="K1151" i="1"/>
  <c r="J1151" i="1"/>
  <c r="I1151" i="1"/>
  <c r="H1151" i="1"/>
  <c r="G1151" i="1"/>
  <c r="K1150" i="1"/>
  <c r="J1150" i="1"/>
  <c r="I1150" i="1"/>
  <c r="H1150" i="1"/>
  <c r="G1150" i="1"/>
  <c r="K1149" i="1"/>
  <c r="J1149" i="1"/>
  <c r="I1149" i="1"/>
  <c r="H1149" i="1"/>
  <c r="G1149" i="1"/>
  <c r="K1148" i="1"/>
  <c r="J1148" i="1"/>
  <c r="I1148" i="1"/>
  <c r="H1148" i="1"/>
  <c r="G1148" i="1"/>
  <c r="K1147" i="1"/>
  <c r="J1147" i="1"/>
  <c r="I1147" i="1"/>
  <c r="H1147" i="1"/>
  <c r="G1147" i="1"/>
  <c r="K1146" i="1"/>
  <c r="J1146" i="1"/>
  <c r="I1146" i="1"/>
  <c r="H1146" i="1"/>
  <c r="G1146" i="1"/>
  <c r="K1145" i="1"/>
  <c r="J1145" i="1"/>
  <c r="I1145" i="1"/>
  <c r="H1145" i="1"/>
  <c r="G1145" i="1"/>
  <c r="K1144" i="1"/>
  <c r="J1144" i="1"/>
  <c r="I1144" i="1"/>
  <c r="H1144" i="1"/>
  <c r="G1144" i="1"/>
  <c r="K1143" i="1"/>
  <c r="J1143" i="1"/>
  <c r="I1143" i="1"/>
  <c r="H1143" i="1"/>
  <c r="G1143" i="1"/>
  <c r="K1142" i="1"/>
  <c r="J1142" i="1"/>
  <c r="I1142" i="1"/>
  <c r="H1142" i="1"/>
  <c r="G1142" i="1"/>
  <c r="K1141" i="1"/>
  <c r="J1141" i="1"/>
  <c r="I1141" i="1"/>
  <c r="H1141" i="1"/>
  <c r="G1141" i="1"/>
  <c r="K1140" i="1"/>
  <c r="J1140" i="1"/>
  <c r="I1140" i="1"/>
  <c r="H1140" i="1"/>
  <c r="G1140" i="1"/>
  <c r="K1139" i="1"/>
  <c r="J1139" i="1"/>
  <c r="I1139" i="1"/>
  <c r="H1139" i="1"/>
  <c r="G1139" i="1"/>
  <c r="K1138" i="1"/>
  <c r="J1138" i="1"/>
  <c r="I1138" i="1"/>
  <c r="H1138" i="1"/>
  <c r="G1138" i="1"/>
  <c r="K1137" i="1"/>
  <c r="J1137" i="1"/>
  <c r="I1137" i="1"/>
  <c r="H1137" i="1"/>
  <c r="G1137" i="1"/>
  <c r="K1136" i="1"/>
  <c r="J1136" i="1"/>
  <c r="I1136" i="1"/>
  <c r="H1136" i="1"/>
  <c r="G1136" i="1"/>
  <c r="K1135" i="1"/>
  <c r="J1135" i="1"/>
  <c r="I1135" i="1"/>
  <c r="H1135" i="1"/>
  <c r="G1135" i="1"/>
  <c r="K1134" i="1"/>
  <c r="J1134" i="1"/>
  <c r="I1134" i="1"/>
  <c r="H1134" i="1"/>
  <c r="G1134" i="1"/>
  <c r="K1133" i="1"/>
  <c r="J1133" i="1"/>
  <c r="I1133" i="1"/>
  <c r="H1133" i="1"/>
  <c r="G1133" i="1"/>
  <c r="K1132" i="1"/>
  <c r="J1132" i="1"/>
  <c r="I1132" i="1"/>
  <c r="H1132" i="1"/>
  <c r="G1132" i="1"/>
  <c r="K1131" i="1"/>
  <c r="J1131" i="1"/>
  <c r="I1131" i="1"/>
  <c r="H1131" i="1"/>
  <c r="G1131" i="1"/>
  <c r="K1130" i="1"/>
  <c r="J1130" i="1"/>
  <c r="I1130" i="1"/>
  <c r="H1130" i="1"/>
  <c r="G1130" i="1"/>
  <c r="K1129" i="1"/>
  <c r="J1129" i="1"/>
  <c r="I1129" i="1"/>
  <c r="H1129" i="1"/>
  <c r="G1129" i="1"/>
  <c r="K1128" i="1"/>
  <c r="J1128" i="1"/>
  <c r="I1128" i="1"/>
  <c r="H1128" i="1"/>
  <c r="G1128" i="1"/>
  <c r="K1127" i="1"/>
  <c r="J1127" i="1"/>
  <c r="I1127" i="1"/>
  <c r="H1127" i="1"/>
  <c r="G1127" i="1"/>
  <c r="K1126" i="1"/>
  <c r="J1126" i="1"/>
  <c r="I1126" i="1"/>
  <c r="H1126" i="1"/>
  <c r="G1126" i="1"/>
  <c r="K1125" i="1"/>
  <c r="J1125" i="1"/>
  <c r="I1125" i="1"/>
  <c r="H1125" i="1"/>
  <c r="G1125" i="1"/>
  <c r="K1124" i="1"/>
  <c r="J1124" i="1"/>
  <c r="I1124" i="1"/>
  <c r="H1124" i="1"/>
  <c r="G1124" i="1"/>
  <c r="K1123" i="1"/>
  <c r="J1123" i="1"/>
  <c r="I1123" i="1"/>
  <c r="H1123" i="1"/>
  <c r="G1123" i="1"/>
  <c r="K1122" i="1"/>
  <c r="J1122" i="1"/>
  <c r="I1122" i="1"/>
  <c r="H1122" i="1"/>
  <c r="G1122" i="1"/>
  <c r="K1121" i="1"/>
  <c r="J1121" i="1"/>
  <c r="I1121" i="1"/>
  <c r="H1121" i="1"/>
  <c r="G1121" i="1"/>
  <c r="K1120" i="1"/>
  <c r="J1120" i="1"/>
  <c r="I1120" i="1"/>
  <c r="H1120" i="1"/>
  <c r="G1120" i="1"/>
  <c r="K1119" i="1"/>
  <c r="J1119" i="1"/>
  <c r="I1119" i="1"/>
  <c r="H1119" i="1"/>
  <c r="G1119" i="1"/>
  <c r="K1118" i="1"/>
  <c r="J1118" i="1"/>
  <c r="I1118" i="1"/>
  <c r="H1118" i="1"/>
  <c r="G1118" i="1"/>
  <c r="K1117" i="1"/>
  <c r="J1117" i="1"/>
  <c r="I1117" i="1"/>
  <c r="H1117" i="1"/>
  <c r="G1117" i="1"/>
  <c r="K1116" i="1"/>
  <c r="J1116" i="1"/>
  <c r="I1116" i="1"/>
  <c r="H1116" i="1"/>
  <c r="G1116" i="1"/>
  <c r="K1115" i="1"/>
  <c r="J1115" i="1"/>
  <c r="I1115" i="1"/>
  <c r="H1115" i="1"/>
  <c r="G1115" i="1"/>
  <c r="K1114" i="1"/>
  <c r="J1114" i="1"/>
  <c r="I1114" i="1"/>
  <c r="H1114" i="1"/>
  <c r="G1114" i="1"/>
  <c r="K1113" i="1"/>
  <c r="J1113" i="1"/>
  <c r="I1113" i="1"/>
  <c r="H1113" i="1"/>
  <c r="G1113" i="1"/>
  <c r="K1112" i="1"/>
  <c r="J1112" i="1"/>
  <c r="I1112" i="1"/>
  <c r="H1112" i="1"/>
  <c r="G1112" i="1"/>
  <c r="K1111" i="1"/>
  <c r="J1111" i="1"/>
  <c r="I1111" i="1"/>
  <c r="H1111" i="1"/>
  <c r="G1111" i="1"/>
  <c r="K1110" i="1"/>
  <c r="J1110" i="1"/>
  <c r="I1110" i="1"/>
  <c r="H1110" i="1"/>
  <c r="G1110" i="1"/>
  <c r="K1109" i="1"/>
  <c r="J1109" i="1"/>
  <c r="I1109" i="1"/>
  <c r="H1109" i="1"/>
  <c r="G1109" i="1"/>
  <c r="K1108" i="1"/>
  <c r="J1108" i="1"/>
  <c r="I1108" i="1"/>
  <c r="H1108" i="1"/>
  <c r="G1108" i="1"/>
  <c r="K1107" i="1"/>
  <c r="J1107" i="1"/>
  <c r="I1107" i="1"/>
  <c r="H1107" i="1"/>
  <c r="G1107" i="1"/>
  <c r="K1106" i="1"/>
  <c r="J1106" i="1"/>
  <c r="I1106" i="1"/>
  <c r="H1106" i="1"/>
  <c r="G1106" i="1"/>
  <c r="K1105" i="1"/>
  <c r="J1105" i="1"/>
  <c r="I1105" i="1"/>
  <c r="H1105" i="1"/>
  <c r="G1105" i="1"/>
  <c r="K1104" i="1"/>
  <c r="J1104" i="1"/>
  <c r="I1104" i="1"/>
  <c r="H1104" i="1"/>
  <c r="G1104" i="1"/>
  <c r="K1103" i="1"/>
  <c r="J1103" i="1"/>
  <c r="I1103" i="1"/>
  <c r="H1103" i="1"/>
  <c r="G1103" i="1"/>
  <c r="K1102" i="1"/>
  <c r="J1102" i="1"/>
  <c r="I1102" i="1"/>
  <c r="H1102" i="1"/>
  <c r="G1102" i="1"/>
  <c r="K1101" i="1"/>
  <c r="J1101" i="1"/>
  <c r="I1101" i="1"/>
  <c r="H1101" i="1"/>
  <c r="G1101" i="1"/>
  <c r="K1100" i="1"/>
  <c r="J1100" i="1"/>
  <c r="I1100" i="1"/>
  <c r="H1100" i="1"/>
  <c r="G1100" i="1"/>
  <c r="K1099" i="1"/>
  <c r="J1099" i="1"/>
  <c r="I1099" i="1"/>
  <c r="H1099" i="1"/>
  <c r="G1099" i="1"/>
  <c r="K1098" i="1"/>
  <c r="J1098" i="1"/>
  <c r="I1098" i="1"/>
  <c r="H1098" i="1"/>
  <c r="G1098" i="1"/>
  <c r="K1097" i="1"/>
  <c r="J1097" i="1"/>
  <c r="I1097" i="1"/>
  <c r="H1097" i="1"/>
  <c r="G1097" i="1"/>
  <c r="K1096" i="1"/>
  <c r="J1096" i="1"/>
  <c r="I1096" i="1"/>
  <c r="H1096" i="1"/>
  <c r="G1096" i="1"/>
  <c r="K1095" i="1"/>
  <c r="J1095" i="1"/>
  <c r="I1095" i="1"/>
  <c r="H1095" i="1"/>
  <c r="G1095" i="1"/>
  <c r="K1094" i="1"/>
  <c r="J1094" i="1"/>
  <c r="I1094" i="1"/>
  <c r="H1094" i="1"/>
  <c r="G1094" i="1"/>
  <c r="K1093" i="1"/>
  <c r="J1093" i="1"/>
  <c r="I1093" i="1"/>
  <c r="H1093" i="1"/>
  <c r="G1093" i="1"/>
  <c r="K1092" i="1"/>
  <c r="J1092" i="1"/>
  <c r="I1092" i="1"/>
  <c r="H1092" i="1"/>
  <c r="G1092" i="1"/>
  <c r="K1091" i="1"/>
  <c r="J1091" i="1"/>
  <c r="I1091" i="1"/>
  <c r="H1091" i="1"/>
  <c r="G1091" i="1"/>
  <c r="K1090" i="1"/>
  <c r="J1090" i="1"/>
  <c r="I1090" i="1"/>
  <c r="H1090" i="1"/>
  <c r="G1090" i="1"/>
  <c r="K1089" i="1"/>
  <c r="J1089" i="1"/>
  <c r="I1089" i="1"/>
  <c r="H1089" i="1"/>
  <c r="G1089" i="1"/>
  <c r="K1088" i="1"/>
  <c r="J1088" i="1"/>
  <c r="I1088" i="1"/>
  <c r="H1088" i="1"/>
  <c r="G1088" i="1"/>
  <c r="K1087" i="1"/>
  <c r="J1087" i="1"/>
  <c r="I1087" i="1"/>
  <c r="H1087" i="1"/>
  <c r="G1087" i="1"/>
  <c r="K1086" i="1"/>
  <c r="J1086" i="1"/>
  <c r="I1086" i="1"/>
  <c r="H1086" i="1"/>
  <c r="G1086" i="1"/>
  <c r="K1085" i="1"/>
  <c r="J1085" i="1"/>
  <c r="I1085" i="1"/>
  <c r="H1085" i="1"/>
  <c r="G1085" i="1"/>
  <c r="K1084" i="1"/>
  <c r="J1084" i="1"/>
  <c r="I1084" i="1"/>
  <c r="H1084" i="1"/>
  <c r="G1084" i="1"/>
  <c r="K1083" i="1"/>
  <c r="J1083" i="1"/>
  <c r="I1083" i="1"/>
  <c r="H1083" i="1"/>
  <c r="G1083" i="1"/>
  <c r="K1082" i="1"/>
  <c r="J1082" i="1"/>
  <c r="I1082" i="1"/>
  <c r="H1082" i="1"/>
  <c r="G1082" i="1"/>
  <c r="K1081" i="1"/>
  <c r="J1081" i="1"/>
  <c r="I1081" i="1"/>
  <c r="H1081" i="1"/>
  <c r="G1081" i="1"/>
  <c r="K1080" i="1"/>
  <c r="J1080" i="1"/>
  <c r="I1080" i="1"/>
  <c r="H1080" i="1"/>
  <c r="G1080" i="1"/>
  <c r="K1079" i="1"/>
  <c r="J1079" i="1"/>
  <c r="I1079" i="1"/>
  <c r="H1079" i="1"/>
  <c r="G1079" i="1"/>
  <c r="K1078" i="1"/>
  <c r="J1078" i="1"/>
  <c r="I1078" i="1"/>
  <c r="H1078" i="1"/>
  <c r="G1078" i="1"/>
  <c r="K1077" i="1"/>
  <c r="J1077" i="1"/>
  <c r="I1077" i="1"/>
  <c r="H1077" i="1"/>
  <c r="G1077" i="1"/>
  <c r="K1076" i="1"/>
  <c r="J1076" i="1"/>
  <c r="I1076" i="1"/>
  <c r="H1076" i="1"/>
  <c r="G1076" i="1"/>
  <c r="K1075" i="1"/>
  <c r="J1075" i="1"/>
  <c r="I1075" i="1"/>
  <c r="H1075" i="1"/>
  <c r="G1075" i="1"/>
  <c r="K1074" i="1"/>
  <c r="J1074" i="1"/>
  <c r="I1074" i="1"/>
  <c r="H1074" i="1"/>
  <c r="G1074" i="1"/>
  <c r="K1073" i="1"/>
  <c r="J1073" i="1"/>
  <c r="I1073" i="1"/>
  <c r="H1073" i="1"/>
  <c r="G1073" i="1"/>
  <c r="K1072" i="1"/>
  <c r="J1072" i="1"/>
  <c r="I1072" i="1"/>
  <c r="H1072" i="1"/>
  <c r="G1072" i="1"/>
  <c r="K1071" i="1"/>
  <c r="J1071" i="1"/>
  <c r="I1071" i="1"/>
  <c r="H1071" i="1"/>
  <c r="G1071" i="1"/>
  <c r="K1070" i="1"/>
  <c r="J1070" i="1"/>
  <c r="I1070" i="1"/>
  <c r="H1070" i="1"/>
  <c r="G1070" i="1"/>
  <c r="K1069" i="1"/>
  <c r="J1069" i="1"/>
  <c r="I1069" i="1"/>
  <c r="H1069" i="1"/>
  <c r="G1069" i="1"/>
  <c r="K1068" i="1"/>
  <c r="J1068" i="1"/>
  <c r="I1068" i="1"/>
  <c r="H1068" i="1"/>
  <c r="G1068" i="1"/>
  <c r="K1067" i="1"/>
  <c r="J1067" i="1"/>
  <c r="I1067" i="1"/>
  <c r="H1067" i="1"/>
  <c r="G1067" i="1"/>
  <c r="K1066" i="1"/>
  <c r="J1066" i="1"/>
  <c r="I1066" i="1"/>
  <c r="H1066" i="1"/>
  <c r="G1066" i="1"/>
  <c r="K1065" i="1"/>
  <c r="J1065" i="1"/>
  <c r="I1065" i="1"/>
  <c r="H1065" i="1"/>
  <c r="G1065" i="1"/>
  <c r="K1064" i="1"/>
  <c r="J1064" i="1"/>
  <c r="I1064" i="1"/>
  <c r="H1064" i="1"/>
  <c r="G1064" i="1"/>
  <c r="K1063" i="1"/>
  <c r="J1063" i="1"/>
  <c r="I1063" i="1"/>
  <c r="H1063" i="1"/>
  <c r="G1063" i="1"/>
  <c r="K1062" i="1"/>
  <c r="J1062" i="1"/>
  <c r="I1062" i="1"/>
  <c r="H1062" i="1"/>
  <c r="G1062" i="1"/>
  <c r="K1061" i="1"/>
  <c r="J1061" i="1"/>
  <c r="I1061" i="1"/>
  <c r="H1061" i="1"/>
  <c r="G1061" i="1"/>
  <c r="K1060" i="1"/>
  <c r="J1060" i="1"/>
  <c r="I1060" i="1"/>
  <c r="H1060" i="1"/>
  <c r="G1060" i="1"/>
  <c r="K1059" i="1"/>
  <c r="J1059" i="1"/>
  <c r="I1059" i="1"/>
  <c r="H1059" i="1"/>
  <c r="G1059" i="1"/>
  <c r="K1058" i="1"/>
  <c r="J1058" i="1"/>
  <c r="I1058" i="1"/>
  <c r="H1058" i="1"/>
  <c r="G1058" i="1"/>
  <c r="K1057" i="1"/>
  <c r="J1057" i="1"/>
  <c r="I1057" i="1"/>
  <c r="H1057" i="1"/>
  <c r="G1057" i="1"/>
  <c r="K1056" i="1"/>
  <c r="J1056" i="1"/>
  <c r="I1056" i="1"/>
  <c r="H1056" i="1"/>
  <c r="G1056" i="1"/>
  <c r="K1055" i="1"/>
  <c r="J1055" i="1"/>
  <c r="I1055" i="1"/>
  <c r="H1055" i="1"/>
  <c r="G1055" i="1"/>
  <c r="K1054" i="1"/>
  <c r="J1054" i="1"/>
  <c r="I1054" i="1"/>
  <c r="H1054" i="1"/>
  <c r="G1054" i="1"/>
  <c r="K1053" i="1"/>
  <c r="J1053" i="1"/>
  <c r="I1053" i="1"/>
  <c r="H1053" i="1"/>
  <c r="G1053" i="1"/>
  <c r="K1052" i="1"/>
  <c r="J1052" i="1"/>
  <c r="I1052" i="1"/>
  <c r="H1052" i="1"/>
  <c r="G1052" i="1"/>
  <c r="K1051" i="1"/>
  <c r="J1051" i="1"/>
  <c r="I1051" i="1"/>
  <c r="H1051" i="1"/>
  <c r="G1051" i="1"/>
  <c r="K1050" i="1"/>
  <c r="J1050" i="1"/>
  <c r="I1050" i="1"/>
  <c r="H1050" i="1"/>
  <c r="G1050" i="1"/>
  <c r="K1049" i="1"/>
  <c r="J1049" i="1"/>
  <c r="I1049" i="1"/>
  <c r="H1049" i="1"/>
  <c r="G1049" i="1"/>
  <c r="K1048" i="1"/>
  <c r="J1048" i="1"/>
  <c r="I1048" i="1"/>
  <c r="H1048" i="1"/>
  <c r="G1048" i="1"/>
  <c r="K1047" i="1"/>
  <c r="J1047" i="1"/>
  <c r="I1047" i="1"/>
  <c r="H1047" i="1"/>
  <c r="G1047" i="1"/>
  <c r="K1046" i="1"/>
  <c r="J1046" i="1"/>
  <c r="I1046" i="1"/>
  <c r="H1046" i="1"/>
  <c r="G1046" i="1"/>
  <c r="K1045" i="1"/>
  <c r="J1045" i="1"/>
  <c r="I1045" i="1"/>
  <c r="H1045" i="1"/>
  <c r="G1045" i="1"/>
  <c r="K1044" i="1"/>
  <c r="J1044" i="1"/>
  <c r="I1044" i="1"/>
  <c r="H1044" i="1"/>
  <c r="G1044" i="1"/>
  <c r="K1043" i="1"/>
  <c r="J1043" i="1"/>
  <c r="I1043" i="1"/>
  <c r="H1043" i="1"/>
  <c r="G1043" i="1"/>
  <c r="K1042" i="1"/>
  <c r="J1042" i="1"/>
  <c r="I1042" i="1"/>
  <c r="H1042" i="1"/>
  <c r="G1042" i="1"/>
  <c r="K1041" i="1"/>
  <c r="J1041" i="1"/>
  <c r="I1041" i="1"/>
  <c r="H1041" i="1"/>
  <c r="G1041" i="1"/>
  <c r="K1040" i="1"/>
  <c r="J1040" i="1"/>
  <c r="I1040" i="1"/>
  <c r="H1040" i="1"/>
  <c r="G1040" i="1"/>
  <c r="K1039" i="1"/>
  <c r="J1039" i="1"/>
  <c r="I1039" i="1"/>
  <c r="H1039" i="1"/>
  <c r="G1039" i="1"/>
  <c r="K1038" i="1"/>
  <c r="J1038" i="1"/>
  <c r="I1038" i="1"/>
  <c r="H1038" i="1"/>
  <c r="G1038" i="1"/>
  <c r="K1037" i="1"/>
  <c r="J1037" i="1"/>
  <c r="I1037" i="1"/>
  <c r="H1037" i="1"/>
  <c r="G1037" i="1"/>
  <c r="K1036" i="1"/>
  <c r="J1036" i="1"/>
  <c r="I1036" i="1"/>
  <c r="H1036" i="1"/>
  <c r="G1036" i="1"/>
  <c r="K1035" i="1"/>
  <c r="J1035" i="1"/>
  <c r="I1035" i="1"/>
  <c r="H1035" i="1"/>
  <c r="G1035" i="1"/>
  <c r="K1034" i="1"/>
  <c r="J1034" i="1"/>
  <c r="I1034" i="1"/>
  <c r="H1034" i="1"/>
  <c r="G1034" i="1"/>
  <c r="K1033" i="1"/>
  <c r="J1033" i="1"/>
  <c r="I1033" i="1"/>
  <c r="H1033" i="1"/>
  <c r="G1033" i="1"/>
  <c r="K1032" i="1"/>
  <c r="J1032" i="1"/>
  <c r="I1032" i="1"/>
  <c r="H1032" i="1"/>
  <c r="G1032" i="1"/>
  <c r="K1031" i="1"/>
  <c r="J1031" i="1"/>
  <c r="I1031" i="1"/>
  <c r="H1031" i="1"/>
  <c r="G1031" i="1"/>
  <c r="K1030" i="1"/>
  <c r="J1030" i="1"/>
  <c r="I1030" i="1"/>
  <c r="H1030" i="1"/>
  <c r="G1030" i="1"/>
  <c r="K1029" i="1"/>
  <c r="J1029" i="1"/>
  <c r="I1029" i="1"/>
  <c r="H1029" i="1"/>
  <c r="G1029" i="1"/>
  <c r="K1028" i="1"/>
  <c r="J1028" i="1"/>
  <c r="I1028" i="1"/>
  <c r="H1028" i="1"/>
  <c r="G1028" i="1"/>
  <c r="K1027" i="1"/>
  <c r="J1027" i="1"/>
  <c r="I1027" i="1"/>
  <c r="H1027" i="1"/>
  <c r="G1027" i="1"/>
  <c r="K1026" i="1"/>
  <c r="J1026" i="1"/>
  <c r="I1026" i="1"/>
  <c r="H1026" i="1"/>
  <c r="G1026" i="1"/>
  <c r="K1025" i="1"/>
  <c r="J1025" i="1"/>
  <c r="I1025" i="1"/>
  <c r="H1025" i="1"/>
  <c r="G1025" i="1"/>
  <c r="K1024" i="1"/>
  <c r="J1024" i="1"/>
  <c r="I1024" i="1"/>
  <c r="H1024" i="1"/>
  <c r="G1024" i="1"/>
  <c r="K1023" i="1"/>
  <c r="J1023" i="1"/>
  <c r="I1023" i="1"/>
  <c r="H1023" i="1"/>
  <c r="G1023" i="1"/>
  <c r="K1022" i="1"/>
  <c r="J1022" i="1"/>
  <c r="I1022" i="1"/>
  <c r="H1022" i="1"/>
  <c r="G1022" i="1"/>
  <c r="K1021" i="1"/>
  <c r="J1021" i="1"/>
  <c r="I1021" i="1"/>
  <c r="H1021" i="1"/>
  <c r="G1021" i="1"/>
  <c r="K1020" i="1"/>
  <c r="J1020" i="1"/>
  <c r="I1020" i="1"/>
  <c r="H1020" i="1"/>
  <c r="G1020" i="1"/>
  <c r="K1019" i="1"/>
  <c r="J1019" i="1"/>
  <c r="I1019" i="1"/>
  <c r="H1019" i="1"/>
  <c r="G1019" i="1"/>
  <c r="K1018" i="1"/>
  <c r="J1018" i="1"/>
  <c r="I1018" i="1"/>
  <c r="H1018" i="1"/>
  <c r="G1018" i="1"/>
  <c r="K1017" i="1"/>
  <c r="J1017" i="1"/>
  <c r="I1017" i="1"/>
  <c r="H1017" i="1"/>
  <c r="G1017" i="1"/>
  <c r="K1016" i="1"/>
  <c r="J1016" i="1"/>
  <c r="I1016" i="1"/>
  <c r="H1016" i="1"/>
  <c r="G1016" i="1"/>
  <c r="K1015" i="1"/>
  <c r="J1015" i="1"/>
  <c r="I1015" i="1"/>
  <c r="H1015" i="1"/>
  <c r="G1015" i="1"/>
  <c r="K1014" i="1"/>
  <c r="J1014" i="1"/>
  <c r="I1014" i="1"/>
  <c r="H1014" i="1"/>
  <c r="G1014" i="1"/>
  <c r="K1013" i="1"/>
  <c r="J1013" i="1"/>
  <c r="I1013" i="1"/>
  <c r="H1013" i="1"/>
  <c r="G1013" i="1"/>
  <c r="K1012" i="1"/>
  <c r="J1012" i="1"/>
  <c r="I1012" i="1"/>
  <c r="H1012" i="1"/>
  <c r="G1012" i="1"/>
  <c r="K1011" i="1"/>
  <c r="J1011" i="1"/>
  <c r="I1011" i="1"/>
  <c r="H1011" i="1"/>
  <c r="G1011" i="1"/>
  <c r="K1010" i="1"/>
  <c r="J1010" i="1"/>
  <c r="I1010" i="1"/>
  <c r="H1010" i="1"/>
  <c r="G1010" i="1"/>
  <c r="K1009" i="1"/>
  <c r="J1009" i="1"/>
  <c r="I1009" i="1"/>
  <c r="H1009" i="1"/>
  <c r="G1009" i="1"/>
  <c r="K1008" i="1"/>
  <c r="J1008" i="1"/>
  <c r="I1008" i="1"/>
  <c r="H1008" i="1"/>
  <c r="G1008" i="1"/>
  <c r="K1007" i="1"/>
  <c r="J1007" i="1"/>
  <c r="I1007" i="1"/>
  <c r="H1007" i="1"/>
  <c r="G1007" i="1"/>
  <c r="K1006" i="1"/>
  <c r="J1006" i="1"/>
  <c r="I1006" i="1"/>
  <c r="H1006" i="1"/>
  <c r="G1006" i="1"/>
  <c r="K1005" i="1"/>
  <c r="J1005" i="1"/>
  <c r="I1005" i="1"/>
  <c r="H1005" i="1"/>
  <c r="G1005" i="1"/>
  <c r="K1004" i="1"/>
  <c r="J1004" i="1"/>
  <c r="I1004" i="1"/>
  <c r="H1004" i="1"/>
  <c r="G1004" i="1"/>
  <c r="K1003" i="1"/>
  <c r="J1003" i="1"/>
  <c r="I1003" i="1"/>
  <c r="H1003" i="1"/>
  <c r="G1003" i="1"/>
  <c r="K1002" i="1"/>
  <c r="J1002" i="1"/>
  <c r="I1002" i="1"/>
  <c r="H1002" i="1"/>
  <c r="G1002" i="1"/>
  <c r="K1001" i="1"/>
  <c r="J1001" i="1"/>
  <c r="I1001" i="1"/>
  <c r="H1001" i="1"/>
  <c r="G1001" i="1"/>
  <c r="K1000" i="1"/>
  <c r="J1000" i="1"/>
  <c r="I1000" i="1"/>
  <c r="H1000" i="1"/>
  <c r="G1000" i="1"/>
  <c r="K999" i="1"/>
  <c r="J999" i="1"/>
  <c r="I999" i="1"/>
  <c r="H999" i="1"/>
  <c r="G999" i="1"/>
  <c r="K998" i="1"/>
  <c r="J998" i="1"/>
  <c r="I998" i="1"/>
  <c r="H998" i="1"/>
  <c r="G998" i="1"/>
  <c r="K997" i="1"/>
  <c r="J997" i="1"/>
  <c r="I997" i="1"/>
  <c r="H997" i="1"/>
  <c r="G997" i="1"/>
  <c r="K996" i="1"/>
  <c r="J996" i="1"/>
  <c r="I996" i="1"/>
  <c r="H996" i="1"/>
  <c r="G996" i="1"/>
  <c r="K995" i="1"/>
  <c r="J995" i="1"/>
  <c r="I995" i="1"/>
  <c r="H995" i="1"/>
  <c r="G995" i="1"/>
  <c r="K994" i="1"/>
  <c r="J994" i="1"/>
  <c r="I994" i="1"/>
  <c r="H994" i="1"/>
  <c r="G994" i="1"/>
  <c r="K993" i="1"/>
  <c r="J993" i="1"/>
  <c r="I993" i="1"/>
  <c r="H993" i="1"/>
  <c r="G993" i="1"/>
  <c r="K992" i="1"/>
  <c r="J992" i="1"/>
  <c r="I992" i="1"/>
  <c r="H992" i="1"/>
  <c r="G992" i="1"/>
  <c r="K991" i="1"/>
  <c r="J991" i="1"/>
  <c r="I991" i="1"/>
  <c r="H991" i="1"/>
  <c r="G991" i="1"/>
  <c r="K990" i="1"/>
  <c r="J990" i="1"/>
  <c r="I990" i="1"/>
  <c r="H990" i="1"/>
  <c r="G990" i="1"/>
  <c r="K989" i="1"/>
  <c r="J989" i="1"/>
  <c r="I989" i="1"/>
  <c r="H989" i="1"/>
  <c r="G989" i="1"/>
  <c r="K988" i="1"/>
  <c r="J988" i="1"/>
  <c r="I988" i="1"/>
  <c r="H988" i="1"/>
  <c r="G988" i="1"/>
  <c r="K987" i="1"/>
  <c r="J987" i="1"/>
  <c r="I987" i="1"/>
  <c r="H987" i="1"/>
  <c r="G987" i="1"/>
  <c r="K986" i="1"/>
  <c r="J986" i="1"/>
  <c r="I986" i="1"/>
  <c r="H986" i="1"/>
  <c r="G986" i="1"/>
  <c r="K985" i="1"/>
  <c r="J985" i="1"/>
  <c r="I985" i="1"/>
  <c r="H985" i="1"/>
  <c r="G985" i="1"/>
  <c r="K984" i="1"/>
  <c r="J984" i="1"/>
  <c r="I984" i="1"/>
  <c r="H984" i="1"/>
  <c r="G984" i="1"/>
  <c r="K983" i="1"/>
  <c r="J983" i="1"/>
  <c r="I983" i="1"/>
  <c r="H983" i="1"/>
  <c r="G983" i="1"/>
  <c r="K982" i="1"/>
  <c r="J982" i="1"/>
  <c r="I982" i="1"/>
  <c r="H982" i="1"/>
  <c r="G982" i="1"/>
  <c r="K981" i="1"/>
  <c r="J981" i="1"/>
  <c r="I981" i="1"/>
  <c r="H981" i="1"/>
  <c r="G981" i="1"/>
  <c r="K980" i="1"/>
  <c r="J980" i="1"/>
  <c r="I980" i="1"/>
  <c r="H980" i="1"/>
  <c r="G980" i="1"/>
  <c r="K979" i="1"/>
  <c r="J979" i="1"/>
  <c r="I979" i="1"/>
  <c r="H979" i="1"/>
  <c r="G979" i="1"/>
  <c r="K978" i="1"/>
  <c r="J978" i="1"/>
  <c r="I978" i="1"/>
  <c r="H978" i="1"/>
  <c r="G978" i="1"/>
  <c r="K977" i="1"/>
  <c r="J977" i="1"/>
  <c r="I977" i="1"/>
  <c r="H977" i="1"/>
  <c r="G977" i="1"/>
  <c r="K976" i="1"/>
  <c r="J976" i="1"/>
  <c r="I976" i="1"/>
  <c r="H976" i="1"/>
  <c r="G976" i="1"/>
  <c r="K975" i="1"/>
  <c r="J975" i="1"/>
  <c r="I975" i="1"/>
  <c r="H975" i="1"/>
  <c r="G975" i="1"/>
  <c r="K974" i="1"/>
  <c r="J974" i="1"/>
  <c r="I974" i="1"/>
  <c r="H974" i="1"/>
  <c r="G974" i="1"/>
  <c r="K973" i="1"/>
  <c r="J973" i="1"/>
  <c r="I973" i="1"/>
  <c r="H973" i="1"/>
  <c r="G973" i="1"/>
  <c r="K972" i="1"/>
  <c r="J972" i="1"/>
  <c r="I972" i="1"/>
  <c r="H972" i="1"/>
  <c r="G972" i="1"/>
  <c r="K971" i="1"/>
  <c r="J971" i="1"/>
  <c r="I971" i="1"/>
  <c r="H971" i="1"/>
  <c r="G971" i="1"/>
  <c r="K970" i="1"/>
  <c r="J970" i="1"/>
  <c r="I970" i="1"/>
  <c r="H970" i="1"/>
  <c r="G970" i="1"/>
  <c r="K969" i="1"/>
  <c r="J969" i="1"/>
  <c r="I969" i="1"/>
  <c r="H969" i="1"/>
  <c r="G969" i="1"/>
  <c r="K968" i="1"/>
  <c r="J968" i="1"/>
  <c r="I968" i="1"/>
  <c r="H968" i="1"/>
  <c r="G968" i="1"/>
  <c r="K967" i="1"/>
  <c r="J967" i="1"/>
  <c r="I967" i="1"/>
  <c r="H967" i="1"/>
  <c r="G967" i="1"/>
  <c r="K966" i="1"/>
  <c r="J966" i="1"/>
  <c r="I966" i="1"/>
  <c r="H966" i="1"/>
  <c r="G966" i="1"/>
  <c r="K965" i="1"/>
  <c r="J965" i="1"/>
  <c r="I965" i="1"/>
  <c r="H965" i="1"/>
  <c r="G965" i="1"/>
  <c r="K964" i="1"/>
  <c r="J964" i="1"/>
  <c r="I964" i="1"/>
  <c r="H964" i="1"/>
  <c r="G964" i="1"/>
  <c r="K963" i="1"/>
  <c r="J963" i="1"/>
  <c r="I963" i="1"/>
  <c r="H963" i="1"/>
  <c r="G963" i="1"/>
  <c r="K962" i="1"/>
  <c r="J962" i="1"/>
  <c r="I962" i="1"/>
  <c r="H962" i="1"/>
  <c r="G962" i="1"/>
  <c r="K961" i="1"/>
  <c r="J961" i="1"/>
  <c r="I961" i="1"/>
  <c r="H961" i="1"/>
  <c r="G961" i="1"/>
  <c r="K960" i="1"/>
  <c r="J960" i="1"/>
  <c r="I960" i="1"/>
  <c r="H960" i="1"/>
  <c r="G960" i="1"/>
  <c r="K959" i="1"/>
  <c r="J959" i="1"/>
  <c r="I959" i="1"/>
  <c r="H959" i="1"/>
  <c r="G959" i="1"/>
  <c r="K958" i="1"/>
  <c r="J958" i="1"/>
  <c r="I958" i="1"/>
  <c r="H958" i="1"/>
  <c r="G958" i="1"/>
  <c r="K957" i="1"/>
  <c r="J957" i="1"/>
  <c r="I957" i="1"/>
  <c r="H957" i="1"/>
  <c r="G957" i="1"/>
  <c r="K956" i="1"/>
  <c r="J956" i="1"/>
  <c r="I956" i="1"/>
  <c r="H956" i="1"/>
  <c r="G956" i="1"/>
  <c r="K955" i="1"/>
  <c r="J955" i="1"/>
  <c r="I955" i="1"/>
  <c r="H955" i="1"/>
  <c r="G955" i="1"/>
  <c r="K954" i="1"/>
  <c r="J954" i="1"/>
  <c r="I954" i="1"/>
  <c r="H954" i="1"/>
  <c r="G954" i="1"/>
  <c r="K953" i="1"/>
  <c r="J953" i="1"/>
  <c r="I953" i="1"/>
  <c r="H953" i="1"/>
  <c r="G953" i="1"/>
  <c r="K952" i="1"/>
  <c r="J952" i="1"/>
  <c r="I952" i="1"/>
  <c r="H952" i="1"/>
  <c r="G952" i="1"/>
  <c r="K951" i="1"/>
  <c r="J951" i="1"/>
  <c r="I951" i="1"/>
  <c r="H951" i="1"/>
  <c r="G951" i="1"/>
  <c r="K950" i="1"/>
  <c r="J950" i="1"/>
  <c r="I950" i="1"/>
  <c r="H950" i="1"/>
  <c r="G950" i="1"/>
  <c r="K949" i="1"/>
  <c r="J949" i="1"/>
  <c r="I949" i="1"/>
  <c r="H949" i="1"/>
  <c r="G949" i="1"/>
  <c r="K948" i="1"/>
  <c r="J948" i="1"/>
  <c r="I948" i="1"/>
  <c r="H948" i="1"/>
  <c r="G948" i="1"/>
  <c r="K947" i="1"/>
  <c r="J947" i="1"/>
  <c r="I947" i="1"/>
  <c r="H947" i="1"/>
  <c r="G947" i="1"/>
  <c r="K946" i="1"/>
  <c r="J946" i="1"/>
  <c r="I946" i="1"/>
  <c r="H946" i="1"/>
  <c r="G946" i="1"/>
  <c r="K945" i="1"/>
  <c r="J945" i="1"/>
  <c r="I945" i="1"/>
  <c r="H945" i="1"/>
  <c r="G945" i="1"/>
  <c r="K944" i="1"/>
  <c r="J944" i="1"/>
  <c r="I944" i="1"/>
  <c r="H944" i="1"/>
  <c r="G944" i="1"/>
  <c r="K943" i="1"/>
  <c r="J943" i="1"/>
  <c r="I943" i="1"/>
  <c r="H943" i="1"/>
  <c r="G943" i="1"/>
  <c r="K942" i="1"/>
  <c r="J942" i="1"/>
  <c r="I942" i="1"/>
  <c r="H942" i="1"/>
  <c r="G942" i="1"/>
  <c r="K941" i="1"/>
  <c r="J941" i="1"/>
  <c r="I941" i="1"/>
  <c r="H941" i="1"/>
  <c r="G941" i="1"/>
  <c r="K940" i="1"/>
  <c r="J940" i="1"/>
  <c r="I940" i="1"/>
  <c r="H940" i="1"/>
  <c r="G940" i="1"/>
  <c r="K939" i="1"/>
  <c r="J939" i="1"/>
  <c r="I939" i="1"/>
  <c r="H939" i="1"/>
  <c r="G939" i="1"/>
  <c r="K938" i="1"/>
  <c r="J938" i="1"/>
  <c r="I938" i="1"/>
  <c r="H938" i="1"/>
  <c r="G938" i="1"/>
  <c r="K937" i="1"/>
  <c r="J937" i="1"/>
  <c r="I937" i="1"/>
  <c r="H937" i="1"/>
  <c r="G937" i="1"/>
  <c r="K936" i="1"/>
  <c r="J936" i="1"/>
  <c r="I936" i="1"/>
  <c r="H936" i="1"/>
  <c r="G936" i="1"/>
  <c r="K935" i="1"/>
  <c r="J935" i="1"/>
  <c r="I935" i="1"/>
  <c r="H935" i="1"/>
  <c r="G935" i="1"/>
  <c r="K934" i="1"/>
  <c r="J934" i="1"/>
  <c r="I934" i="1"/>
  <c r="H934" i="1"/>
  <c r="G934" i="1"/>
  <c r="K933" i="1"/>
  <c r="J933" i="1"/>
  <c r="I933" i="1"/>
  <c r="H933" i="1"/>
  <c r="G933" i="1"/>
  <c r="K932" i="1"/>
  <c r="J932" i="1"/>
  <c r="I932" i="1"/>
  <c r="H932" i="1"/>
  <c r="G932" i="1"/>
  <c r="K931" i="1"/>
  <c r="J931" i="1"/>
  <c r="I931" i="1"/>
  <c r="H931" i="1"/>
  <c r="G931" i="1"/>
  <c r="K930" i="1"/>
  <c r="J930" i="1"/>
  <c r="I930" i="1"/>
  <c r="H930" i="1"/>
  <c r="G930" i="1"/>
  <c r="K929" i="1"/>
  <c r="J929" i="1"/>
  <c r="I929" i="1"/>
  <c r="H929" i="1"/>
  <c r="G929" i="1"/>
  <c r="K928" i="1"/>
  <c r="J928" i="1"/>
  <c r="I928" i="1"/>
  <c r="H928" i="1"/>
  <c r="G928" i="1"/>
  <c r="K927" i="1"/>
  <c r="J927" i="1"/>
  <c r="I927" i="1"/>
  <c r="H927" i="1"/>
  <c r="G927" i="1"/>
  <c r="K926" i="1"/>
  <c r="J926" i="1"/>
  <c r="I926" i="1"/>
  <c r="H926" i="1"/>
  <c r="G926" i="1"/>
  <c r="K925" i="1"/>
  <c r="J925" i="1"/>
  <c r="I925" i="1"/>
  <c r="H925" i="1"/>
  <c r="G925" i="1"/>
  <c r="K924" i="1"/>
  <c r="J924" i="1"/>
  <c r="I924" i="1"/>
  <c r="H924" i="1"/>
  <c r="G924" i="1"/>
  <c r="K923" i="1"/>
  <c r="J923" i="1"/>
  <c r="I923" i="1"/>
  <c r="H923" i="1"/>
  <c r="G923" i="1"/>
  <c r="K922" i="1"/>
  <c r="J922" i="1"/>
  <c r="I922" i="1"/>
  <c r="H922" i="1"/>
  <c r="G922" i="1"/>
  <c r="K921" i="1"/>
  <c r="J921" i="1"/>
  <c r="I921" i="1"/>
  <c r="H921" i="1"/>
  <c r="G921" i="1"/>
  <c r="K920" i="1"/>
  <c r="J920" i="1"/>
  <c r="I920" i="1"/>
  <c r="H920" i="1"/>
  <c r="G920" i="1"/>
  <c r="K919" i="1"/>
  <c r="J919" i="1"/>
  <c r="I919" i="1"/>
  <c r="H919" i="1"/>
  <c r="G919" i="1"/>
  <c r="K918" i="1"/>
  <c r="J918" i="1"/>
  <c r="I918" i="1"/>
  <c r="H918" i="1"/>
  <c r="G918" i="1"/>
  <c r="K917" i="1"/>
  <c r="J917" i="1"/>
  <c r="I917" i="1"/>
  <c r="H917" i="1"/>
  <c r="G917" i="1"/>
  <c r="K916" i="1"/>
  <c r="J916" i="1"/>
  <c r="I916" i="1"/>
  <c r="H916" i="1"/>
  <c r="G916" i="1"/>
  <c r="K915" i="1"/>
  <c r="J915" i="1"/>
  <c r="I915" i="1"/>
  <c r="H915" i="1"/>
  <c r="G915" i="1"/>
  <c r="K914" i="1"/>
  <c r="J914" i="1"/>
  <c r="I914" i="1"/>
  <c r="H914" i="1"/>
  <c r="G914" i="1"/>
  <c r="K913" i="1"/>
  <c r="J913" i="1"/>
  <c r="I913" i="1"/>
  <c r="H913" i="1"/>
  <c r="G913" i="1"/>
  <c r="K912" i="1"/>
  <c r="J912" i="1"/>
  <c r="I912" i="1"/>
  <c r="H912" i="1"/>
  <c r="G912" i="1"/>
  <c r="K911" i="1"/>
  <c r="J911" i="1"/>
  <c r="I911" i="1"/>
  <c r="H911" i="1"/>
  <c r="G911" i="1"/>
  <c r="K910" i="1"/>
  <c r="J910" i="1"/>
  <c r="I910" i="1"/>
  <c r="H910" i="1"/>
  <c r="G910" i="1"/>
  <c r="K909" i="1"/>
  <c r="J909" i="1"/>
  <c r="I909" i="1"/>
  <c r="H909" i="1"/>
  <c r="G909" i="1"/>
  <c r="K908" i="1"/>
  <c r="J908" i="1"/>
  <c r="I908" i="1"/>
  <c r="H908" i="1"/>
  <c r="G908" i="1"/>
  <c r="K907" i="1"/>
  <c r="J907" i="1"/>
  <c r="I907" i="1"/>
  <c r="H907" i="1"/>
  <c r="G907" i="1"/>
  <c r="K906" i="1"/>
  <c r="J906" i="1"/>
  <c r="I906" i="1"/>
  <c r="H906" i="1"/>
  <c r="G906" i="1"/>
  <c r="K905" i="1"/>
  <c r="J905" i="1"/>
  <c r="I905" i="1"/>
  <c r="H905" i="1"/>
  <c r="G905" i="1"/>
  <c r="K904" i="1"/>
  <c r="J904" i="1"/>
  <c r="I904" i="1"/>
  <c r="H904" i="1"/>
  <c r="G904" i="1"/>
  <c r="K903" i="1"/>
  <c r="J903" i="1"/>
  <c r="I903" i="1"/>
  <c r="H903" i="1"/>
  <c r="G903" i="1"/>
  <c r="K902" i="1"/>
  <c r="J902" i="1"/>
  <c r="I902" i="1"/>
  <c r="H902" i="1"/>
  <c r="G902" i="1"/>
  <c r="K901" i="1"/>
  <c r="J901" i="1"/>
  <c r="I901" i="1"/>
  <c r="H901" i="1"/>
  <c r="G901" i="1"/>
  <c r="K900" i="1"/>
  <c r="J900" i="1"/>
  <c r="I900" i="1"/>
  <c r="H900" i="1"/>
  <c r="G900" i="1"/>
  <c r="K899" i="1"/>
  <c r="J899" i="1"/>
  <c r="I899" i="1"/>
  <c r="H899" i="1"/>
  <c r="G899" i="1"/>
  <c r="K898" i="1"/>
  <c r="J898" i="1"/>
  <c r="I898" i="1"/>
  <c r="H898" i="1"/>
  <c r="G898" i="1"/>
  <c r="K897" i="1"/>
  <c r="J897" i="1"/>
  <c r="I897" i="1"/>
  <c r="H897" i="1"/>
  <c r="G897" i="1"/>
  <c r="K896" i="1"/>
  <c r="J896" i="1"/>
  <c r="I896" i="1"/>
  <c r="H896" i="1"/>
  <c r="G896" i="1"/>
  <c r="K895" i="1"/>
  <c r="J895" i="1"/>
  <c r="I895" i="1"/>
  <c r="H895" i="1"/>
  <c r="G895" i="1"/>
  <c r="K894" i="1"/>
  <c r="J894" i="1"/>
  <c r="I894" i="1"/>
  <c r="H894" i="1"/>
  <c r="G894" i="1"/>
  <c r="K893" i="1"/>
  <c r="J893" i="1"/>
  <c r="I893" i="1"/>
  <c r="H893" i="1"/>
  <c r="G893" i="1"/>
  <c r="K892" i="1"/>
  <c r="J892" i="1"/>
  <c r="I892" i="1"/>
  <c r="H892" i="1"/>
  <c r="G892" i="1"/>
  <c r="K891" i="1"/>
  <c r="J891" i="1"/>
  <c r="I891" i="1"/>
  <c r="H891" i="1"/>
  <c r="G891" i="1"/>
  <c r="K890" i="1"/>
  <c r="J890" i="1"/>
  <c r="I890" i="1"/>
  <c r="H890" i="1"/>
  <c r="G890" i="1"/>
  <c r="K889" i="1"/>
  <c r="J889" i="1"/>
  <c r="I889" i="1"/>
  <c r="H889" i="1"/>
  <c r="G889" i="1"/>
  <c r="K888" i="1"/>
  <c r="J888" i="1"/>
  <c r="I888" i="1"/>
  <c r="H888" i="1"/>
  <c r="G888" i="1"/>
  <c r="K887" i="1"/>
  <c r="J887" i="1"/>
  <c r="I887" i="1"/>
  <c r="H887" i="1"/>
  <c r="G887" i="1"/>
  <c r="K886" i="1"/>
  <c r="J886" i="1"/>
  <c r="I886" i="1"/>
  <c r="H886" i="1"/>
  <c r="G886" i="1"/>
  <c r="K885" i="1"/>
  <c r="J885" i="1"/>
  <c r="I885" i="1"/>
  <c r="H885" i="1"/>
  <c r="G885" i="1"/>
  <c r="K884" i="1"/>
  <c r="J884" i="1"/>
  <c r="I884" i="1"/>
  <c r="H884" i="1"/>
  <c r="G884" i="1"/>
  <c r="K883" i="1"/>
  <c r="J883" i="1"/>
  <c r="I883" i="1"/>
  <c r="H883" i="1"/>
  <c r="G883" i="1"/>
  <c r="K882" i="1"/>
  <c r="J882" i="1"/>
  <c r="I882" i="1"/>
  <c r="H882" i="1"/>
  <c r="G882" i="1"/>
  <c r="K881" i="1"/>
  <c r="J881" i="1"/>
  <c r="I881" i="1"/>
  <c r="H881" i="1"/>
  <c r="G881" i="1"/>
  <c r="K880" i="1"/>
  <c r="J880" i="1"/>
  <c r="I880" i="1"/>
  <c r="H880" i="1"/>
  <c r="G880" i="1"/>
  <c r="K879" i="1"/>
  <c r="J879" i="1"/>
  <c r="I879" i="1"/>
  <c r="H879" i="1"/>
  <c r="G879" i="1"/>
  <c r="K878" i="1"/>
  <c r="J878" i="1"/>
  <c r="I878" i="1"/>
  <c r="H878" i="1"/>
  <c r="G878" i="1"/>
  <c r="K877" i="1"/>
  <c r="J877" i="1"/>
  <c r="I877" i="1"/>
  <c r="H877" i="1"/>
  <c r="G877" i="1"/>
  <c r="K876" i="1"/>
  <c r="J876" i="1"/>
  <c r="I876" i="1"/>
  <c r="H876" i="1"/>
  <c r="G876" i="1"/>
  <c r="K875" i="1"/>
  <c r="J875" i="1"/>
  <c r="I875" i="1"/>
  <c r="H875" i="1"/>
  <c r="G875" i="1"/>
  <c r="K874" i="1"/>
  <c r="J874" i="1"/>
  <c r="I874" i="1"/>
  <c r="H874" i="1"/>
  <c r="G874" i="1"/>
  <c r="K873" i="1"/>
  <c r="J873" i="1"/>
  <c r="I873" i="1"/>
  <c r="H873" i="1"/>
  <c r="G873" i="1"/>
  <c r="K872" i="1"/>
  <c r="J872" i="1"/>
  <c r="I872" i="1"/>
  <c r="H872" i="1"/>
  <c r="G872" i="1"/>
  <c r="K871" i="1"/>
  <c r="J871" i="1"/>
  <c r="I871" i="1"/>
  <c r="H871" i="1"/>
  <c r="G871" i="1"/>
  <c r="K870" i="1"/>
  <c r="J870" i="1"/>
  <c r="I870" i="1"/>
  <c r="H870" i="1"/>
  <c r="G870" i="1"/>
  <c r="K869" i="1"/>
  <c r="J869" i="1"/>
  <c r="I869" i="1"/>
  <c r="H869" i="1"/>
  <c r="G869" i="1"/>
  <c r="K868" i="1"/>
  <c r="J868" i="1"/>
  <c r="I868" i="1"/>
  <c r="H868" i="1"/>
  <c r="G868" i="1"/>
  <c r="K867" i="1"/>
  <c r="J867" i="1"/>
  <c r="I867" i="1"/>
  <c r="H867" i="1"/>
  <c r="G867" i="1"/>
  <c r="K866" i="1"/>
  <c r="J866" i="1"/>
  <c r="I866" i="1"/>
  <c r="H866" i="1"/>
  <c r="G866" i="1"/>
  <c r="K865" i="1"/>
  <c r="J865" i="1"/>
  <c r="I865" i="1"/>
  <c r="H865" i="1"/>
  <c r="G865" i="1"/>
  <c r="K864" i="1"/>
  <c r="J864" i="1"/>
  <c r="I864" i="1"/>
  <c r="H864" i="1"/>
  <c r="G864" i="1"/>
  <c r="K863" i="1"/>
  <c r="J863" i="1"/>
  <c r="I863" i="1"/>
  <c r="H863" i="1"/>
  <c r="G863" i="1"/>
  <c r="K862" i="1"/>
  <c r="J862" i="1"/>
  <c r="I862" i="1"/>
  <c r="H862" i="1"/>
  <c r="G862" i="1"/>
  <c r="K861" i="1"/>
  <c r="J861" i="1"/>
  <c r="I861" i="1"/>
  <c r="H861" i="1"/>
  <c r="G861" i="1"/>
  <c r="K860" i="1"/>
  <c r="J860" i="1"/>
  <c r="I860" i="1"/>
  <c r="H860" i="1"/>
  <c r="G860" i="1"/>
  <c r="K859" i="1"/>
  <c r="J859" i="1"/>
  <c r="I859" i="1"/>
  <c r="H859" i="1"/>
  <c r="G859" i="1"/>
  <c r="K858" i="1"/>
  <c r="J858" i="1"/>
  <c r="I858" i="1"/>
  <c r="H858" i="1"/>
  <c r="G858" i="1"/>
  <c r="K857" i="1"/>
  <c r="J857" i="1"/>
  <c r="I857" i="1"/>
  <c r="H857" i="1"/>
  <c r="G857" i="1"/>
  <c r="K856" i="1"/>
  <c r="J856" i="1"/>
  <c r="I856" i="1"/>
  <c r="H856" i="1"/>
  <c r="G856" i="1"/>
  <c r="K855" i="1"/>
  <c r="J855" i="1"/>
  <c r="I855" i="1"/>
  <c r="H855" i="1"/>
  <c r="G855" i="1"/>
  <c r="K854" i="1"/>
  <c r="J854" i="1"/>
  <c r="I854" i="1"/>
  <c r="H854" i="1"/>
  <c r="G854" i="1"/>
  <c r="K853" i="1"/>
  <c r="J853" i="1"/>
  <c r="I853" i="1"/>
  <c r="H853" i="1"/>
  <c r="G853" i="1"/>
  <c r="K852" i="1"/>
  <c r="J852" i="1"/>
  <c r="I852" i="1"/>
  <c r="H852" i="1"/>
  <c r="G852" i="1"/>
  <c r="K851" i="1"/>
  <c r="J851" i="1"/>
  <c r="I851" i="1"/>
  <c r="H851" i="1"/>
  <c r="G851" i="1"/>
  <c r="K850" i="1"/>
  <c r="J850" i="1"/>
  <c r="I850" i="1"/>
  <c r="H850" i="1"/>
  <c r="G850" i="1"/>
  <c r="K849" i="1"/>
  <c r="J849" i="1"/>
  <c r="I849" i="1"/>
  <c r="H849" i="1"/>
  <c r="G849" i="1"/>
  <c r="K848" i="1"/>
  <c r="J848" i="1"/>
  <c r="I848" i="1"/>
  <c r="H848" i="1"/>
  <c r="G848" i="1"/>
  <c r="K847" i="1"/>
  <c r="J847" i="1"/>
  <c r="I847" i="1"/>
  <c r="H847" i="1"/>
  <c r="G847" i="1"/>
  <c r="K846" i="1"/>
  <c r="J846" i="1"/>
  <c r="I846" i="1"/>
  <c r="H846" i="1"/>
  <c r="G846" i="1"/>
  <c r="K845" i="1"/>
  <c r="J845" i="1"/>
  <c r="I845" i="1"/>
  <c r="H845" i="1"/>
  <c r="G845" i="1"/>
  <c r="K844" i="1"/>
  <c r="J844" i="1"/>
  <c r="I844" i="1"/>
  <c r="H844" i="1"/>
  <c r="G844" i="1"/>
  <c r="K843" i="1"/>
  <c r="J843" i="1"/>
  <c r="I843" i="1"/>
  <c r="H843" i="1"/>
  <c r="G843" i="1"/>
  <c r="K842" i="1"/>
  <c r="J842" i="1"/>
  <c r="I842" i="1"/>
  <c r="H842" i="1"/>
  <c r="G842" i="1"/>
  <c r="K841" i="1"/>
  <c r="J841" i="1"/>
  <c r="I841" i="1"/>
  <c r="H841" i="1"/>
  <c r="G841" i="1"/>
  <c r="K840" i="1"/>
  <c r="J840" i="1"/>
  <c r="I840" i="1"/>
  <c r="H840" i="1"/>
  <c r="G840" i="1"/>
  <c r="K839" i="1"/>
  <c r="J839" i="1"/>
  <c r="I839" i="1"/>
  <c r="H839" i="1"/>
  <c r="G839" i="1"/>
  <c r="K838" i="1"/>
  <c r="J838" i="1"/>
  <c r="I838" i="1"/>
  <c r="H838" i="1"/>
  <c r="G838" i="1"/>
  <c r="K837" i="1"/>
  <c r="J837" i="1"/>
  <c r="I837" i="1"/>
  <c r="H837" i="1"/>
  <c r="G837" i="1"/>
  <c r="K836" i="1"/>
  <c r="J836" i="1"/>
  <c r="I836" i="1"/>
  <c r="H836" i="1"/>
  <c r="G836" i="1"/>
  <c r="K835" i="1"/>
  <c r="J835" i="1"/>
  <c r="I835" i="1"/>
  <c r="H835" i="1"/>
  <c r="G835" i="1"/>
  <c r="K834" i="1"/>
  <c r="J834" i="1"/>
  <c r="I834" i="1"/>
  <c r="H834" i="1"/>
  <c r="G834" i="1"/>
  <c r="K833" i="1"/>
  <c r="J833" i="1"/>
  <c r="I833" i="1"/>
  <c r="H833" i="1"/>
  <c r="G833" i="1"/>
  <c r="K832" i="1"/>
  <c r="J832" i="1"/>
  <c r="I832" i="1"/>
  <c r="H832" i="1"/>
  <c r="G832" i="1"/>
  <c r="K831" i="1"/>
  <c r="J831" i="1"/>
  <c r="I831" i="1"/>
  <c r="H831" i="1"/>
  <c r="G831" i="1"/>
  <c r="K830" i="1"/>
  <c r="J830" i="1"/>
  <c r="I830" i="1"/>
  <c r="H830" i="1"/>
  <c r="G830" i="1"/>
  <c r="K829" i="1"/>
  <c r="J829" i="1"/>
  <c r="I829" i="1"/>
  <c r="H829" i="1"/>
  <c r="G829" i="1"/>
  <c r="K828" i="1"/>
  <c r="J828" i="1"/>
  <c r="I828" i="1"/>
  <c r="H828" i="1"/>
  <c r="G828" i="1"/>
  <c r="K827" i="1"/>
  <c r="J827" i="1"/>
  <c r="I827" i="1"/>
  <c r="H827" i="1"/>
  <c r="G827" i="1"/>
  <c r="K826" i="1"/>
  <c r="J826" i="1"/>
  <c r="I826" i="1"/>
  <c r="H826" i="1"/>
  <c r="G826" i="1"/>
  <c r="K825" i="1"/>
  <c r="J825" i="1"/>
  <c r="I825" i="1"/>
  <c r="H825" i="1"/>
  <c r="G825" i="1"/>
  <c r="K824" i="1"/>
  <c r="J824" i="1"/>
  <c r="I824" i="1"/>
  <c r="H824" i="1"/>
  <c r="G824" i="1"/>
  <c r="K823" i="1"/>
  <c r="J823" i="1"/>
  <c r="I823" i="1"/>
  <c r="H823" i="1"/>
  <c r="G823" i="1"/>
  <c r="K822" i="1"/>
  <c r="J822" i="1"/>
  <c r="I822" i="1"/>
  <c r="H822" i="1"/>
  <c r="G822" i="1"/>
  <c r="K821" i="1"/>
  <c r="J821" i="1"/>
  <c r="I821" i="1"/>
  <c r="H821" i="1"/>
  <c r="G821" i="1"/>
  <c r="K820" i="1"/>
  <c r="J820" i="1"/>
  <c r="I820" i="1"/>
  <c r="H820" i="1"/>
  <c r="G820" i="1"/>
  <c r="K819" i="1"/>
  <c r="J819" i="1"/>
  <c r="I819" i="1"/>
  <c r="H819" i="1"/>
  <c r="G819" i="1"/>
  <c r="K818" i="1"/>
  <c r="J818" i="1"/>
  <c r="I818" i="1"/>
  <c r="H818" i="1"/>
  <c r="G818" i="1"/>
  <c r="K817" i="1"/>
  <c r="J817" i="1"/>
  <c r="I817" i="1"/>
  <c r="H817" i="1"/>
  <c r="G817" i="1"/>
  <c r="K816" i="1"/>
  <c r="J816" i="1"/>
  <c r="I816" i="1"/>
  <c r="H816" i="1"/>
  <c r="G816" i="1"/>
  <c r="K815" i="1"/>
  <c r="J815" i="1"/>
  <c r="I815" i="1"/>
  <c r="H815" i="1"/>
  <c r="G815" i="1"/>
  <c r="K814" i="1"/>
  <c r="J814" i="1"/>
  <c r="I814" i="1"/>
  <c r="H814" i="1"/>
  <c r="G814" i="1"/>
  <c r="K813" i="1"/>
  <c r="J813" i="1"/>
  <c r="I813" i="1"/>
  <c r="H813" i="1"/>
  <c r="G813" i="1"/>
  <c r="K812" i="1"/>
  <c r="J812" i="1"/>
  <c r="I812" i="1"/>
  <c r="H812" i="1"/>
  <c r="G812" i="1"/>
  <c r="K811" i="1"/>
  <c r="J811" i="1"/>
  <c r="I811" i="1"/>
  <c r="H811" i="1"/>
  <c r="G811" i="1"/>
  <c r="K810" i="1"/>
  <c r="J810" i="1"/>
  <c r="I810" i="1"/>
  <c r="H810" i="1"/>
  <c r="G810" i="1"/>
  <c r="K809" i="1"/>
  <c r="J809" i="1"/>
  <c r="I809" i="1"/>
  <c r="H809" i="1"/>
  <c r="G809" i="1"/>
  <c r="K808" i="1"/>
  <c r="J808" i="1"/>
  <c r="I808" i="1"/>
  <c r="H808" i="1"/>
  <c r="G808" i="1"/>
  <c r="K807" i="1"/>
  <c r="J807" i="1"/>
  <c r="I807" i="1"/>
  <c r="H807" i="1"/>
  <c r="G807" i="1"/>
  <c r="K806" i="1"/>
  <c r="J806" i="1"/>
  <c r="I806" i="1"/>
  <c r="H806" i="1"/>
  <c r="G806" i="1"/>
  <c r="K805" i="1"/>
  <c r="J805" i="1"/>
  <c r="I805" i="1"/>
  <c r="H805" i="1"/>
  <c r="G805" i="1"/>
  <c r="K804" i="1"/>
  <c r="J804" i="1"/>
  <c r="I804" i="1"/>
  <c r="H804" i="1"/>
  <c r="G804" i="1"/>
  <c r="K803" i="1"/>
  <c r="J803" i="1"/>
  <c r="I803" i="1"/>
  <c r="H803" i="1"/>
  <c r="G803" i="1"/>
  <c r="K802" i="1"/>
  <c r="J802" i="1"/>
  <c r="I802" i="1"/>
  <c r="H802" i="1"/>
  <c r="G802" i="1"/>
  <c r="K801" i="1"/>
  <c r="J801" i="1"/>
  <c r="I801" i="1"/>
  <c r="H801" i="1"/>
  <c r="G801" i="1"/>
  <c r="K800" i="1"/>
  <c r="J800" i="1"/>
  <c r="I800" i="1"/>
  <c r="H800" i="1"/>
  <c r="G800" i="1"/>
  <c r="K799" i="1"/>
  <c r="J799" i="1"/>
  <c r="I799" i="1"/>
  <c r="H799" i="1"/>
  <c r="G799" i="1"/>
  <c r="K798" i="1"/>
  <c r="J798" i="1"/>
  <c r="I798" i="1"/>
  <c r="H798" i="1"/>
  <c r="G798" i="1"/>
  <c r="K797" i="1"/>
  <c r="J797" i="1"/>
  <c r="I797" i="1"/>
  <c r="H797" i="1"/>
  <c r="G797" i="1"/>
  <c r="K796" i="1"/>
  <c r="J796" i="1"/>
  <c r="I796" i="1"/>
  <c r="H796" i="1"/>
  <c r="G796" i="1"/>
  <c r="K795" i="1"/>
  <c r="J795" i="1"/>
  <c r="I795" i="1"/>
  <c r="H795" i="1"/>
  <c r="G795" i="1"/>
  <c r="K794" i="1"/>
  <c r="J794" i="1"/>
  <c r="I794" i="1"/>
  <c r="H794" i="1"/>
  <c r="G794" i="1"/>
  <c r="K793" i="1"/>
  <c r="J793" i="1"/>
  <c r="I793" i="1"/>
  <c r="H793" i="1"/>
  <c r="G793" i="1"/>
  <c r="K792" i="1"/>
  <c r="J792" i="1"/>
  <c r="I792" i="1"/>
  <c r="H792" i="1"/>
  <c r="G792" i="1"/>
  <c r="K791" i="1"/>
  <c r="J791" i="1"/>
  <c r="I791" i="1"/>
  <c r="H791" i="1"/>
  <c r="G791" i="1"/>
  <c r="K790" i="1"/>
  <c r="J790" i="1"/>
  <c r="I790" i="1"/>
  <c r="H790" i="1"/>
  <c r="G790" i="1"/>
  <c r="K789" i="1"/>
  <c r="J789" i="1"/>
  <c r="I789" i="1"/>
  <c r="H789" i="1"/>
  <c r="G789" i="1"/>
  <c r="K788" i="1"/>
  <c r="J788" i="1"/>
  <c r="I788" i="1"/>
  <c r="H788" i="1"/>
  <c r="G788" i="1"/>
  <c r="K787" i="1"/>
  <c r="J787" i="1"/>
  <c r="I787" i="1"/>
  <c r="H787" i="1"/>
  <c r="G787" i="1"/>
  <c r="K786" i="1"/>
  <c r="J786" i="1"/>
  <c r="I786" i="1"/>
  <c r="H786" i="1"/>
  <c r="G786" i="1"/>
  <c r="K785" i="1"/>
  <c r="J785" i="1"/>
  <c r="I785" i="1"/>
  <c r="H785" i="1"/>
  <c r="G785" i="1"/>
  <c r="K784" i="1"/>
  <c r="J784" i="1"/>
  <c r="I784" i="1"/>
  <c r="H784" i="1"/>
  <c r="G784" i="1"/>
  <c r="K783" i="1"/>
  <c r="J783" i="1"/>
  <c r="I783" i="1"/>
  <c r="H783" i="1"/>
  <c r="G783" i="1"/>
  <c r="K782" i="1"/>
  <c r="J782" i="1"/>
  <c r="I782" i="1"/>
  <c r="H782" i="1"/>
  <c r="G782" i="1"/>
  <c r="K781" i="1"/>
  <c r="J781" i="1"/>
  <c r="I781" i="1"/>
  <c r="H781" i="1"/>
  <c r="G781" i="1"/>
  <c r="K780" i="1"/>
  <c r="J780" i="1"/>
  <c r="I780" i="1"/>
  <c r="H780" i="1"/>
  <c r="G780" i="1"/>
  <c r="K779" i="1"/>
  <c r="J779" i="1"/>
  <c r="I779" i="1"/>
  <c r="H779" i="1"/>
  <c r="G779" i="1"/>
  <c r="K778" i="1"/>
  <c r="J778" i="1"/>
  <c r="I778" i="1"/>
  <c r="H778" i="1"/>
  <c r="G778" i="1"/>
  <c r="K777" i="1"/>
  <c r="J777" i="1"/>
  <c r="I777" i="1"/>
  <c r="H777" i="1"/>
  <c r="G777" i="1"/>
  <c r="K776" i="1"/>
  <c r="J776" i="1"/>
  <c r="I776" i="1"/>
  <c r="H776" i="1"/>
  <c r="G776" i="1"/>
  <c r="K775" i="1"/>
  <c r="J775" i="1"/>
  <c r="I775" i="1"/>
  <c r="H775" i="1"/>
  <c r="G775" i="1"/>
  <c r="K774" i="1"/>
  <c r="J774" i="1"/>
  <c r="I774" i="1"/>
  <c r="H774" i="1"/>
  <c r="G774" i="1"/>
  <c r="K773" i="1"/>
  <c r="J773" i="1"/>
  <c r="I773" i="1"/>
  <c r="H773" i="1"/>
  <c r="G773" i="1"/>
  <c r="K772" i="1"/>
  <c r="J772" i="1"/>
  <c r="I772" i="1"/>
  <c r="H772" i="1"/>
  <c r="G772" i="1"/>
  <c r="K771" i="1"/>
  <c r="J771" i="1"/>
  <c r="I771" i="1"/>
  <c r="H771" i="1"/>
  <c r="G771" i="1"/>
  <c r="K770" i="1"/>
  <c r="J770" i="1"/>
  <c r="I770" i="1"/>
  <c r="H770" i="1"/>
  <c r="G770" i="1"/>
  <c r="K769" i="1"/>
  <c r="J769" i="1"/>
  <c r="I769" i="1"/>
  <c r="H769" i="1"/>
  <c r="G769" i="1"/>
  <c r="K768" i="1"/>
  <c r="J768" i="1"/>
  <c r="I768" i="1"/>
  <c r="H768" i="1"/>
  <c r="G768" i="1"/>
  <c r="K767" i="1"/>
  <c r="J767" i="1"/>
  <c r="I767" i="1"/>
  <c r="H767" i="1"/>
  <c r="G767" i="1"/>
  <c r="K766" i="1"/>
  <c r="J766" i="1"/>
  <c r="I766" i="1"/>
  <c r="H766" i="1"/>
  <c r="G766" i="1"/>
  <c r="K765" i="1"/>
  <c r="J765" i="1"/>
  <c r="I765" i="1"/>
  <c r="H765" i="1"/>
  <c r="G765" i="1"/>
  <c r="K764" i="1"/>
  <c r="J764" i="1"/>
  <c r="I764" i="1"/>
  <c r="H764" i="1"/>
  <c r="G764" i="1"/>
  <c r="K763" i="1"/>
  <c r="J763" i="1"/>
  <c r="I763" i="1"/>
  <c r="H763" i="1"/>
  <c r="G763" i="1"/>
  <c r="K762" i="1"/>
  <c r="J762" i="1"/>
  <c r="I762" i="1"/>
  <c r="H762" i="1"/>
  <c r="G762" i="1"/>
  <c r="K761" i="1"/>
  <c r="J761" i="1"/>
  <c r="I761" i="1"/>
  <c r="H761" i="1"/>
  <c r="G761" i="1"/>
  <c r="K760" i="1"/>
  <c r="J760" i="1"/>
  <c r="I760" i="1"/>
  <c r="H760" i="1"/>
  <c r="G760" i="1"/>
  <c r="K759" i="1"/>
  <c r="J759" i="1"/>
  <c r="I759" i="1"/>
  <c r="H759" i="1"/>
  <c r="G759" i="1"/>
  <c r="K758" i="1"/>
  <c r="J758" i="1"/>
  <c r="I758" i="1"/>
  <c r="H758" i="1"/>
  <c r="G758" i="1"/>
  <c r="K757" i="1"/>
  <c r="J757" i="1"/>
  <c r="I757" i="1"/>
  <c r="H757" i="1"/>
  <c r="G757" i="1"/>
  <c r="K756" i="1"/>
  <c r="J756" i="1"/>
  <c r="I756" i="1"/>
  <c r="H756" i="1"/>
  <c r="G756" i="1"/>
  <c r="K755" i="1"/>
  <c r="J755" i="1"/>
  <c r="I755" i="1"/>
  <c r="H755" i="1"/>
  <c r="G755" i="1"/>
  <c r="K754" i="1"/>
  <c r="J754" i="1"/>
  <c r="I754" i="1"/>
  <c r="H754" i="1"/>
  <c r="G754" i="1"/>
  <c r="K753" i="1"/>
  <c r="J753" i="1"/>
  <c r="I753" i="1"/>
  <c r="H753" i="1"/>
  <c r="G753" i="1"/>
  <c r="K752" i="1"/>
  <c r="J752" i="1"/>
  <c r="I752" i="1"/>
  <c r="H752" i="1"/>
  <c r="G752" i="1"/>
  <c r="K751" i="1"/>
  <c r="J751" i="1"/>
  <c r="I751" i="1"/>
  <c r="H751" i="1"/>
  <c r="G751" i="1"/>
  <c r="K750" i="1"/>
  <c r="J750" i="1"/>
  <c r="I750" i="1"/>
  <c r="H750" i="1"/>
  <c r="G750" i="1"/>
  <c r="K749" i="1"/>
  <c r="J749" i="1"/>
  <c r="I749" i="1"/>
  <c r="H749" i="1"/>
  <c r="G749" i="1"/>
  <c r="K748" i="1"/>
  <c r="J748" i="1"/>
  <c r="I748" i="1"/>
  <c r="H748" i="1"/>
  <c r="G748" i="1"/>
  <c r="K747" i="1"/>
  <c r="J747" i="1"/>
  <c r="I747" i="1"/>
  <c r="H747" i="1"/>
  <c r="G747" i="1"/>
  <c r="K746" i="1"/>
  <c r="J746" i="1"/>
  <c r="I746" i="1"/>
  <c r="H746" i="1"/>
  <c r="G746" i="1"/>
  <c r="K745" i="1"/>
  <c r="J745" i="1"/>
  <c r="I745" i="1"/>
  <c r="H745" i="1"/>
  <c r="G745" i="1"/>
  <c r="K744" i="1"/>
  <c r="J744" i="1"/>
  <c r="I744" i="1"/>
  <c r="H744" i="1"/>
  <c r="G744" i="1"/>
  <c r="K743" i="1"/>
  <c r="J743" i="1"/>
  <c r="I743" i="1"/>
  <c r="H743" i="1"/>
  <c r="G743" i="1"/>
  <c r="K742" i="1"/>
  <c r="J742" i="1"/>
  <c r="I742" i="1"/>
  <c r="H742" i="1"/>
  <c r="G742" i="1"/>
  <c r="K741" i="1"/>
  <c r="J741" i="1"/>
  <c r="I741" i="1"/>
  <c r="H741" i="1"/>
  <c r="G741" i="1"/>
  <c r="K740" i="1"/>
  <c r="J740" i="1"/>
  <c r="I740" i="1"/>
  <c r="H740" i="1"/>
  <c r="G740" i="1"/>
  <c r="K739" i="1"/>
  <c r="J739" i="1"/>
  <c r="I739" i="1"/>
  <c r="H739" i="1"/>
  <c r="G739" i="1"/>
  <c r="K738" i="1"/>
  <c r="J738" i="1"/>
  <c r="I738" i="1"/>
  <c r="H738" i="1"/>
  <c r="G738" i="1"/>
  <c r="K737" i="1"/>
  <c r="J737" i="1"/>
  <c r="I737" i="1"/>
  <c r="H737" i="1"/>
  <c r="G737" i="1"/>
  <c r="K736" i="1"/>
  <c r="J736" i="1"/>
  <c r="I736" i="1"/>
  <c r="H736" i="1"/>
  <c r="G736" i="1"/>
  <c r="K735" i="1"/>
  <c r="J735" i="1"/>
  <c r="I735" i="1"/>
  <c r="H735" i="1"/>
  <c r="G735" i="1"/>
  <c r="K734" i="1"/>
  <c r="J734" i="1"/>
  <c r="I734" i="1"/>
  <c r="H734" i="1"/>
  <c r="G734" i="1"/>
  <c r="K733" i="1"/>
  <c r="J733" i="1"/>
  <c r="I733" i="1"/>
  <c r="H733" i="1"/>
  <c r="G733" i="1"/>
  <c r="K732" i="1"/>
  <c r="J732" i="1"/>
  <c r="I732" i="1"/>
  <c r="H732" i="1"/>
  <c r="G732" i="1"/>
  <c r="K731" i="1"/>
  <c r="J731" i="1"/>
  <c r="I731" i="1"/>
  <c r="H731" i="1"/>
  <c r="G731" i="1"/>
  <c r="K730" i="1"/>
  <c r="J730" i="1"/>
  <c r="I730" i="1"/>
  <c r="H730" i="1"/>
  <c r="G730" i="1"/>
  <c r="K729" i="1"/>
  <c r="J729" i="1"/>
  <c r="I729" i="1"/>
  <c r="H729" i="1"/>
  <c r="G729" i="1"/>
  <c r="K728" i="1"/>
  <c r="J728" i="1"/>
  <c r="I728" i="1"/>
  <c r="H728" i="1"/>
  <c r="G728" i="1"/>
  <c r="K727" i="1"/>
  <c r="J727" i="1"/>
  <c r="I727" i="1"/>
  <c r="H727" i="1"/>
  <c r="G727" i="1"/>
  <c r="K726" i="1"/>
  <c r="J726" i="1"/>
  <c r="I726" i="1"/>
  <c r="H726" i="1"/>
  <c r="G726" i="1"/>
  <c r="K725" i="1"/>
  <c r="J725" i="1"/>
  <c r="I725" i="1"/>
  <c r="H725" i="1"/>
  <c r="G725" i="1"/>
  <c r="K724" i="1"/>
  <c r="J724" i="1"/>
  <c r="I724" i="1"/>
  <c r="H724" i="1"/>
  <c r="G724" i="1"/>
  <c r="K723" i="1"/>
  <c r="J723" i="1"/>
  <c r="I723" i="1"/>
  <c r="H723" i="1"/>
  <c r="G723" i="1"/>
  <c r="K722" i="1"/>
  <c r="J722" i="1"/>
  <c r="I722" i="1"/>
  <c r="H722" i="1"/>
  <c r="G722" i="1"/>
  <c r="K721" i="1"/>
  <c r="J721" i="1"/>
  <c r="I721" i="1"/>
  <c r="H721" i="1"/>
  <c r="G721" i="1"/>
  <c r="K720" i="1"/>
  <c r="J720" i="1"/>
  <c r="I720" i="1"/>
  <c r="H720" i="1"/>
  <c r="G720" i="1"/>
  <c r="K719" i="1"/>
  <c r="J719" i="1"/>
  <c r="I719" i="1"/>
  <c r="H719" i="1"/>
  <c r="G719" i="1"/>
  <c r="K718" i="1"/>
  <c r="J718" i="1"/>
  <c r="I718" i="1"/>
  <c r="H718" i="1"/>
  <c r="G718" i="1"/>
  <c r="K717" i="1"/>
  <c r="J717" i="1"/>
  <c r="I717" i="1"/>
  <c r="H717" i="1"/>
  <c r="G717" i="1"/>
  <c r="K716" i="1"/>
  <c r="J716" i="1"/>
  <c r="I716" i="1"/>
  <c r="H716" i="1"/>
  <c r="G716" i="1"/>
  <c r="K715" i="1"/>
  <c r="J715" i="1"/>
  <c r="I715" i="1"/>
  <c r="H715" i="1"/>
  <c r="G715" i="1"/>
  <c r="K714" i="1"/>
  <c r="J714" i="1"/>
  <c r="I714" i="1"/>
  <c r="H714" i="1"/>
  <c r="G714" i="1"/>
  <c r="K713" i="1"/>
  <c r="J713" i="1"/>
  <c r="I713" i="1"/>
  <c r="H713" i="1"/>
  <c r="G713" i="1"/>
  <c r="K712" i="1"/>
  <c r="J712" i="1"/>
  <c r="I712" i="1"/>
  <c r="H712" i="1"/>
  <c r="G712" i="1"/>
  <c r="K711" i="1"/>
  <c r="J711" i="1"/>
  <c r="I711" i="1"/>
  <c r="H711" i="1"/>
  <c r="G711" i="1"/>
  <c r="K710" i="1"/>
  <c r="J710" i="1"/>
  <c r="I710" i="1"/>
  <c r="H710" i="1"/>
  <c r="G710" i="1"/>
  <c r="K709" i="1"/>
  <c r="J709" i="1"/>
  <c r="I709" i="1"/>
  <c r="H709" i="1"/>
  <c r="G709" i="1"/>
  <c r="K708" i="1"/>
  <c r="J708" i="1"/>
  <c r="I708" i="1"/>
  <c r="H708" i="1"/>
  <c r="G708" i="1"/>
  <c r="K707" i="1"/>
  <c r="J707" i="1"/>
  <c r="I707" i="1"/>
  <c r="H707" i="1"/>
  <c r="G707" i="1"/>
  <c r="K706" i="1"/>
  <c r="J706" i="1"/>
  <c r="I706" i="1"/>
  <c r="H706" i="1"/>
  <c r="G706" i="1"/>
  <c r="K705" i="1"/>
  <c r="J705" i="1"/>
  <c r="I705" i="1"/>
  <c r="H705" i="1"/>
  <c r="G705" i="1"/>
  <c r="K704" i="1"/>
  <c r="J704" i="1"/>
  <c r="I704" i="1"/>
  <c r="H704" i="1"/>
  <c r="G704" i="1"/>
  <c r="K703" i="1"/>
  <c r="J703" i="1"/>
  <c r="I703" i="1"/>
  <c r="H703" i="1"/>
  <c r="G703" i="1"/>
  <c r="K702" i="1"/>
  <c r="J702" i="1"/>
  <c r="I702" i="1"/>
  <c r="H702" i="1"/>
  <c r="G702" i="1"/>
  <c r="K701" i="1"/>
  <c r="J701" i="1"/>
  <c r="I701" i="1"/>
  <c r="H701" i="1"/>
  <c r="G701" i="1"/>
  <c r="K700" i="1"/>
  <c r="J700" i="1"/>
  <c r="I700" i="1"/>
  <c r="H700" i="1"/>
  <c r="G700" i="1"/>
  <c r="K699" i="1"/>
  <c r="J699" i="1"/>
  <c r="I699" i="1"/>
  <c r="H699" i="1"/>
  <c r="G699" i="1"/>
  <c r="K698" i="1"/>
  <c r="J698" i="1"/>
  <c r="I698" i="1"/>
  <c r="H698" i="1"/>
  <c r="G698" i="1"/>
  <c r="K697" i="1"/>
  <c r="J697" i="1"/>
  <c r="I697" i="1"/>
  <c r="H697" i="1"/>
  <c r="G697" i="1"/>
  <c r="K696" i="1"/>
  <c r="J696" i="1"/>
  <c r="I696" i="1"/>
  <c r="H696" i="1"/>
  <c r="G696" i="1"/>
  <c r="K695" i="1"/>
  <c r="J695" i="1"/>
  <c r="I695" i="1"/>
  <c r="H695" i="1"/>
  <c r="G695" i="1"/>
  <c r="K694" i="1"/>
  <c r="J694" i="1"/>
  <c r="I694" i="1"/>
  <c r="H694" i="1"/>
  <c r="G694" i="1"/>
  <c r="K693" i="1"/>
  <c r="J693" i="1"/>
  <c r="I693" i="1"/>
  <c r="H693" i="1"/>
  <c r="G693" i="1"/>
  <c r="K692" i="1"/>
  <c r="J692" i="1"/>
  <c r="I692" i="1"/>
  <c r="H692" i="1"/>
  <c r="G692" i="1"/>
  <c r="K691" i="1"/>
  <c r="J691" i="1"/>
  <c r="I691" i="1"/>
  <c r="H691" i="1"/>
  <c r="G691" i="1"/>
  <c r="K690" i="1"/>
  <c r="J690" i="1"/>
  <c r="I690" i="1"/>
  <c r="H690" i="1"/>
  <c r="G690" i="1"/>
  <c r="K689" i="1"/>
  <c r="J689" i="1"/>
  <c r="I689" i="1"/>
  <c r="H689" i="1"/>
  <c r="G689" i="1"/>
  <c r="K688" i="1"/>
  <c r="J688" i="1"/>
  <c r="I688" i="1"/>
  <c r="H688" i="1"/>
  <c r="G688" i="1"/>
  <c r="K687" i="1"/>
  <c r="J687" i="1"/>
  <c r="I687" i="1"/>
  <c r="H687" i="1"/>
  <c r="G687" i="1"/>
  <c r="K686" i="1"/>
  <c r="J686" i="1"/>
  <c r="I686" i="1"/>
  <c r="H686" i="1"/>
  <c r="G686" i="1"/>
  <c r="K685" i="1"/>
  <c r="J685" i="1"/>
  <c r="I685" i="1"/>
  <c r="H685" i="1"/>
  <c r="G685" i="1"/>
  <c r="K684" i="1"/>
  <c r="J684" i="1"/>
  <c r="I684" i="1"/>
  <c r="H684" i="1"/>
  <c r="G684" i="1"/>
  <c r="K683" i="1"/>
  <c r="J683" i="1"/>
  <c r="I683" i="1"/>
  <c r="H683" i="1"/>
  <c r="G683" i="1"/>
  <c r="K682" i="1"/>
  <c r="J682" i="1"/>
  <c r="I682" i="1"/>
  <c r="H682" i="1"/>
  <c r="G682" i="1"/>
  <c r="K681" i="1"/>
  <c r="J681" i="1"/>
  <c r="I681" i="1"/>
  <c r="H681" i="1"/>
  <c r="G681" i="1"/>
  <c r="K680" i="1"/>
  <c r="J680" i="1"/>
  <c r="I680" i="1"/>
  <c r="H680" i="1"/>
  <c r="G680" i="1"/>
  <c r="K679" i="1"/>
  <c r="J679" i="1"/>
  <c r="I679" i="1"/>
  <c r="H679" i="1"/>
  <c r="G679" i="1"/>
  <c r="K678" i="1"/>
  <c r="J678" i="1"/>
  <c r="I678" i="1"/>
  <c r="H678" i="1"/>
  <c r="G678" i="1"/>
  <c r="K677" i="1"/>
  <c r="J677" i="1"/>
  <c r="I677" i="1"/>
  <c r="H677" i="1"/>
  <c r="G677" i="1"/>
  <c r="K676" i="1"/>
  <c r="J676" i="1"/>
  <c r="I676" i="1"/>
  <c r="H676" i="1"/>
  <c r="G676" i="1"/>
  <c r="K675" i="1"/>
  <c r="J675" i="1"/>
  <c r="I675" i="1"/>
  <c r="H675" i="1"/>
  <c r="G675" i="1"/>
  <c r="K674" i="1"/>
  <c r="J674" i="1"/>
  <c r="I674" i="1"/>
  <c r="H674" i="1"/>
  <c r="G674" i="1"/>
  <c r="K673" i="1"/>
  <c r="J673" i="1"/>
  <c r="I673" i="1"/>
  <c r="H673" i="1"/>
  <c r="G673" i="1"/>
  <c r="K672" i="1"/>
  <c r="J672" i="1"/>
  <c r="I672" i="1"/>
  <c r="H672" i="1"/>
  <c r="G672" i="1"/>
  <c r="K671" i="1"/>
  <c r="J671" i="1"/>
  <c r="I671" i="1"/>
  <c r="H671" i="1"/>
  <c r="G671" i="1"/>
  <c r="K670" i="1"/>
  <c r="J670" i="1"/>
  <c r="I670" i="1"/>
  <c r="H670" i="1"/>
  <c r="G670" i="1"/>
  <c r="K669" i="1"/>
  <c r="J669" i="1"/>
  <c r="I669" i="1"/>
  <c r="H669" i="1"/>
  <c r="G669" i="1"/>
  <c r="K668" i="1"/>
  <c r="J668" i="1"/>
  <c r="I668" i="1"/>
  <c r="H668" i="1"/>
  <c r="G668" i="1"/>
  <c r="K667" i="1"/>
  <c r="J667" i="1"/>
  <c r="I667" i="1"/>
  <c r="H667" i="1"/>
  <c r="G667" i="1"/>
  <c r="K666" i="1"/>
  <c r="J666" i="1"/>
  <c r="I666" i="1"/>
  <c r="H666" i="1"/>
  <c r="G666" i="1"/>
  <c r="K665" i="1"/>
  <c r="J665" i="1"/>
  <c r="I665" i="1"/>
  <c r="H665" i="1"/>
  <c r="G665" i="1"/>
  <c r="K664" i="1"/>
  <c r="J664" i="1"/>
  <c r="I664" i="1"/>
  <c r="H664" i="1"/>
  <c r="G664" i="1"/>
  <c r="K663" i="1"/>
  <c r="J663" i="1"/>
  <c r="I663" i="1"/>
  <c r="H663" i="1"/>
  <c r="G663" i="1"/>
  <c r="K662" i="1"/>
  <c r="J662" i="1"/>
  <c r="I662" i="1"/>
  <c r="H662" i="1"/>
  <c r="G662" i="1"/>
  <c r="K661" i="1"/>
  <c r="J661" i="1"/>
  <c r="I661" i="1"/>
  <c r="H661" i="1"/>
  <c r="G661" i="1"/>
  <c r="K660" i="1"/>
  <c r="J660" i="1"/>
  <c r="I660" i="1"/>
  <c r="H660" i="1"/>
  <c r="G660" i="1"/>
  <c r="K659" i="1"/>
  <c r="J659" i="1"/>
  <c r="I659" i="1"/>
  <c r="H659" i="1"/>
  <c r="G659" i="1"/>
  <c r="K658" i="1"/>
  <c r="J658" i="1"/>
  <c r="I658" i="1"/>
  <c r="H658" i="1"/>
  <c r="G658" i="1"/>
  <c r="K657" i="1"/>
  <c r="J657" i="1"/>
  <c r="I657" i="1"/>
  <c r="H657" i="1"/>
  <c r="G657" i="1"/>
  <c r="K656" i="1"/>
  <c r="J656" i="1"/>
  <c r="I656" i="1"/>
  <c r="H656" i="1"/>
  <c r="G656" i="1"/>
  <c r="K655" i="1"/>
  <c r="J655" i="1"/>
  <c r="I655" i="1"/>
  <c r="H655" i="1"/>
  <c r="G655" i="1"/>
  <c r="K654" i="1"/>
  <c r="J654" i="1"/>
  <c r="I654" i="1"/>
  <c r="H654" i="1"/>
  <c r="G654" i="1"/>
  <c r="K653" i="1"/>
  <c r="J653" i="1"/>
  <c r="I653" i="1"/>
  <c r="H653" i="1"/>
  <c r="G653" i="1"/>
  <c r="K652" i="1"/>
  <c r="J652" i="1"/>
  <c r="I652" i="1"/>
  <c r="H652" i="1"/>
  <c r="G652" i="1"/>
  <c r="K651" i="1"/>
  <c r="J651" i="1"/>
  <c r="I651" i="1"/>
  <c r="H651" i="1"/>
  <c r="G651" i="1"/>
  <c r="K650" i="1"/>
  <c r="J650" i="1"/>
  <c r="I650" i="1"/>
  <c r="H650" i="1"/>
  <c r="G650" i="1"/>
  <c r="K649" i="1"/>
  <c r="J649" i="1"/>
  <c r="I649" i="1"/>
  <c r="H649" i="1"/>
  <c r="G649" i="1"/>
  <c r="K648" i="1"/>
  <c r="J648" i="1"/>
  <c r="I648" i="1"/>
  <c r="H648" i="1"/>
  <c r="G648" i="1"/>
  <c r="K647" i="1"/>
  <c r="J647" i="1"/>
  <c r="I647" i="1"/>
  <c r="H647" i="1"/>
  <c r="G647" i="1"/>
  <c r="K646" i="1"/>
  <c r="J646" i="1"/>
  <c r="I646" i="1"/>
  <c r="H646" i="1"/>
  <c r="G646" i="1"/>
  <c r="K645" i="1"/>
  <c r="J645" i="1"/>
  <c r="I645" i="1"/>
  <c r="H645" i="1"/>
  <c r="G645" i="1"/>
  <c r="K644" i="1"/>
  <c r="J644" i="1"/>
  <c r="I644" i="1"/>
  <c r="H644" i="1"/>
  <c r="G644" i="1"/>
  <c r="K643" i="1"/>
  <c r="J643" i="1"/>
  <c r="I643" i="1"/>
  <c r="H643" i="1"/>
  <c r="G643" i="1"/>
  <c r="K642" i="1"/>
  <c r="J642" i="1"/>
  <c r="I642" i="1"/>
  <c r="H642" i="1"/>
  <c r="G642" i="1"/>
  <c r="K641" i="1"/>
  <c r="J641" i="1"/>
  <c r="I641" i="1"/>
  <c r="H641" i="1"/>
  <c r="G641" i="1"/>
  <c r="K640" i="1"/>
  <c r="J640" i="1"/>
  <c r="I640" i="1"/>
  <c r="H640" i="1"/>
  <c r="G640" i="1"/>
  <c r="K639" i="1"/>
  <c r="J639" i="1"/>
  <c r="I639" i="1"/>
  <c r="H639" i="1"/>
  <c r="G639" i="1"/>
  <c r="K638" i="1"/>
  <c r="J638" i="1"/>
  <c r="I638" i="1"/>
  <c r="H638" i="1"/>
  <c r="G638" i="1"/>
  <c r="K637" i="1"/>
  <c r="J637" i="1"/>
  <c r="I637" i="1"/>
  <c r="H637" i="1"/>
  <c r="G637" i="1"/>
  <c r="K636" i="1"/>
  <c r="J636" i="1"/>
  <c r="I636" i="1"/>
  <c r="H636" i="1"/>
  <c r="G636" i="1"/>
  <c r="K635" i="1"/>
  <c r="J635" i="1"/>
  <c r="I635" i="1"/>
  <c r="H635" i="1"/>
  <c r="G635" i="1"/>
  <c r="K634" i="1"/>
  <c r="J634" i="1"/>
  <c r="I634" i="1"/>
  <c r="H634" i="1"/>
  <c r="G634" i="1"/>
  <c r="K633" i="1"/>
  <c r="J633" i="1"/>
  <c r="I633" i="1"/>
  <c r="H633" i="1"/>
  <c r="G633" i="1"/>
  <c r="K632" i="1"/>
  <c r="J632" i="1"/>
  <c r="I632" i="1"/>
  <c r="H632" i="1"/>
  <c r="G632" i="1"/>
  <c r="K631" i="1"/>
  <c r="J631" i="1"/>
  <c r="I631" i="1"/>
  <c r="H631" i="1"/>
  <c r="G631" i="1"/>
  <c r="K630" i="1"/>
  <c r="J630" i="1"/>
  <c r="I630" i="1"/>
  <c r="H630" i="1"/>
  <c r="G630" i="1"/>
  <c r="K629" i="1"/>
  <c r="J629" i="1"/>
  <c r="I629" i="1"/>
  <c r="H629" i="1"/>
  <c r="G629" i="1"/>
  <c r="K628" i="1"/>
  <c r="J628" i="1"/>
  <c r="I628" i="1"/>
  <c r="H628" i="1"/>
  <c r="G628" i="1"/>
  <c r="K627" i="1"/>
  <c r="J627" i="1"/>
  <c r="I627" i="1"/>
  <c r="H627" i="1"/>
  <c r="G627" i="1"/>
  <c r="K626" i="1"/>
  <c r="J626" i="1"/>
  <c r="I626" i="1"/>
  <c r="H626" i="1"/>
  <c r="G626" i="1"/>
  <c r="K625" i="1"/>
  <c r="J625" i="1"/>
  <c r="I625" i="1"/>
  <c r="H625" i="1"/>
  <c r="G625" i="1"/>
  <c r="K624" i="1"/>
  <c r="J624" i="1"/>
  <c r="I624" i="1"/>
  <c r="H624" i="1"/>
  <c r="G624" i="1"/>
  <c r="K623" i="1"/>
  <c r="J623" i="1"/>
  <c r="I623" i="1"/>
  <c r="H623" i="1"/>
  <c r="G623" i="1"/>
  <c r="K622" i="1"/>
  <c r="J622" i="1"/>
  <c r="I622" i="1"/>
  <c r="H622" i="1"/>
  <c r="G622" i="1"/>
  <c r="K621" i="1"/>
  <c r="J621" i="1"/>
  <c r="I621" i="1"/>
  <c r="H621" i="1"/>
  <c r="G621" i="1"/>
  <c r="K620" i="1"/>
  <c r="J620" i="1"/>
  <c r="I620" i="1"/>
  <c r="H620" i="1"/>
  <c r="G620" i="1"/>
  <c r="K619" i="1"/>
  <c r="J619" i="1"/>
  <c r="I619" i="1"/>
  <c r="H619" i="1"/>
  <c r="G619" i="1"/>
  <c r="K618" i="1"/>
  <c r="J618" i="1"/>
  <c r="I618" i="1"/>
  <c r="H618" i="1"/>
  <c r="G618" i="1"/>
  <c r="K617" i="1"/>
  <c r="J617" i="1"/>
  <c r="I617" i="1"/>
  <c r="H617" i="1"/>
  <c r="G617" i="1"/>
  <c r="K616" i="1"/>
  <c r="J616" i="1"/>
  <c r="I616" i="1"/>
  <c r="H616" i="1"/>
  <c r="G616" i="1"/>
  <c r="K615" i="1"/>
  <c r="J615" i="1"/>
  <c r="I615" i="1"/>
  <c r="H615" i="1"/>
  <c r="G615" i="1"/>
  <c r="K614" i="1"/>
  <c r="J614" i="1"/>
  <c r="I614" i="1"/>
  <c r="H614" i="1"/>
  <c r="G614" i="1"/>
  <c r="K613" i="1"/>
  <c r="J613" i="1"/>
  <c r="I613" i="1"/>
  <c r="H613" i="1"/>
  <c r="G613" i="1"/>
  <c r="K612" i="1"/>
  <c r="J612" i="1"/>
  <c r="I612" i="1"/>
  <c r="H612" i="1"/>
  <c r="G612" i="1"/>
  <c r="K611" i="1"/>
  <c r="J611" i="1"/>
  <c r="I611" i="1"/>
  <c r="H611" i="1"/>
  <c r="G611" i="1"/>
  <c r="K610" i="1"/>
  <c r="J610" i="1"/>
  <c r="I610" i="1"/>
  <c r="H610" i="1"/>
  <c r="G610" i="1"/>
  <c r="K609" i="1"/>
  <c r="J609" i="1"/>
  <c r="I609" i="1"/>
  <c r="H609" i="1"/>
  <c r="G609" i="1"/>
  <c r="K608" i="1"/>
  <c r="J608" i="1"/>
  <c r="I608" i="1"/>
  <c r="H608" i="1"/>
  <c r="G608" i="1"/>
  <c r="K607" i="1"/>
  <c r="J607" i="1"/>
  <c r="I607" i="1"/>
  <c r="H607" i="1"/>
  <c r="G607" i="1"/>
  <c r="K606" i="1"/>
  <c r="J606" i="1"/>
  <c r="I606" i="1"/>
  <c r="H606" i="1"/>
  <c r="G606" i="1"/>
  <c r="K605" i="1"/>
  <c r="J605" i="1"/>
  <c r="I605" i="1"/>
  <c r="H605" i="1"/>
  <c r="G605" i="1"/>
  <c r="K604" i="1"/>
  <c r="J604" i="1"/>
  <c r="I604" i="1"/>
  <c r="H604" i="1"/>
  <c r="G604" i="1"/>
  <c r="K603" i="1"/>
  <c r="J603" i="1"/>
  <c r="I603" i="1"/>
  <c r="H603" i="1"/>
  <c r="G603" i="1"/>
  <c r="K602" i="1"/>
  <c r="J602" i="1"/>
  <c r="I602" i="1"/>
  <c r="H602" i="1"/>
  <c r="G602" i="1"/>
  <c r="K601" i="1"/>
  <c r="J601" i="1"/>
  <c r="I601" i="1"/>
  <c r="H601" i="1"/>
  <c r="G601" i="1"/>
  <c r="K600" i="1"/>
  <c r="J600" i="1"/>
  <c r="I600" i="1"/>
  <c r="H600" i="1"/>
  <c r="G600" i="1"/>
  <c r="K599" i="1"/>
  <c r="J599" i="1"/>
  <c r="I599" i="1"/>
  <c r="H599" i="1"/>
  <c r="G599" i="1"/>
  <c r="K598" i="1"/>
  <c r="J598" i="1"/>
  <c r="I598" i="1"/>
  <c r="H598" i="1"/>
  <c r="G598" i="1"/>
  <c r="K597" i="1"/>
  <c r="J597" i="1"/>
  <c r="I597" i="1"/>
  <c r="H597" i="1"/>
  <c r="G597" i="1"/>
  <c r="K596" i="1"/>
  <c r="J596" i="1"/>
  <c r="I596" i="1"/>
  <c r="H596" i="1"/>
  <c r="G596" i="1"/>
  <c r="K595" i="1"/>
  <c r="J595" i="1"/>
  <c r="I595" i="1"/>
  <c r="H595" i="1"/>
  <c r="G595" i="1"/>
  <c r="K594" i="1"/>
  <c r="J594" i="1"/>
  <c r="I594" i="1"/>
  <c r="H594" i="1"/>
  <c r="G594" i="1"/>
  <c r="K593" i="1"/>
  <c r="J593" i="1"/>
  <c r="I593" i="1"/>
  <c r="H593" i="1"/>
  <c r="G593" i="1"/>
  <c r="K592" i="1"/>
  <c r="J592" i="1"/>
  <c r="I592" i="1"/>
  <c r="H592" i="1"/>
  <c r="G592" i="1"/>
  <c r="K591" i="1"/>
  <c r="J591" i="1"/>
  <c r="I591" i="1"/>
  <c r="H591" i="1"/>
  <c r="G591" i="1"/>
  <c r="K590" i="1"/>
  <c r="J590" i="1"/>
  <c r="I590" i="1"/>
  <c r="H590" i="1"/>
  <c r="G590" i="1"/>
  <c r="K589" i="1"/>
  <c r="J589" i="1"/>
  <c r="I589" i="1"/>
  <c r="H589" i="1"/>
  <c r="G589" i="1"/>
  <c r="K588" i="1"/>
  <c r="J588" i="1"/>
  <c r="I588" i="1"/>
  <c r="H588" i="1"/>
  <c r="G588" i="1"/>
  <c r="K587" i="1"/>
  <c r="J587" i="1"/>
  <c r="I587" i="1"/>
  <c r="H587" i="1"/>
  <c r="G587" i="1"/>
  <c r="K586" i="1"/>
  <c r="J586" i="1"/>
  <c r="I586" i="1"/>
  <c r="H586" i="1"/>
  <c r="G586" i="1"/>
  <c r="K585" i="1"/>
  <c r="J585" i="1"/>
  <c r="I585" i="1"/>
  <c r="H585" i="1"/>
  <c r="G585" i="1"/>
  <c r="K584" i="1"/>
  <c r="J584" i="1"/>
  <c r="I584" i="1"/>
  <c r="H584" i="1"/>
  <c r="G584" i="1"/>
  <c r="K583" i="1"/>
  <c r="J583" i="1"/>
  <c r="I583" i="1"/>
  <c r="H583" i="1"/>
  <c r="G583" i="1"/>
  <c r="K582" i="1"/>
  <c r="J582" i="1"/>
  <c r="I582" i="1"/>
  <c r="H582" i="1"/>
  <c r="G582" i="1"/>
  <c r="K581" i="1"/>
  <c r="J581" i="1"/>
  <c r="I581" i="1"/>
  <c r="H581" i="1"/>
  <c r="G581" i="1"/>
  <c r="K580" i="1"/>
  <c r="J580" i="1"/>
  <c r="I580" i="1"/>
  <c r="H580" i="1"/>
  <c r="G580" i="1"/>
  <c r="K579" i="1"/>
  <c r="J579" i="1"/>
  <c r="I579" i="1"/>
  <c r="H579" i="1"/>
  <c r="G579" i="1"/>
  <c r="K578" i="1"/>
  <c r="J578" i="1"/>
  <c r="I578" i="1"/>
  <c r="H578" i="1"/>
  <c r="G578" i="1"/>
  <c r="K577" i="1"/>
  <c r="J577" i="1"/>
  <c r="I577" i="1"/>
  <c r="H577" i="1"/>
  <c r="G577" i="1"/>
  <c r="K576" i="1"/>
  <c r="J576" i="1"/>
  <c r="I576" i="1"/>
  <c r="H576" i="1"/>
  <c r="G576" i="1"/>
  <c r="K575" i="1"/>
  <c r="J575" i="1"/>
  <c r="I575" i="1"/>
  <c r="H575" i="1"/>
  <c r="G575" i="1"/>
  <c r="K574" i="1"/>
  <c r="J574" i="1"/>
  <c r="I574" i="1"/>
  <c r="H574" i="1"/>
  <c r="G574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566" i="1"/>
  <c r="J566" i="1"/>
  <c r="I566" i="1"/>
  <c r="H566" i="1"/>
  <c r="G566" i="1"/>
  <c r="K565" i="1"/>
  <c r="J565" i="1"/>
  <c r="I565" i="1"/>
  <c r="H565" i="1"/>
  <c r="G565" i="1"/>
  <c r="K564" i="1"/>
  <c r="J564" i="1"/>
  <c r="I564" i="1"/>
  <c r="H564" i="1"/>
  <c r="G564" i="1"/>
  <c r="K563" i="1"/>
  <c r="J563" i="1"/>
  <c r="I563" i="1"/>
  <c r="H563" i="1"/>
  <c r="G563" i="1"/>
  <c r="K562" i="1"/>
  <c r="J562" i="1"/>
  <c r="I562" i="1"/>
  <c r="H562" i="1"/>
  <c r="G562" i="1"/>
  <c r="K561" i="1"/>
  <c r="J561" i="1"/>
  <c r="I561" i="1"/>
  <c r="H561" i="1"/>
  <c r="G561" i="1"/>
  <c r="K560" i="1"/>
  <c r="J560" i="1"/>
  <c r="I560" i="1"/>
  <c r="H560" i="1"/>
  <c r="G560" i="1"/>
  <c r="K559" i="1"/>
  <c r="J559" i="1"/>
  <c r="I559" i="1"/>
  <c r="H559" i="1"/>
  <c r="G559" i="1"/>
  <c r="K558" i="1"/>
  <c r="J558" i="1"/>
  <c r="I558" i="1"/>
  <c r="H558" i="1"/>
  <c r="G558" i="1"/>
  <c r="K557" i="1"/>
  <c r="J557" i="1"/>
  <c r="I557" i="1"/>
  <c r="H557" i="1"/>
  <c r="G557" i="1"/>
  <c r="K556" i="1"/>
  <c r="J556" i="1"/>
  <c r="I556" i="1"/>
  <c r="H556" i="1"/>
  <c r="G556" i="1"/>
  <c r="K555" i="1"/>
  <c r="J555" i="1"/>
  <c r="I555" i="1"/>
  <c r="H555" i="1"/>
  <c r="G555" i="1"/>
  <c r="K554" i="1"/>
  <c r="J554" i="1"/>
  <c r="I554" i="1"/>
  <c r="H554" i="1"/>
  <c r="G554" i="1"/>
  <c r="K553" i="1"/>
  <c r="J553" i="1"/>
  <c r="I553" i="1"/>
  <c r="H553" i="1"/>
  <c r="G553" i="1"/>
  <c r="K552" i="1"/>
  <c r="J552" i="1"/>
  <c r="I552" i="1"/>
  <c r="H552" i="1"/>
  <c r="G552" i="1"/>
  <c r="K551" i="1"/>
  <c r="J551" i="1"/>
  <c r="I551" i="1"/>
  <c r="H551" i="1"/>
  <c r="G551" i="1"/>
  <c r="K550" i="1"/>
  <c r="J550" i="1"/>
  <c r="I550" i="1"/>
  <c r="H550" i="1"/>
  <c r="G550" i="1"/>
  <c r="K549" i="1"/>
  <c r="J549" i="1"/>
  <c r="I549" i="1"/>
  <c r="H549" i="1"/>
  <c r="G549" i="1"/>
  <c r="K548" i="1"/>
  <c r="J548" i="1"/>
  <c r="I548" i="1"/>
  <c r="H548" i="1"/>
  <c r="G548" i="1"/>
  <c r="K547" i="1"/>
  <c r="J547" i="1"/>
  <c r="I547" i="1"/>
  <c r="H547" i="1"/>
  <c r="G547" i="1"/>
  <c r="K546" i="1"/>
  <c r="J546" i="1"/>
  <c r="I546" i="1"/>
  <c r="H546" i="1"/>
  <c r="G546" i="1"/>
  <c r="K545" i="1"/>
  <c r="J545" i="1"/>
  <c r="I545" i="1"/>
  <c r="H545" i="1"/>
  <c r="G545" i="1"/>
  <c r="K544" i="1"/>
  <c r="J544" i="1"/>
  <c r="I544" i="1"/>
  <c r="H544" i="1"/>
  <c r="G544" i="1"/>
  <c r="K543" i="1"/>
  <c r="J543" i="1"/>
  <c r="I543" i="1"/>
  <c r="H543" i="1"/>
  <c r="G543" i="1"/>
  <c r="K542" i="1"/>
  <c r="J542" i="1"/>
  <c r="I542" i="1"/>
  <c r="H542" i="1"/>
  <c r="G542" i="1"/>
  <c r="K541" i="1"/>
  <c r="J541" i="1"/>
  <c r="I541" i="1"/>
  <c r="H541" i="1"/>
  <c r="G541" i="1"/>
  <c r="K540" i="1"/>
  <c r="J540" i="1"/>
  <c r="I540" i="1"/>
  <c r="H540" i="1"/>
  <c r="G540" i="1"/>
  <c r="K539" i="1"/>
  <c r="J539" i="1"/>
  <c r="I539" i="1"/>
  <c r="H539" i="1"/>
  <c r="G539" i="1"/>
  <c r="K538" i="1"/>
  <c r="J538" i="1"/>
  <c r="I538" i="1"/>
  <c r="H538" i="1"/>
  <c r="G538" i="1"/>
  <c r="K537" i="1"/>
  <c r="J537" i="1"/>
  <c r="I537" i="1"/>
  <c r="H537" i="1"/>
  <c r="G537" i="1"/>
  <c r="K536" i="1"/>
  <c r="J536" i="1"/>
  <c r="I536" i="1"/>
  <c r="H536" i="1"/>
  <c r="G536" i="1"/>
  <c r="K535" i="1"/>
  <c r="J535" i="1"/>
  <c r="I535" i="1"/>
  <c r="H535" i="1"/>
  <c r="G535" i="1"/>
  <c r="K534" i="1"/>
  <c r="J534" i="1"/>
  <c r="I534" i="1"/>
  <c r="H534" i="1"/>
  <c r="G534" i="1"/>
  <c r="K533" i="1"/>
  <c r="J533" i="1"/>
  <c r="I533" i="1"/>
  <c r="H533" i="1"/>
  <c r="G533" i="1"/>
  <c r="K532" i="1"/>
  <c r="J532" i="1"/>
  <c r="I532" i="1"/>
  <c r="H532" i="1"/>
  <c r="G532" i="1"/>
  <c r="K531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8" i="1"/>
  <c r="J528" i="1"/>
  <c r="I528" i="1"/>
  <c r="H528" i="1"/>
  <c r="G528" i="1"/>
  <c r="K527" i="1"/>
  <c r="J527" i="1"/>
  <c r="I527" i="1"/>
  <c r="H527" i="1"/>
  <c r="G527" i="1"/>
  <c r="K526" i="1"/>
  <c r="J526" i="1"/>
  <c r="I526" i="1"/>
  <c r="H526" i="1"/>
  <c r="G526" i="1"/>
  <c r="K525" i="1"/>
  <c r="J525" i="1"/>
  <c r="I525" i="1"/>
  <c r="H525" i="1"/>
  <c r="G525" i="1"/>
  <c r="K524" i="1"/>
  <c r="J524" i="1"/>
  <c r="I524" i="1"/>
  <c r="H524" i="1"/>
  <c r="G524" i="1"/>
  <c r="K523" i="1"/>
  <c r="J523" i="1"/>
  <c r="I523" i="1"/>
  <c r="H523" i="1"/>
  <c r="G523" i="1"/>
  <c r="K522" i="1"/>
  <c r="J522" i="1"/>
  <c r="I522" i="1"/>
  <c r="H522" i="1"/>
  <c r="G522" i="1"/>
  <c r="K521" i="1"/>
  <c r="J521" i="1"/>
  <c r="I521" i="1"/>
  <c r="H521" i="1"/>
  <c r="G521" i="1"/>
  <c r="K520" i="1"/>
  <c r="J520" i="1"/>
  <c r="I520" i="1"/>
  <c r="H520" i="1"/>
  <c r="G520" i="1"/>
  <c r="K519" i="1"/>
  <c r="J519" i="1"/>
  <c r="I519" i="1"/>
  <c r="H519" i="1"/>
  <c r="G519" i="1"/>
  <c r="K518" i="1"/>
  <c r="J518" i="1"/>
  <c r="I518" i="1"/>
  <c r="H518" i="1"/>
  <c r="G518" i="1"/>
  <c r="K517" i="1"/>
  <c r="J517" i="1"/>
  <c r="I517" i="1"/>
  <c r="H517" i="1"/>
  <c r="G517" i="1"/>
  <c r="K516" i="1"/>
  <c r="J516" i="1"/>
  <c r="I516" i="1"/>
  <c r="H516" i="1"/>
  <c r="G516" i="1"/>
  <c r="K515" i="1"/>
  <c r="J515" i="1"/>
  <c r="I515" i="1"/>
  <c r="H515" i="1"/>
  <c r="G515" i="1"/>
  <c r="K514" i="1"/>
  <c r="J514" i="1"/>
  <c r="I514" i="1"/>
  <c r="H514" i="1"/>
  <c r="G514" i="1"/>
  <c r="K513" i="1"/>
  <c r="J513" i="1"/>
  <c r="I513" i="1"/>
  <c r="H513" i="1"/>
  <c r="G513" i="1"/>
  <c r="K512" i="1"/>
  <c r="J512" i="1"/>
  <c r="I512" i="1"/>
  <c r="H512" i="1"/>
  <c r="G512" i="1"/>
  <c r="K511" i="1"/>
  <c r="J511" i="1"/>
  <c r="I511" i="1"/>
  <c r="H511" i="1"/>
  <c r="G511" i="1"/>
  <c r="K510" i="1"/>
  <c r="J510" i="1"/>
  <c r="I510" i="1"/>
  <c r="H510" i="1"/>
  <c r="G510" i="1"/>
  <c r="K509" i="1"/>
  <c r="J509" i="1"/>
  <c r="I509" i="1"/>
  <c r="H509" i="1"/>
  <c r="G509" i="1"/>
  <c r="K508" i="1"/>
  <c r="J508" i="1"/>
  <c r="I508" i="1"/>
  <c r="H508" i="1"/>
  <c r="G508" i="1"/>
  <c r="K507" i="1"/>
  <c r="J507" i="1"/>
  <c r="I507" i="1"/>
  <c r="H507" i="1"/>
  <c r="G507" i="1"/>
  <c r="K506" i="1"/>
  <c r="J506" i="1"/>
  <c r="I506" i="1"/>
  <c r="H506" i="1"/>
  <c r="G506" i="1"/>
  <c r="K505" i="1"/>
  <c r="J505" i="1"/>
  <c r="I505" i="1"/>
  <c r="H505" i="1"/>
  <c r="G505" i="1"/>
  <c r="K504" i="1"/>
  <c r="J504" i="1"/>
  <c r="I504" i="1"/>
  <c r="H504" i="1"/>
  <c r="G504" i="1"/>
  <c r="K503" i="1"/>
  <c r="J503" i="1"/>
  <c r="I503" i="1"/>
  <c r="H503" i="1"/>
  <c r="G503" i="1"/>
  <c r="K502" i="1"/>
  <c r="J502" i="1"/>
  <c r="I502" i="1"/>
  <c r="H502" i="1"/>
  <c r="G502" i="1"/>
  <c r="K501" i="1"/>
  <c r="J501" i="1"/>
  <c r="I501" i="1"/>
  <c r="H501" i="1"/>
  <c r="G501" i="1"/>
  <c r="K500" i="1"/>
  <c r="J500" i="1"/>
  <c r="I500" i="1"/>
  <c r="H500" i="1"/>
  <c r="G500" i="1"/>
  <c r="K499" i="1"/>
  <c r="J499" i="1"/>
  <c r="I499" i="1"/>
  <c r="H499" i="1"/>
  <c r="G499" i="1"/>
  <c r="K498" i="1"/>
  <c r="J498" i="1"/>
  <c r="I498" i="1"/>
  <c r="H498" i="1"/>
  <c r="G498" i="1"/>
  <c r="K497" i="1"/>
  <c r="J497" i="1"/>
  <c r="I497" i="1"/>
  <c r="H497" i="1"/>
  <c r="G497" i="1"/>
  <c r="K496" i="1"/>
  <c r="J496" i="1"/>
  <c r="I496" i="1"/>
  <c r="H496" i="1"/>
  <c r="G496" i="1"/>
  <c r="K495" i="1"/>
  <c r="J495" i="1"/>
  <c r="I495" i="1"/>
  <c r="H495" i="1"/>
  <c r="G495" i="1"/>
  <c r="K494" i="1"/>
  <c r="J494" i="1"/>
  <c r="I494" i="1"/>
  <c r="H494" i="1"/>
  <c r="G494" i="1"/>
  <c r="K493" i="1"/>
  <c r="J493" i="1"/>
  <c r="I493" i="1"/>
  <c r="H493" i="1"/>
  <c r="G493" i="1"/>
  <c r="K492" i="1"/>
  <c r="J492" i="1"/>
  <c r="I492" i="1"/>
  <c r="H492" i="1"/>
  <c r="G492" i="1"/>
  <c r="K491" i="1"/>
  <c r="J491" i="1"/>
  <c r="I491" i="1"/>
  <c r="H491" i="1"/>
  <c r="G491" i="1"/>
  <c r="K490" i="1"/>
  <c r="J490" i="1"/>
  <c r="I490" i="1"/>
  <c r="H490" i="1"/>
  <c r="G490" i="1"/>
  <c r="K489" i="1"/>
  <c r="J489" i="1"/>
  <c r="I489" i="1"/>
  <c r="H489" i="1"/>
  <c r="G489" i="1"/>
  <c r="K488" i="1"/>
  <c r="J488" i="1"/>
  <c r="I488" i="1"/>
  <c r="H488" i="1"/>
  <c r="G488" i="1"/>
  <c r="K487" i="1"/>
  <c r="J487" i="1"/>
  <c r="I487" i="1"/>
  <c r="H487" i="1"/>
  <c r="G487" i="1"/>
  <c r="K486" i="1"/>
  <c r="J486" i="1"/>
  <c r="I486" i="1"/>
  <c r="H486" i="1"/>
  <c r="G486" i="1"/>
  <c r="K485" i="1"/>
  <c r="J485" i="1"/>
  <c r="I485" i="1"/>
  <c r="H485" i="1"/>
  <c r="G485" i="1"/>
  <c r="K484" i="1"/>
  <c r="J484" i="1"/>
  <c r="I484" i="1"/>
  <c r="H484" i="1"/>
  <c r="G484" i="1"/>
  <c r="K483" i="1"/>
  <c r="J483" i="1"/>
  <c r="I483" i="1"/>
  <c r="H483" i="1"/>
  <c r="G483" i="1"/>
  <c r="K482" i="1"/>
  <c r="J482" i="1"/>
  <c r="I482" i="1"/>
  <c r="H482" i="1"/>
  <c r="G482" i="1"/>
  <c r="K481" i="1"/>
  <c r="J481" i="1"/>
  <c r="I481" i="1"/>
  <c r="H481" i="1"/>
  <c r="G481" i="1"/>
  <c r="K480" i="1"/>
  <c r="J480" i="1"/>
  <c r="I480" i="1"/>
  <c r="H480" i="1"/>
  <c r="G480" i="1"/>
  <c r="K479" i="1"/>
  <c r="J479" i="1"/>
  <c r="I479" i="1"/>
  <c r="H479" i="1"/>
  <c r="G479" i="1"/>
  <c r="K478" i="1"/>
  <c r="J478" i="1"/>
  <c r="I478" i="1"/>
  <c r="H478" i="1"/>
  <c r="G478" i="1"/>
  <c r="K477" i="1"/>
  <c r="J477" i="1"/>
  <c r="I477" i="1"/>
  <c r="H477" i="1"/>
  <c r="G477" i="1"/>
  <c r="K476" i="1"/>
  <c r="J476" i="1"/>
  <c r="I476" i="1"/>
  <c r="H476" i="1"/>
  <c r="G476" i="1"/>
  <c r="K475" i="1"/>
  <c r="J475" i="1"/>
  <c r="I475" i="1"/>
  <c r="H475" i="1"/>
  <c r="G475" i="1"/>
  <c r="K474" i="1"/>
  <c r="J474" i="1"/>
  <c r="I474" i="1"/>
  <c r="H474" i="1"/>
  <c r="G474" i="1"/>
  <c r="K473" i="1"/>
  <c r="J473" i="1"/>
  <c r="I473" i="1"/>
  <c r="H473" i="1"/>
  <c r="G473" i="1"/>
  <c r="K472" i="1"/>
  <c r="J472" i="1"/>
  <c r="I472" i="1"/>
  <c r="H472" i="1"/>
  <c r="G472" i="1"/>
  <c r="K471" i="1"/>
  <c r="J471" i="1"/>
  <c r="I471" i="1"/>
  <c r="H471" i="1"/>
  <c r="G471" i="1"/>
  <c r="K470" i="1"/>
  <c r="J470" i="1"/>
  <c r="I470" i="1"/>
  <c r="H470" i="1"/>
  <c r="G470" i="1"/>
  <c r="K469" i="1"/>
  <c r="J469" i="1"/>
  <c r="I469" i="1"/>
  <c r="H469" i="1"/>
  <c r="G469" i="1"/>
  <c r="K468" i="1"/>
  <c r="J468" i="1"/>
  <c r="I468" i="1"/>
  <c r="H468" i="1"/>
  <c r="G468" i="1"/>
  <c r="K467" i="1"/>
  <c r="J467" i="1"/>
  <c r="I467" i="1"/>
  <c r="H467" i="1"/>
  <c r="G467" i="1"/>
  <c r="K466" i="1"/>
  <c r="J466" i="1"/>
  <c r="I466" i="1"/>
  <c r="H466" i="1"/>
  <c r="G466" i="1"/>
  <c r="K465" i="1"/>
  <c r="J465" i="1"/>
  <c r="I465" i="1"/>
  <c r="H465" i="1"/>
  <c r="G465" i="1"/>
  <c r="K464" i="1"/>
  <c r="J464" i="1"/>
  <c r="I464" i="1"/>
  <c r="H464" i="1"/>
  <c r="G464" i="1"/>
  <c r="K463" i="1"/>
  <c r="J463" i="1"/>
  <c r="I463" i="1"/>
  <c r="H463" i="1"/>
  <c r="G463" i="1"/>
  <c r="K462" i="1"/>
  <c r="J462" i="1"/>
  <c r="I462" i="1"/>
  <c r="H462" i="1"/>
  <c r="G462" i="1"/>
  <c r="K461" i="1"/>
  <c r="J461" i="1"/>
  <c r="I461" i="1"/>
  <c r="H461" i="1"/>
  <c r="G461" i="1"/>
  <c r="K460" i="1"/>
  <c r="J460" i="1"/>
  <c r="I460" i="1"/>
  <c r="H460" i="1"/>
  <c r="G460" i="1"/>
  <c r="K459" i="1"/>
  <c r="J459" i="1"/>
  <c r="I459" i="1"/>
  <c r="H459" i="1"/>
  <c r="G459" i="1"/>
  <c r="K458" i="1"/>
  <c r="J458" i="1"/>
  <c r="I458" i="1"/>
  <c r="H458" i="1"/>
  <c r="G458" i="1"/>
  <c r="K457" i="1"/>
  <c r="J457" i="1"/>
  <c r="I457" i="1"/>
  <c r="H457" i="1"/>
  <c r="G457" i="1"/>
  <c r="K456" i="1"/>
  <c r="J456" i="1"/>
  <c r="I456" i="1"/>
  <c r="H456" i="1"/>
  <c r="G456" i="1"/>
  <c r="K455" i="1"/>
  <c r="J455" i="1"/>
  <c r="I455" i="1"/>
  <c r="H455" i="1"/>
  <c r="G455" i="1"/>
  <c r="K454" i="1"/>
  <c r="J454" i="1"/>
  <c r="I454" i="1"/>
  <c r="H454" i="1"/>
  <c r="G454" i="1"/>
  <c r="K453" i="1"/>
  <c r="J453" i="1"/>
  <c r="I453" i="1"/>
  <c r="H453" i="1"/>
  <c r="G453" i="1"/>
  <c r="K452" i="1"/>
  <c r="J452" i="1"/>
  <c r="I452" i="1"/>
  <c r="H452" i="1"/>
  <c r="G452" i="1"/>
  <c r="K451" i="1"/>
  <c r="J451" i="1"/>
  <c r="I451" i="1"/>
  <c r="H451" i="1"/>
  <c r="G451" i="1"/>
  <c r="K450" i="1"/>
  <c r="J450" i="1"/>
  <c r="I450" i="1"/>
  <c r="H450" i="1"/>
  <c r="G450" i="1"/>
  <c r="K449" i="1"/>
  <c r="J449" i="1"/>
  <c r="I449" i="1"/>
  <c r="H449" i="1"/>
  <c r="G449" i="1"/>
  <c r="K448" i="1"/>
  <c r="J448" i="1"/>
  <c r="I448" i="1"/>
  <c r="H448" i="1"/>
  <c r="G448" i="1"/>
  <c r="K447" i="1"/>
  <c r="J447" i="1"/>
  <c r="I447" i="1"/>
  <c r="H447" i="1"/>
  <c r="G447" i="1"/>
  <c r="K446" i="1"/>
  <c r="J446" i="1"/>
  <c r="I446" i="1"/>
  <c r="H446" i="1"/>
  <c r="G446" i="1"/>
  <c r="K445" i="1"/>
  <c r="J445" i="1"/>
  <c r="I445" i="1"/>
  <c r="H445" i="1"/>
  <c r="G445" i="1"/>
  <c r="K444" i="1"/>
  <c r="J444" i="1"/>
  <c r="I444" i="1"/>
  <c r="H444" i="1"/>
  <c r="G444" i="1"/>
  <c r="K443" i="1"/>
  <c r="J443" i="1"/>
  <c r="I443" i="1"/>
  <c r="H443" i="1"/>
  <c r="G443" i="1"/>
  <c r="K442" i="1"/>
  <c r="J442" i="1"/>
  <c r="I442" i="1"/>
  <c r="H442" i="1"/>
  <c r="G442" i="1"/>
  <c r="K441" i="1"/>
  <c r="J441" i="1"/>
  <c r="I441" i="1"/>
  <c r="H441" i="1"/>
  <c r="G441" i="1"/>
  <c r="K440" i="1"/>
  <c r="J440" i="1"/>
  <c r="I440" i="1"/>
  <c r="H440" i="1"/>
  <c r="G440" i="1"/>
  <c r="K439" i="1"/>
  <c r="J439" i="1"/>
  <c r="I439" i="1"/>
  <c r="H439" i="1"/>
  <c r="G439" i="1"/>
  <c r="K438" i="1"/>
  <c r="J438" i="1"/>
  <c r="I438" i="1"/>
  <c r="H438" i="1"/>
  <c r="G438" i="1"/>
  <c r="K437" i="1"/>
  <c r="J437" i="1"/>
  <c r="I437" i="1"/>
  <c r="H437" i="1"/>
  <c r="G437" i="1"/>
  <c r="K436" i="1"/>
  <c r="J436" i="1"/>
  <c r="I436" i="1"/>
  <c r="H436" i="1"/>
  <c r="G436" i="1"/>
  <c r="K435" i="1"/>
  <c r="J435" i="1"/>
  <c r="I435" i="1"/>
  <c r="H435" i="1"/>
  <c r="G435" i="1"/>
  <c r="K434" i="1"/>
  <c r="J434" i="1"/>
  <c r="I434" i="1"/>
  <c r="H434" i="1"/>
  <c r="G434" i="1"/>
  <c r="K433" i="1"/>
  <c r="J433" i="1"/>
  <c r="I433" i="1"/>
  <c r="H433" i="1"/>
  <c r="G433" i="1"/>
  <c r="K432" i="1"/>
  <c r="J432" i="1"/>
  <c r="I432" i="1"/>
  <c r="H432" i="1"/>
  <c r="G432" i="1"/>
  <c r="K431" i="1"/>
  <c r="J431" i="1"/>
  <c r="I431" i="1"/>
  <c r="H431" i="1"/>
  <c r="G431" i="1"/>
  <c r="K430" i="1"/>
  <c r="J430" i="1"/>
  <c r="I430" i="1"/>
  <c r="H430" i="1"/>
  <c r="G430" i="1"/>
  <c r="K429" i="1"/>
  <c r="J429" i="1"/>
  <c r="I429" i="1"/>
  <c r="H429" i="1"/>
  <c r="G429" i="1"/>
  <c r="K428" i="1"/>
  <c r="J428" i="1"/>
  <c r="I428" i="1"/>
  <c r="H428" i="1"/>
  <c r="G428" i="1"/>
  <c r="K427" i="1"/>
  <c r="J427" i="1"/>
  <c r="I427" i="1"/>
  <c r="H427" i="1"/>
  <c r="G427" i="1"/>
  <c r="K426" i="1"/>
  <c r="J426" i="1"/>
  <c r="I426" i="1"/>
  <c r="H426" i="1"/>
  <c r="G426" i="1"/>
  <c r="K425" i="1"/>
  <c r="J425" i="1"/>
  <c r="I425" i="1"/>
  <c r="H425" i="1"/>
  <c r="G425" i="1"/>
  <c r="K424" i="1"/>
  <c r="J424" i="1"/>
  <c r="I424" i="1"/>
  <c r="H424" i="1"/>
  <c r="G424" i="1"/>
  <c r="K423" i="1"/>
  <c r="J423" i="1"/>
  <c r="I423" i="1"/>
  <c r="H423" i="1"/>
  <c r="G423" i="1"/>
  <c r="K422" i="1"/>
  <c r="J422" i="1"/>
  <c r="I422" i="1"/>
  <c r="H422" i="1"/>
  <c r="G422" i="1"/>
  <c r="K421" i="1"/>
  <c r="J421" i="1"/>
  <c r="I421" i="1"/>
  <c r="H421" i="1"/>
  <c r="G421" i="1"/>
  <c r="K420" i="1"/>
  <c r="J420" i="1"/>
  <c r="I420" i="1"/>
  <c r="H420" i="1"/>
  <c r="G420" i="1"/>
  <c r="K419" i="1"/>
  <c r="J419" i="1"/>
  <c r="I419" i="1"/>
  <c r="H419" i="1"/>
  <c r="G419" i="1"/>
  <c r="K418" i="1"/>
  <c r="J418" i="1"/>
  <c r="I418" i="1"/>
  <c r="H418" i="1"/>
  <c r="G418" i="1"/>
  <c r="K417" i="1"/>
  <c r="J417" i="1"/>
  <c r="I417" i="1"/>
  <c r="H417" i="1"/>
  <c r="G417" i="1"/>
  <c r="K416" i="1"/>
  <c r="J416" i="1"/>
  <c r="I416" i="1"/>
  <c r="H416" i="1"/>
  <c r="G416" i="1"/>
  <c r="K415" i="1"/>
  <c r="J415" i="1"/>
  <c r="I415" i="1"/>
  <c r="H415" i="1"/>
  <c r="G415" i="1"/>
  <c r="K414" i="1"/>
  <c r="J414" i="1"/>
  <c r="I414" i="1"/>
  <c r="H414" i="1"/>
  <c r="G414" i="1"/>
  <c r="K413" i="1"/>
  <c r="J413" i="1"/>
  <c r="I413" i="1"/>
  <c r="H413" i="1"/>
  <c r="G413" i="1"/>
  <c r="K412" i="1"/>
  <c r="J412" i="1"/>
  <c r="I412" i="1"/>
  <c r="H412" i="1"/>
  <c r="G412" i="1"/>
  <c r="K411" i="1"/>
  <c r="J411" i="1"/>
  <c r="I411" i="1"/>
  <c r="H411" i="1"/>
  <c r="G411" i="1"/>
  <c r="K410" i="1"/>
  <c r="J410" i="1"/>
  <c r="I410" i="1"/>
  <c r="H410" i="1"/>
  <c r="G410" i="1"/>
  <c r="K409" i="1"/>
  <c r="J409" i="1"/>
  <c r="I409" i="1"/>
  <c r="H409" i="1"/>
  <c r="G409" i="1"/>
  <c r="K408" i="1"/>
  <c r="J408" i="1"/>
  <c r="I408" i="1"/>
  <c r="H408" i="1"/>
  <c r="G408" i="1"/>
  <c r="K407" i="1"/>
  <c r="J407" i="1"/>
  <c r="I407" i="1"/>
  <c r="H407" i="1"/>
  <c r="G407" i="1"/>
  <c r="K406" i="1"/>
  <c r="J406" i="1"/>
  <c r="I406" i="1"/>
  <c r="H406" i="1"/>
  <c r="G406" i="1"/>
  <c r="K405" i="1"/>
  <c r="J405" i="1"/>
  <c r="I405" i="1"/>
  <c r="H405" i="1"/>
  <c r="G405" i="1"/>
  <c r="K404" i="1"/>
  <c r="J404" i="1"/>
  <c r="I404" i="1"/>
  <c r="H404" i="1"/>
  <c r="G404" i="1"/>
  <c r="K403" i="1"/>
  <c r="J403" i="1"/>
  <c r="I403" i="1"/>
  <c r="H403" i="1"/>
  <c r="G403" i="1"/>
  <c r="K402" i="1"/>
  <c r="J402" i="1"/>
  <c r="I402" i="1"/>
  <c r="H402" i="1"/>
  <c r="G402" i="1"/>
  <c r="K401" i="1"/>
  <c r="J401" i="1"/>
  <c r="I401" i="1"/>
  <c r="H401" i="1"/>
  <c r="G401" i="1"/>
  <c r="K400" i="1"/>
  <c r="J400" i="1"/>
  <c r="I400" i="1"/>
  <c r="H400" i="1"/>
  <c r="G400" i="1"/>
  <c r="K399" i="1"/>
  <c r="J399" i="1"/>
  <c r="I399" i="1"/>
  <c r="H399" i="1"/>
  <c r="G399" i="1"/>
  <c r="K398" i="1"/>
  <c r="J398" i="1"/>
  <c r="I398" i="1"/>
  <c r="H398" i="1"/>
  <c r="G398" i="1"/>
  <c r="K397" i="1"/>
  <c r="J397" i="1"/>
  <c r="I397" i="1"/>
  <c r="H397" i="1"/>
  <c r="G397" i="1"/>
  <c r="K396" i="1"/>
  <c r="J396" i="1"/>
  <c r="I396" i="1"/>
  <c r="H396" i="1"/>
  <c r="G396" i="1"/>
  <c r="K395" i="1"/>
  <c r="J395" i="1"/>
  <c r="I395" i="1"/>
  <c r="H395" i="1"/>
  <c r="G395" i="1"/>
  <c r="K394" i="1"/>
  <c r="J394" i="1"/>
  <c r="I394" i="1"/>
  <c r="H394" i="1"/>
  <c r="G394" i="1"/>
  <c r="K393" i="1"/>
  <c r="J393" i="1"/>
  <c r="I393" i="1"/>
  <c r="H393" i="1"/>
  <c r="G393" i="1"/>
  <c r="K392" i="1"/>
  <c r="J392" i="1"/>
  <c r="I392" i="1"/>
  <c r="H392" i="1"/>
  <c r="G392" i="1"/>
  <c r="K391" i="1"/>
  <c r="J391" i="1"/>
  <c r="I391" i="1"/>
  <c r="H391" i="1"/>
  <c r="G391" i="1"/>
  <c r="K390" i="1"/>
  <c r="J390" i="1"/>
  <c r="I390" i="1"/>
  <c r="H390" i="1"/>
  <c r="G390" i="1"/>
  <c r="K389" i="1"/>
  <c r="J389" i="1"/>
  <c r="I389" i="1"/>
  <c r="H389" i="1"/>
  <c r="G389" i="1"/>
  <c r="K388" i="1"/>
  <c r="J388" i="1"/>
  <c r="I388" i="1"/>
  <c r="H388" i="1"/>
  <c r="G388" i="1"/>
  <c r="K387" i="1"/>
  <c r="J387" i="1"/>
  <c r="I387" i="1"/>
  <c r="H387" i="1"/>
  <c r="G387" i="1"/>
  <c r="K386" i="1"/>
  <c r="J386" i="1"/>
  <c r="I386" i="1"/>
  <c r="H386" i="1"/>
  <c r="G386" i="1"/>
  <c r="K385" i="1"/>
  <c r="J385" i="1"/>
  <c r="I385" i="1"/>
  <c r="H385" i="1"/>
  <c r="G385" i="1"/>
  <c r="K384" i="1"/>
  <c r="J384" i="1"/>
  <c r="I384" i="1"/>
  <c r="H384" i="1"/>
  <c r="G384" i="1"/>
  <c r="K383" i="1"/>
  <c r="J383" i="1"/>
  <c r="I383" i="1"/>
  <c r="H383" i="1"/>
  <c r="G383" i="1"/>
  <c r="K382" i="1"/>
  <c r="J382" i="1"/>
  <c r="I382" i="1"/>
  <c r="H382" i="1"/>
  <c r="G382" i="1"/>
  <c r="K381" i="1"/>
  <c r="J381" i="1"/>
  <c r="I381" i="1"/>
  <c r="H381" i="1"/>
  <c r="G381" i="1"/>
  <c r="K380" i="1"/>
  <c r="J380" i="1"/>
  <c r="I380" i="1"/>
  <c r="H380" i="1"/>
  <c r="G380" i="1"/>
  <c r="K379" i="1"/>
  <c r="J379" i="1"/>
  <c r="I379" i="1"/>
  <c r="H379" i="1"/>
  <c r="G379" i="1"/>
  <c r="K378" i="1"/>
  <c r="J378" i="1"/>
  <c r="I378" i="1"/>
  <c r="H378" i="1"/>
  <c r="G378" i="1"/>
  <c r="K377" i="1"/>
  <c r="J377" i="1"/>
  <c r="I377" i="1"/>
  <c r="H377" i="1"/>
  <c r="G377" i="1"/>
  <c r="K376" i="1"/>
  <c r="J376" i="1"/>
  <c r="I376" i="1"/>
  <c r="H376" i="1"/>
  <c r="G376" i="1"/>
  <c r="K375" i="1"/>
  <c r="J375" i="1"/>
  <c r="I375" i="1"/>
  <c r="H375" i="1"/>
  <c r="G375" i="1"/>
  <c r="K374" i="1"/>
  <c r="J374" i="1"/>
  <c r="I374" i="1"/>
  <c r="H374" i="1"/>
  <c r="G374" i="1"/>
  <c r="K373" i="1"/>
  <c r="J373" i="1"/>
  <c r="I373" i="1"/>
  <c r="H373" i="1"/>
  <c r="G373" i="1"/>
  <c r="K372" i="1"/>
  <c r="J372" i="1"/>
  <c r="I372" i="1"/>
  <c r="H372" i="1"/>
  <c r="G372" i="1"/>
  <c r="K371" i="1"/>
  <c r="J371" i="1"/>
  <c r="I371" i="1"/>
  <c r="H371" i="1"/>
  <c r="G371" i="1"/>
  <c r="K370" i="1"/>
  <c r="J370" i="1"/>
  <c r="I370" i="1"/>
  <c r="H370" i="1"/>
  <c r="G370" i="1"/>
  <c r="K369" i="1"/>
  <c r="J369" i="1"/>
  <c r="I369" i="1"/>
  <c r="H369" i="1"/>
  <c r="G369" i="1"/>
  <c r="K368" i="1"/>
  <c r="J368" i="1"/>
  <c r="I368" i="1"/>
  <c r="H368" i="1"/>
  <c r="G368" i="1"/>
  <c r="K367" i="1"/>
  <c r="J367" i="1"/>
  <c r="I367" i="1"/>
  <c r="H367" i="1"/>
  <c r="G367" i="1"/>
  <c r="K366" i="1"/>
  <c r="J366" i="1"/>
  <c r="I366" i="1"/>
  <c r="H366" i="1"/>
  <c r="G366" i="1"/>
  <c r="K365" i="1"/>
  <c r="J365" i="1"/>
  <c r="I365" i="1"/>
  <c r="H365" i="1"/>
  <c r="G365" i="1"/>
  <c r="K364" i="1"/>
  <c r="J364" i="1"/>
  <c r="I364" i="1"/>
  <c r="H364" i="1"/>
  <c r="G364" i="1"/>
  <c r="K363" i="1"/>
  <c r="J363" i="1"/>
  <c r="I363" i="1"/>
  <c r="H363" i="1"/>
  <c r="G363" i="1"/>
  <c r="K362" i="1"/>
  <c r="J362" i="1"/>
  <c r="I362" i="1"/>
  <c r="H362" i="1"/>
  <c r="G362" i="1"/>
  <c r="K361" i="1"/>
  <c r="J361" i="1"/>
  <c r="I361" i="1"/>
  <c r="H361" i="1"/>
  <c r="G361" i="1"/>
  <c r="K360" i="1"/>
  <c r="J360" i="1"/>
  <c r="I360" i="1"/>
  <c r="H360" i="1"/>
  <c r="G360" i="1"/>
  <c r="K359" i="1"/>
  <c r="J359" i="1"/>
  <c r="I359" i="1"/>
  <c r="H359" i="1"/>
  <c r="G359" i="1"/>
  <c r="K358" i="1"/>
  <c r="J358" i="1"/>
  <c r="I358" i="1"/>
  <c r="H358" i="1"/>
  <c r="G358" i="1"/>
  <c r="K357" i="1"/>
  <c r="J357" i="1"/>
  <c r="I357" i="1"/>
  <c r="H357" i="1"/>
  <c r="G357" i="1"/>
  <c r="K356" i="1"/>
  <c r="J356" i="1"/>
  <c r="I356" i="1"/>
  <c r="H356" i="1"/>
  <c r="G356" i="1"/>
  <c r="K355" i="1"/>
  <c r="J355" i="1"/>
  <c r="I355" i="1"/>
  <c r="H355" i="1"/>
  <c r="G355" i="1"/>
  <c r="K354" i="1"/>
  <c r="J354" i="1"/>
  <c r="I354" i="1"/>
  <c r="H354" i="1"/>
  <c r="G354" i="1"/>
  <c r="K353" i="1"/>
  <c r="J353" i="1"/>
  <c r="I353" i="1"/>
  <c r="H353" i="1"/>
  <c r="G353" i="1"/>
  <c r="K352" i="1"/>
  <c r="J352" i="1"/>
  <c r="I352" i="1"/>
  <c r="H352" i="1"/>
  <c r="G352" i="1"/>
  <c r="K351" i="1"/>
  <c r="J351" i="1"/>
  <c r="I351" i="1"/>
  <c r="H351" i="1"/>
  <c r="G351" i="1"/>
  <c r="K350" i="1"/>
  <c r="J350" i="1"/>
  <c r="I350" i="1"/>
  <c r="H350" i="1"/>
  <c r="G350" i="1"/>
  <c r="K349" i="1"/>
  <c r="J349" i="1"/>
  <c r="I349" i="1"/>
  <c r="H349" i="1"/>
  <c r="G349" i="1"/>
  <c r="K348" i="1"/>
  <c r="J348" i="1"/>
  <c r="I348" i="1"/>
  <c r="H348" i="1"/>
  <c r="G348" i="1"/>
  <c r="K347" i="1"/>
  <c r="J347" i="1"/>
  <c r="I347" i="1"/>
  <c r="H347" i="1"/>
  <c r="G347" i="1"/>
  <c r="K346" i="1"/>
  <c r="J346" i="1"/>
  <c r="I346" i="1"/>
  <c r="H346" i="1"/>
  <c r="G346" i="1"/>
  <c r="K345" i="1"/>
  <c r="J345" i="1"/>
  <c r="I345" i="1"/>
  <c r="H345" i="1"/>
  <c r="G345" i="1"/>
  <c r="K344" i="1"/>
  <c r="J344" i="1"/>
  <c r="I344" i="1"/>
  <c r="H344" i="1"/>
  <c r="G344" i="1"/>
  <c r="K343" i="1"/>
  <c r="J343" i="1"/>
  <c r="I343" i="1"/>
  <c r="H343" i="1"/>
  <c r="G343" i="1"/>
  <c r="K342" i="1"/>
  <c r="J342" i="1"/>
  <c r="I342" i="1"/>
  <c r="H342" i="1"/>
  <c r="G342" i="1"/>
  <c r="K341" i="1"/>
  <c r="J341" i="1"/>
  <c r="I341" i="1"/>
  <c r="H341" i="1"/>
  <c r="G341" i="1"/>
  <c r="K340" i="1"/>
  <c r="J340" i="1"/>
  <c r="I340" i="1"/>
  <c r="H340" i="1"/>
  <c r="G340" i="1"/>
  <c r="K339" i="1"/>
  <c r="J339" i="1"/>
  <c r="I339" i="1"/>
  <c r="H339" i="1"/>
  <c r="G339" i="1"/>
  <c r="K338" i="1"/>
  <c r="J338" i="1"/>
  <c r="I338" i="1"/>
  <c r="H338" i="1"/>
  <c r="G338" i="1"/>
  <c r="K337" i="1"/>
  <c r="J337" i="1"/>
  <c r="I337" i="1"/>
  <c r="H337" i="1"/>
  <c r="G337" i="1"/>
  <c r="K336" i="1"/>
  <c r="J336" i="1"/>
  <c r="I336" i="1"/>
  <c r="H336" i="1"/>
  <c r="G336" i="1"/>
  <c r="K335" i="1"/>
  <c r="J335" i="1"/>
  <c r="I335" i="1"/>
  <c r="H335" i="1"/>
  <c r="G335" i="1"/>
  <c r="K334" i="1"/>
  <c r="J334" i="1"/>
  <c r="I334" i="1"/>
  <c r="H334" i="1"/>
  <c r="G334" i="1"/>
  <c r="K333" i="1"/>
  <c r="J333" i="1"/>
  <c r="I333" i="1"/>
  <c r="H333" i="1"/>
  <c r="G333" i="1"/>
  <c r="K332" i="1"/>
  <c r="J332" i="1"/>
  <c r="I332" i="1"/>
  <c r="H332" i="1"/>
  <c r="G332" i="1"/>
  <c r="K331" i="1"/>
  <c r="J331" i="1"/>
  <c r="I331" i="1"/>
  <c r="H331" i="1"/>
  <c r="G331" i="1"/>
  <c r="K330" i="1"/>
  <c r="J330" i="1"/>
  <c r="I330" i="1"/>
  <c r="H330" i="1"/>
  <c r="G330" i="1"/>
  <c r="K329" i="1"/>
  <c r="J329" i="1"/>
  <c r="I329" i="1"/>
  <c r="H329" i="1"/>
  <c r="G329" i="1"/>
  <c r="K328" i="1"/>
  <c r="J328" i="1"/>
  <c r="I328" i="1"/>
  <c r="H328" i="1"/>
  <c r="G328" i="1"/>
  <c r="K327" i="1"/>
  <c r="J327" i="1"/>
  <c r="I327" i="1"/>
  <c r="H327" i="1"/>
  <c r="G327" i="1"/>
  <c r="K326" i="1"/>
  <c r="J326" i="1"/>
  <c r="I326" i="1"/>
  <c r="H326" i="1"/>
  <c r="G326" i="1"/>
  <c r="K325" i="1"/>
  <c r="J325" i="1"/>
  <c r="I325" i="1"/>
  <c r="H325" i="1"/>
  <c r="G325" i="1"/>
  <c r="K324" i="1"/>
  <c r="J324" i="1"/>
  <c r="I324" i="1"/>
  <c r="H324" i="1"/>
  <c r="G324" i="1"/>
  <c r="K323" i="1"/>
  <c r="J323" i="1"/>
  <c r="I323" i="1"/>
  <c r="H323" i="1"/>
  <c r="G323" i="1"/>
  <c r="K322" i="1"/>
  <c r="J322" i="1"/>
  <c r="I322" i="1"/>
  <c r="H322" i="1"/>
  <c r="G322" i="1"/>
  <c r="K321" i="1"/>
  <c r="J321" i="1"/>
  <c r="I321" i="1"/>
  <c r="H321" i="1"/>
  <c r="G321" i="1"/>
  <c r="K320" i="1"/>
  <c r="J320" i="1"/>
  <c r="I320" i="1"/>
  <c r="H320" i="1"/>
  <c r="G320" i="1"/>
  <c r="K319" i="1"/>
  <c r="J319" i="1"/>
  <c r="I319" i="1"/>
  <c r="H319" i="1"/>
  <c r="G319" i="1"/>
  <c r="K318" i="1"/>
  <c r="J318" i="1"/>
  <c r="I318" i="1"/>
  <c r="H318" i="1"/>
  <c r="G318" i="1"/>
  <c r="K317" i="1"/>
  <c r="J317" i="1"/>
  <c r="I317" i="1"/>
  <c r="H317" i="1"/>
  <c r="G317" i="1"/>
  <c r="K316" i="1"/>
  <c r="J316" i="1"/>
  <c r="I316" i="1"/>
  <c r="H316" i="1"/>
  <c r="G316" i="1"/>
  <c r="K315" i="1"/>
  <c r="J315" i="1"/>
  <c r="I315" i="1"/>
  <c r="H315" i="1"/>
  <c r="G315" i="1"/>
  <c r="K314" i="1"/>
  <c r="J314" i="1"/>
  <c r="I314" i="1"/>
  <c r="H314" i="1"/>
  <c r="G314" i="1"/>
  <c r="K313" i="1"/>
  <c r="J313" i="1"/>
  <c r="I313" i="1"/>
  <c r="H313" i="1"/>
  <c r="G313" i="1"/>
  <c r="K312" i="1"/>
  <c r="J312" i="1"/>
  <c r="I312" i="1"/>
  <c r="H312" i="1"/>
  <c r="G312" i="1"/>
  <c r="K311" i="1"/>
  <c r="J311" i="1"/>
  <c r="I311" i="1"/>
  <c r="H311" i="1"/>
  <c r="G311" i="1"/>
  <c r="K310" i="1"/>
  <c r="J310" i="1"/>
  <c r="I310" i="1"/>
  <c r="H310" i="1"/>
  <c r="G310" i="1"/>
  <c r="K309" i="1"/>
  <c r="J309" i="1"/>
  <c r="I309" i="1"/>
  <c r="H309" i="1"/>
  <c r="G309" i="1"/>
  <c r="K308" i="1"/>
  <c r="J308" i="1"/>
  <c r="I308" i="1"/>
  <c r="H308" i="1"/>
  <c r="G308" i="1"/>
  <c r="K307" i="1"/>
  <c r="J307" i="1"/>
  <c r="I307" i="1"/>
  <c r="H307" i="1"/>
  <c r="G307" i="1"/>
  <c r="K306" i="1"/>
  <c r="J306" i="1"/>
  <c r="I306" i="1"/>
  <c r="H306" i="1"/>
  <c r="G306" i="1"/>
  <c r="K305" i="1"/>
  <c r="J305" i="1"/>
  <c r="I305" i="1"/>
  <c r="H305" i="1"/>
  <c r="G305" i="1"/>
  <c r="K304" i="1"/>
  <c r="J304" i="1"/>
  <c r="I304" i="1"/>
  <c r="H304" i="1"/>
  <c r="G304" i="1"/>
  <c r="K303" i="1"/>
  <c r="J303" i="1"/>
  <c r="I303" i="1"/>
  <c r="H303" i="1"/>
  <c r="G303" i="1"/>
  <c r="K302" i="1"/>
  <c r="J302" i="1"/>
  <c r="I302" i="1"/>
  <c r="H302" i="1"/>
  <c r="G302" i="1"/>
  <c r="K301" i="1"/>
  <c r="J301" i="1"/>
  <c r="I301" i="1"/>
  <c r="H301" i="1"/>
  <c r="G301" i="1"/>
  <c r="K300" i="1"/>
  <c r="J300" i="1"/>
  <c r="I300" i="1"/>
  <c r="H300" i="1"/>
  <c r="G300" i="1"/>
  <c r="K299" i="1"/>
  <c r="J299" i="1"/>
  <c r="I299" i="1"/>
  <c r="H299" i="1"/>
  <c r="G299" i="1"/>
  <c r="K298" i="1"/>
  <c r="J298" i="1"/>
  <c r="I298" i="1"/>
  <c r="H298" i="1"/>
  <c r="G298" i="1"/>
  <c r="K297" i="1"/>
  <c r="J297" i="1"/>
  <c r="I297" i="1"/>
  <c r="H297" i="1"/>
  <c r="G297" i="1"/>
  <c r="K296" i="1"/>
  <c r="J296" i="1"/>
  <c r="I296" i="1"/>
  <c r="H296" i="1"/>
  <c r="G296" i="1"/>
  <c r="K295" i="1"/>
  <c r="J295" i="1"/>
  <c r="I295" i="1"/>
  <c r="H295" i="1"/>
  <c r="G295" i="1"/>
  <c r="K294" i="1"/>
  <c r="J294" i="1"/>
  <c r="I294" i="1"/>
  <c r="H294" i="1"/>
  <c r="G294" i="1"/>
  <c r="K293" i="1"/>
  <c r="J293" i="1"/>
  <c r="I293" i="1"/>
  <c r="H293" i="1"/>
  <c r="G293" i="1"/>
  <c r="K292" i="1"/>
  <c r="J292" i="1"/>
  <c r="I292" i="1"/>
  <c r="H292" i="1"/>
  <c r="G292" i="1"/>
  <c r="K291" i="1"/>
  <c r="J291" i="1"/>
  <c r="I291" i="1"/>
  <c r="H291" i="1"/>
  <c r="G291" i="1"/>
  <c r="K290" i="1"/>
  <c r="J290" i="1"/>
  <c r="I290" i="1"/>
  <c r="H290" i="1"/>
  <c r="G290" i="1"/>
  <c r="K289" i="1"/>
  <c r="J289" i="1"/>
  <c r="I289" i="1"/>
  <c r="H289" i="1"/>
  <c r="G289" i="1"/>
  <c r="K288" i="1"/>
  <c r="J288" i="1"/>
  <c r="I288" i="1"/>
  <c r="H288" i="1"/>
  <c r="G288" i="1"/>
  <c r="K287" i="1"/>
  <c r="J287" i="1"/>
  <c r="I287" i="1"/>
  <c r="H287" i="1"/>
  <c r="G287" i="1"/>
  <c r="K286" i="1"/>
  <c r="J286" i="1"/>
  <c r="I286" i="1"/>
  <c r="H286" i="1"/>
  <c r="G286" i="1"/>
  <c r="K285" i="1"/>
  <c r="J285" i="1"/>
  <c r="I285" i="1"/>
  <c r="H285" i="1"/>
  <c r="G285" i="1"/>
  <c r="K284" i="1"/>
  <c r="J284" i="1"/>
  <c r="I284" i="1"/>
  <c r="H284" i="1"/>
  <c r="G284" i="1"/>
  <c r="K283" i="1"/>
  <c r="J283" i="1"/>
  <c r="I283" i="1"/>
  <c r="H283" i="1"/>
  <c r="G283" i="1"/>
  <c r="K282" i="1"/>
  <c r="J282" i="1"/>
  <c r="I282" i="1"/>
  <c r="H282" i="1"/>
  <c r="G282" i="1"/>
  <c r="K281" i="1"/>
  <c r="J281" i="1"/>
  <c r="I281" i="1"/>
  <c r="H281" i="1"/>
  <c r="G281" i="1"/>
  <c r="K280" i="1"/>
  <c r="J280" i="1"/>
  <c r="I280" i="1"/>
  <c r="H280" i="1"/>
  <c r="G280" i="1"/>
  <c r="K279" i="1"/>
  <c r="J279" i="1"/>
  <c r="I279" i="1"/>
  <c r="H279" i="1"/>
  <c r="G279" i="1"/>
  <c r="K278" i="1"/>
  <c r="J278" i="1"/>
  <c r="I278" i="1"/>
  <c r="H278" i="1"/>
  <c r="G278" i="1"/>
  <c r="K277" i="1"/>
  <c r="J277" i="1"/>
  <c r="I277" i="1"/>
  <c r="H277" i="1"/>
  <c r="G277" i="1"/>
  <c r="K276" i="1"/>
  <c r="J276" i="1"/>
  <c r="I276" i="1"/>
  <c r="H276" i="1"/>
  <c r="G276" i="1"/>
  <c r="K275" i="1"/>
  <c r="J275" i="1"/>
  <c r="I275" i="1"/>
  <c r="H275" i="1"/>
  <c r="G275" i="1"/>
  <c r="K274" i="1"/>
  <c r="J274" i="1"/>
  <c r="I274" i="1"/>
  <c r="H274" i="1"/>
  <c r="G274" i="1"/>
  <c r="K273" i="1"/>
  <c r="J273" i="1"/>
  <c r="I273" i="1"/>
  <c r="H273" i="1"/>
  <c r="G273" i="1"/>
  <c r="K272" i="1"/>
  <c r="J272" i="1"/>
  <c r="I272" i="1"/>
  <c r="H272" i="1"/>
  <c r="G272" i="1"/>
  <c r="K271" i="1"/>
  <c r="J271" i="1"/>
  <c r="I271" i="1"/>
  <c r="H271" i="1"/>
  <c r="G271" i="1"/>
  <c r="K270" i="1"/>
  <c r="J270" i="1"/>
  <c r="I270" i="1"/>
  <c r="H270" i="1"/>
  <c r="G270" i="1"/>
  <c r="K269" i="1"/>
  <c r="J269" i="1"/>
  <c r="I269" i="1"/>
  <c r="H269" i="1"/>
  <c r="G269" i="1"/>
  <c r="K268" i="1"/>
  <c r="J268" i="1"/>
  <c r="I268" i="1"/>
  <c r="H268" i="1"/>
  <c r="G268" i="1"/>
  <c r="K267" i="1"/>
  <c r="J267" i="1"/>
  <c r="I267" i="1"/>
  <c r="H267" i="1"/>
  <c r="G267" i="1"/>
  <c r="K266" i="1"/>
  <c r="J266" i="1"/>
  <c r="I266" i="1"/>
  <c r="H266" i="1"/>
  <c r="G266" i="1"/>
  <c r="K265" i="1"/>
  <c r="J265" i="1"/>
  <c r="I265" i="1"/>
  <c r="H265" i="1"/>
  <c r="G265" i="1"/>
  <c r="K264" i="1"/>
  <c r="J264" i="1"/>
  <c r="I264" i="1"/>
  <c r="H264" i="1"/>
  <c r="G264" i="1"/>
  <c r="K263" i="1"/>
  <c r="J263" i="1"/>
  <c r="I263" i="1"/>
  <c r="H263" i="1"/>
  <c r="G263" i="1"/>
  <c r="K262" i="1"/>
  <c r="J262" i="1"/>
  <c r="I262" i="1"/>
  <c r="H262" i="1"/>
  <c r="G262" i="1"/>
  <c r="K261" i="1"/>
  <c r="J261" i="1"/>
  <c r="I261" i="1"/>
  <c r="H261" i="1"/>
  <c r="G261" i="1"/>
  <c r="K260" i="1"/>
  <c r="J260" i="1"/>
  <c r="I260" i="1"/>
  <c r="H260" i="1"/>
  <c r="G260" i="1"/>
  <c r="K259" i="1"/>
  <c r="J259" i="1"/>
  <c r="I259" i="1"/>
  <c r="H259" i="1"/>
  <c r="G259" i="1"/>
  <c r="K258" i="1"/>
  <c r="J258" i="1"/>
  <c r="I258" i="1"/>
  <c r="H258" i="1"/>
  <c r="G258" i="1"/>
  <c r="K257" i="1"/>
  <c r="J257" i="1"/>
  <c r="I257" i="1"/>
  <c r="H257" i="1"/>
  <c r="G257" i="1"/>
  <c r="K256" i="1"/>
  <c r="J256" i="1"/>
  <c r="I256" i="1"/>
  <c r="H256" i="1"/>
  <c r="G256" i="1"/>
  <c r="K255" i="1"/>
  <c r="J255" i="1"/>
  <c r="I255" i="1"/>
  <c r="H255" i="1"/>
  <c r="G255" i="1"/>
  <c r="K254" i="1"/>
  <c r="J254" i="1"/>
  <c r="I254" i="1"/>
  <c r="H254" i="1"/>
  <c r="G254" i="1"/>
  <c r="K253" i="1"/>
  <c r="J253" i="1"/>
  <c r="I253" i="1"/>
  <c r="H253" i="1"/>
  <c r="G253" i="1"/>
  <c r="K252" i="1"/>
  <c r="J252" i="1"/>
  <c r="I252" i="1"/>
  <c r="H252" i="1"/>
  <c r="G252" i="1"/>
  <c r="K251" i="1"/>
  <c r="J251" i="1"/>
  <c r="I251" i="1"/>
  <c r="H251" i="1"/>
  <c r="G251" i="1"/>
  <c r="K250" i="1"/>
  <c r="J250" i="1"/>
  <c r="I250" i="1"/>
  <c r="H250" i="1"/>
  <c r="G250" i="1"/>
  <c r="K249" i="1"/>
  <c r="J249" i="1"/>
  <c r="I249" i="1"/>
  <c r="H249" i="1"/>
  <c r="G249" i="1"/>
  <c r="K248" i="1"/>
  <c r="J248" i="1"/>
  <c r="I248" i="1"/>
  <c r="H248" i="1"/>
  <c r="G248" i="1"/>
  <c r="K247" i="1"/>
  <c r="J247" i="1"/>
  <c r="I247" i="1"/>
  <c r="H247" i="1"/>
  <c r="G247" i="1"/>
  <c r="K246" i="1"/>
  <c r="J246" i="1"/>
  <c r="I246" i="1"/>
  <c r="H246" i="1"/>
  <c r="G246" i="1"/>
  <c r="K245" i="1"/>
  <c r="J245" i="1"/>
  <c r="I245" i="1"/>
  <c r="H245" i="1"/>
  <c r="G245" i="1"/>
  <c r="K244" i="1"/>
  <c r="J244" i="1"/>
  <c r="I244" i="1"/>
  <c r="H244" i="1"/>
  <c r="G244" i="1"/>
  <c r="K243" i="1"/>
  <c r="J243" i="1"/>
  <c r="I243" i="1"/>
  <c r="H243" i="1"/>
  <c r="G243" i="1"/>
  <c r="K242" i="1"/>
  <c r="J242" i="1"/>
  <c r="I242" i="1"/>
  <c r="H242" i="1"/>
  <c r="G242" i="1"/>
  <c r="K241" i="1"/>
  <c r="J241" i="1"/>
  <c r="I241" i="1"/>
  <c r="H241" i="1"/>
  <c r="G241" i="1"/>
  <c r="K240" i="1"/>
  <c r="J240" i="1"/>
  <c r="I240" i="1"/>
  <c r="H240" i="1"/>
  <c r="G240" i="1"/>
  <c r="K239" i="1"/>
  <c r="J239" i="1"/>
  <c r="I239" i="1"/>
  <c r="H239" i="1"/>
  <c r="G239" i="1"/>
  <c r="K238" i="1"/>
  <c r="J238" i="1"/>
  <c r="I238" i="1"/>
  <c r="H238" i="1"/>
  <c r="G238" i="1"/>
  <c r="K237" i="1"/>
  <c r="J237" i="1"/>
  <c r="I237" i="1"/>
  <c r="H237" i="1"/>
  <c r="G237" i="1"/>
  <c r="K236" i="1"/>
  <c r="J236" i="1"/>
  <c r="I236" i="1"/>
  <c r="H236" i="1"/>
  <c r="G236" i="1"/>
  <c r="K235" i="1"/>
  <c r="J235" i="1"/>
  <c r="I235" i="1"/>
  <c r="H235" i="1"/>
  <c r="G235" i="1"/>
  <c r="K234" i="1"/>
  <c r="J234" i="1"/>
  <c r="I234" i="1"/>
  <c r="H234" i="1"/>
  <c r="G234" i="1"/>
  <c r="K233" i="1"/>
  <c r="J233" i="1"/>
  <c r="I233" i="1"/>
  <c r="H233" i="1"/>
  <c r="G233" i="1"/>
  <c r="K232" i="1"/>
  <c r="J232" i="1"/>
  <c r="I232" i="1"/>
  <c r="H232" i="1"/>
  <c r="G232" i="1"/>
  <c r="K231" i="1"/>
  <c r="J231" i="1"/>
  <c r="I231" i="1"/>
  <c r="H231" i="1"/>
  <c r="G231" i="1"/>
  <c r="K230" i="1"/>
  <c r="J230" i="1"/>
  <c r="I230" i="1"/>
  <c r="H230" i="1"/>
  <c r="G230" i="1"/>
  <c r="K229" i="1"/>
  <c r="J229" i="1"/>
  <c r="I229" i="1"/>
  <c r="H229" i="1"/>
  <c r="G229" i="1"/>
  <c r="K228" i="1"/>
  <c r="J228" i="1"/>
  <c r="I228" i="1"/>
  <c r="H228" i="1"/>
  <c r="G228" i="1"/>
  <c r="K227" i="1"/>
  <c r="J227" i="1"/>
  <c r="I227" i="1"/>
  <c r="H227" i="1"/>
  <c r="G227" i="1"/>
  <c r="K226" i="1"/>
  <c r="J226" i="1"/>
  <c r="I226" i="1"/>
  <c r="H226" i="1"/>
  <c r="G226" i="1"/>
  <c r="K225" i="1"/>
  <c r="J225" i="1"/>
  <c r="I225" i="1"/>
  <c r="H225" i="1"/>
  <c r="G225" i="1"/>
  <c r="K224" i="1"/>
  <c r="J224" i="1"/>
  <c r="I224" i="1"/>
  <c r="H224" i="1"/>
  <c r="G224" i="1"/>
  <c r="K223" i="1"/>
  <c r="J223" i="1"/>
  <c r="I223" i="1"/>
  <c r="H223" i="1"/>
  <c r="G223" i="1"/>
  <c r="K222" i="1"/>
  <c r="J222" i="1"/>
  <c r="I222" i="1"/>
  <c r="H222" i="1"/>
  <c r="G222" i="1"/>
  <c r="K221" i="1"/>
  <c r="J221" i="1"/>
  <c r="I221" i="1"/>
  <c r="H221" i="1"/>
  <c r="G221" i="1"/>
  <c r="K220" i="1"/>
  <c r="J220" i="1"/>
  <c r="I220" i="1"/>
  <c r="H220" i="1"/>
  <c r="G220" i="1"/>
  <c r="K219" i="1"/>
  <c r="J219" i="1"/>
  <c r="I219" i="1"/>
  <c r="H219" i="1"/>
  <c r="G219" i="1"/>
  <c r="K218" i="1"/>
  <c r="J218" i="1"/>
  <c r="I218" i="1"/>
  <c r="H218" i="1"/>
  <c r="G218" i="1"/>
  <c r="K217" i="1"/>
  <c r="J217" i="1"/>
  <c r="I217" i="1"/>
  <c r="H217" i="1"/>
  <c r="G217" i="1"/>
  <c r="K216" i="1"/>
  <c r="J216" i="1"/>
  <c r="I216" i="1"/>
  <c r="H216" i="1"/>
  <c r="G216" i="1"/>
  <c r="K215" i="1"/>
  <c r="J215" i="1"/>
  <c r="I215" i="1"/>
  <c r="H215" i="1"/>
  <c r="G215" i="1"/>
  <c r="K214" i="1"/>
  <c r="J214" i="1"/>
  <c r="I214" i="1"/>
  <c r="H214" i="1"/>
  <c r="G214" i="1"/>
  <c r="K213" i="1"/>
  <c r="J213" i="1"/>
  <c r="I213" i="1"/>
  <c r="H213" i="1"/>
  <c r="G213" i="1"/>
  <c r="K212" i="1"/>
  <c r="J212" i="1"/>
  <c r="I212" i="1"/>
  <c r="H212" i="1"/>
  <c r="G212" i="1"/>
  <c r="K211" i="1"/>
  <c r="J211" i="1"/>
  <c r="I211" i="1"/>
  <c r="H211" i="1"/>
  <c r="G211" i="1"/>
  <c r="K210" i="1"/>
  <c r="J210" i="1"/>
  <c r="I210" i="1"/>
  <c r="H210" i="1"/>
  <c r="G210" i="1"/>
  <c r="K209" i="1"/>
  <c r="J209" i="1"/>
  <c r="I209" i="1"/>
  <c r="H209" i="1"/>
  <c r="G209" i="1"/>
  <c r="K208" i="1"/>
  <c r="J208" i="1"/>
  <c r="I208" i="1"/>
  <c r="H208" i="1"/>
  <c r="G208" i="1"/>
  <c r="K207" i="1"/>
  <c r="J207" i="1"/>
  <c r="I207" i="1"/>
  <c r="H207" i="1"/>
  <c r="G207" i="1"/>
  <c r="K206" i="1"/>
  <c r="J206" i="1"/>
  <c r="I206" i="1"/>
  <c r="H206" i="1"/>
  <c r="G206" i="1"/>
  <c r="K205" i="1"/>
  <c r="J205" i="1"/>
  <c r="I205" i="1"/>
  <c r="H205" i="1"/>
  <c r="G205" i="1"/>
  <c r="K204" i="1"/>
  <c r="J204" i="1"/>
  <c r="I204" i="1"/>
  <c r="H204" i="1"/>
  <c r="G204" i="1"/>
  <c r="K203" i="1"/>
  <c r="J203" i="1"/>
  <c r="I203" i="1"/>
  <c r="H203" i="1"/>
  <c r="G203" i="1"/>
  <c r="K202" i="1"/>
  <c r="J202" i="1"/>
  <c r="I202" i="1"/>
  <c r="H202" i="1"/>
  <c r="G202" i="1"/>
  <c r="K201" i="1"/>
  <c r="J201" i="1"/>
  <c r="I201" i="1"/>
  <c r="H201" i="1"/>
  <c r="G201" i="1"/>
  <c r="K200" i="1"/>
  <c r="J200" i="1"/>
  <c r="I200" i="1"/>
  <c r="H200" i="1"/>
  <c r="G200" i="1"/>
  <c r="K199" i="1"/>
  <c r="J199" i="1"/>
  <c r="I199" i="1"/>
  <c r="H199" i="1"/>
  <c r="G199" i="1"/>
  <c r="K198" i="1"/>
  <c r="J198" i="1"/>
  <c r="I198" i="1"/>
  <c r="H198" i="1"/>
  <c r="G198" i="1"/>
  <c r="K197" i="1"/>
  <c r="J197" i="1"/>
  <c r="I197" i="1"/>
  <c r="H197" i="1"/>
  <c r="G197" i="1"/>
  <c r="K196" i="1"/>
  <c r="J196" i="1"/>
  <c r="I196" i="1"/>
  <c r="H196" i="1"/>
  <c r="G196" i="1"/>
  <c r="K195" i="1"/>
  <c r="J195" i="1"/>
  <c r="I195" i="1"/>
  <c r="H195" i="1"/>
  <c r="G195" i="1"/>
  <c r="K194" i="1"/>
  <c r="J194" i="1"/>
  <c r="I194" i="1"/>
  <c r="H194" i="1"/>
  <c r="G194" i="1"/>
  <c r="K193" i="1"/>
  <c r="J193" i="1"/>
  <c r="I193" i="1"/>
  <c r="H193" i="1"/>
  <c r="G193" i="1"/>
  <c r="K192" i="1"/>
  <c r="J192" i="1"/>
  <c r="I192" i="1"/>
  <c r="H192" i="1"/>
  <c r="G192" i="1"/>
  <c r="K191" i="1"/>
  <c r="J191" i="1"/>
  <c r="I191" i="1"/>
  <c r="H191" i="1"/>
  <c r="G191" i="1"/>
  <c r="K190" i="1"/>
  <c r="J190" i="1"/>
  <c r="I190" i="1"/>
  <c r="H190" i="1"/>
  <c r="G190" i="1"/>
  <c r="K189" i="1"/>
  <c r="J189" i="1"/>
  <c r="I189" i="1"/>
  <c r="H189" i="1"/>
  <c r="G189" i="1"/>
  <c r="K188" i="1"/>
  <c r="J188" i="1"/>
  <c r="I188" i="1"/>
  <c r="H188" i="1"/>
  <c r="G188" i="1"/>
  <c r="K187" i="1"/>
  <c r="J187" i="1"/>
  <c r="I187" i="1"/>
  <c r="H187" i="1"/>
  <c r="G187" i="1"/>
  <c r="K186" i="1"/>
  <c r="J186" i="1"/>
  <c r="I186" i="1"/>
  <c r="H186" i="1"/>
  <c r="G186" i="1"/>
  <c r="K185" i="1"/>
  <c r="J185" i="1"/>
  <c r="I185" i="1"/>
  <c r="H185" i="1"/>
  <c r="G185" i="1"/>
  <c r="K184" i="1"/>
  <c r="J184" i="1"/>
  <c r="I184" i="1"/>
  <c r="H184" i="1"/>
  <c r="G184" i="1"/>
  <c r="K183" i="1"/>
  <c r="J183" i="1"/>
  <c r="I183" i="1"/>
  <c r="H183" i="1"/>
  <c r="G183" i="1"/>
  <c r="K182" i="1"/>
  <c r="J182" i="1"/>
  <c r="I182" i="1"/>
  <c r="H182" i="1"/>
  <c r="G182" i="1"/>
  <c r="K181" i="1"/>
  <c r="J181" i="1"/>
  <c r="I181" i="1"/>
  <c r="H181" i="1"/>
  <c r="G181" i="1"/>
  <c r="K180" i="1"/>
  <c r="J180" i="1"/>
  <c r="I180" i="1"/>
  <c r="H180" i="1"/>
  <c r="G180" i="1"/>
  <c r="K179" i="1"/>
  <c r="J179" i="1"/>
  <c r="I179" i="1"/>
  <c r="H179" i="1"/>
  <c r="G179" i="1"/>
  <c r="K178" i="1"/>
  <c r="J178" i="1"/>
  <c r="I178" i="1"/>
  <c r="H178" i="1"/>
  <c r="G178" i="1"/>
  <c r="K177" i="1"/>
  <c r="J177" i="1"/>
  <c r="I177" i="1"/>
  <c r="H177" i="1"/>
  <c r="G177" i="1"/>
  <c r="K176" i="1"/>
  <c r="J176" i="1"/>
  <c r="I176" i="1"/>
  <c r="H176" i="1"/>
  <c r="G176" i="1"/>
  <c r="K175" i="1"/>
  <c r="J175" i="1"/>
  <c r="I175" i="1"/>
  <c r="H175" i="1"/>
  <c r="G175" i="1"/>
  <c r="K174" i="1"/>
  <c r="J174" i="1"/>
  <c r="I174" i="1"/>
  <c r="H174" i="1"/>
  <c r="G174" i="1"/>
  <c r="K173" i="1"/>
  <c r="J173" i="1"/>
  <c r="I173" i="1"/>
  <c r="H173" i="1"/>
  <c r="G173" i="1"/>
  <c r="K172" i="1"/>
  <c r="J172" i="1"/>
  <c r="I172" i="1"/>
  <c r="H172" i="1"/>
  <c r="G172" i="1"/>
  <c r="K171" i="1"/>
  <c r="J171" i="1"/>
  <c r="I171" i="1"/>
  <c r="H171" i="1"/>
  <c r="G171" i="1"/>
  <c r="K170" i="1"/>
  <c r="J170" i="1"/>
  <c r="I170" i="1"/>
  <c r="H170" i="1"/>
  <c r="G170" i="1"/>
  <c r="K169" i="1"/>
  <c r="J169" i="1"/>
  <c r="I169" i="1"/>
  <c r="H169" i="1"/>
  <c r="G169" i="1"/>
  <c r="K168" i="1"/>
  <c r="J168" i="1"/>
  <c r="I168" i="1"/>
  <c r="H168" i="1"/>
  <c r="G168" i="1"/>
  <c r="K167" i="1"/>
  <c r="J167" i="1"/>
  <c r="I167" i="1"/>
  <c r="H167" i="1"/>
  <c r="G167" i="1"/>
  <c r="K166" i="1"/>
  <c r="J166" i="1"/>
  <c r="I166" i="1"/>
  <c r="H166" i="1"/>
  <c r="G166" i="1"/>
  <c r="K165" i="1"/>
  <c r="J165" i="1"/>
  <c r="I165" i="1"/>
  <c r="H165" i="1"/>
  <c r="G165" i="1"/>
  <c r="K164" i="1"/>
  <c r="J164" i="1"/>
  <c r="I164" i="1"/>
  <c r="H164" i="1"/>
  <c r="G164" i="1"/>
  <c r="K163" i="1"/>
  <c r="J163" i="1"/>
  <c r="I163" i="1"/>
  <c r="H163" i="1"/>
  <c r="G163" i="1"/>
  <c r="K162" i="1"/>
  <c r="J162" i="1"/>
  <c r="I162" i="1"/>
  <c r="H162" i="1"/>
  <c r="G162" i="1"/>
  <c r="K161" i="1"/>
  <c r="J161" i="1"/>
  <c r="I161" i="1"/>
  <c r="H161" i="1"/>
  <c r="G161" i="1"/>
  <c r="K160" i="1"/>
  <c r="J160" i="1"/>
  <c r="I160" i="1"/>
  <c r="H160" i="1"/>
  <c r="G160" i="1"/>
  <c r="K159" i="1"/>
  <c r="J159" i="1"/>
  <c r="I159" i="1"/>
  <c r="H159" i="1"/>
  <c r="G159" i="1"/>
  <c r="K158" i="1"/>
  <c r="J158" i="1"/>
  <c r="I158" i="1"/>
  <c r="H158" i="1"/>
  <c r="G158" i="1"/>
  <c r="K157" i="1"/>
  <c r="J157" i="1"/>
  <c r="I157" i="1"/>
  <c r="H157" i="1"/>
  <c r="G157" i="1"/>
  <c r="K156" i="1"/>
  <c r="J156" i="1"/>
  <c r="I156" i="1"/>
  <c r="H156" i="1"/>
  <c r="G156" i="1"/>
  <c r="K155" i="1"/>
  <c r="J155" i="1"/>
  <c r="I155" i="1"/>
  <c r="H155" i="1"/>
  <c r="G155" i="1"/>
  <c r="K154" i="1"/>
  <c r="J154" i="1"/>
  <c r="I154" i="1"/>
  <c r="H154" i="1"/>
  <c r="G154" i="1"/>
  <c r="K153" i="1"/>
  <c r="J153" i="1"/>
  <c r="I153" i="1"/>
  <c r="H153" i="1"/>
  <c r="G153" i="1"/>
  <c r="K152" i="1"/>
  <c r="J152" i="1"/>
  <c r="I152" i="1"/>
  <c r="H152" i="1"/>
  <c r="G152" i="1"/>
  <c r="K151" i="1"/>
  <c r="J151" i="1"/>
  <c r="I151" i="1"/>
  <c r="H151" i="1"/>
  <c r="G151" i="1"/>
  <c r="K150" i="1"/>
  <c r="J150" i="1"/>
  <c r="I150" i="1"/>
  <c r="H150" i="1"/>
  <c r="G150" i="1"/>
  <c r="K149" i="1"/>
  <c r="J149" i="1"/>
  <c r="I149" i="1"/>
  <c r="H149" i="1"/>
  <c r="G149" i="1"/>
  <c r="K148" i="1"/>
  <c r="J148" i="1"/>
  <c r="I148" i="1"/>
  <c r="H148" i="1"/>
  <c r="G148" i="1"/>
  <c r="K147" i="1"/>
  <c r="J147" i="1"/>
  <c r="I147" i="1"/>
  <c r="H147" i="1"/>
  <c r="G147" i="1"/>
  <c r="K146" i="1"/>
  <c r="J146" i="1"/>
  <c r="I146" i="1"/>
  <c r="H146" i="1"/>
  <c r="G146" i="1"/>
  <c r="K145" i="1"/>
  <c r="J145" i="1"/>
  <c r="I145" i="1"/>
  <c r="H145" i="1"/>
  <c r="G145" i="1"/>
  <c r="K144" i="1"/>
  <c r="J144" i="1"/>
  <c r="I144" i="1"/>
  <c r="H144" i="1"/>
  <c r="G144" i="1"/>
  <c r="K143" i="1"/>
  <c r="J143" i="1"/>
  <c r="I143" i="1"/>
  <c r="H143" i="1"/>
  <c r="G143" i="1"/>
  <c r="K142" i="1"/>
  <c r="J142" i="1"/>
  <c r="I142" i="1"/>
  <c r="H142" i="1"/>
  <c r="G142" i="1"/>
  <c r="K141" i="1"/>
  <c r="J141" i="1"/>
  <c r="I141" i="1"/>
  <c r="H141" i="1"/>
  <c r="G141" i="1"/>
  <c r="K140" i="1"/>
  <c r="J140" i="1"/>
  <c r="I140" i="1"/>
  <c r="H140" i="1"/>
  <c r="G140" i="1"/>
  <c r="K139" i="1"/>
  <c r="J139" i="1"/>
  <c r="I139" i="1"/>
  <c r="H139" i="1"/>
  <c r="G139" i="1"/>
  <c r="K138" i="1"/>
  <c r="J138" i="1"/>
  <c r="I138" i="1"/>
  <c r="H138" i="1"/>
  <c r="G138" i="1"/>
  <c r="K137" i="1"/>
  <c r="J137" i="1"/>
  <c r="I137" i="1"/>
  <c r="H137" i="1"/>
  <c r="G137" i="1"/>
  <c r="K136" i="1"/>
  <c r="J136" i="1"/>
  <c r="I136" i="1"/>
  <c r="H136" i="1"/>
  <c r="G136" i="1"/>
  <c r="K135" i="1"/>
  <c r="J135" i="1"/>
  <c r="I135" i="1"/>
  <c r="H135" i="1"/>
  <c r="G135" i="1"/>
  <c r="K134" i="1"/>
  <c r="J134" i="1"/>
  <c r="I134" i="1"/>
  <c r="H134" i="1"/>
  <c r="G134" i="1"/>
  <c r="K133" i="1"/>
  <c r="J133" i="1"/>
  <c r="I133" i="1"/>
  <c r="H133" i="1"/>
  <c r="G133" i="1"/>
  <c r="K132" i="1"/>
  <c r="J132" i="1"/>
  <c r="I132" i="1"/>
  <c r="H132" i="1"/>
  <c r="G132" i="1"/>
  <c r="K131" i="1"/>
  <c r="J131" i="1"/>
  <c r="I131" i="1"/>
  <c r="H131" i="1"/>
  <c r="G131" i="1"/>
  <c r="K130" i="1"/>
  <c r="J130" i="1"/>
  <c r="I130" i="1"/>
  <c r="H130" i="1"/>
  <c r="G130" i="1"/>
  <c r="K129" i="1"/>
  <c r="J129" i="1"/>
  <c r="I129" i="1"/>
  <c r="H129" i="1"/>
  <c r="G129" i="1"/>
  <c r="K128" i="1"/>
  <c r="J128" i="1"/>
  <c r="I128" i="1"/>
  <c r="H128" i="1"/>
  <c r="G128" i="1"/>
  <c r="K127" i="1"/>
  <c r="J127" i="1"/>
  <c r="I127" i="1"/>
  <c r="H127" i="1"/>
  <c r="G127" i="1"/>
  <c r="K126" i="1"/>
  <c r="J126" i="1"/>
  <c r="I126" i="1"/>
  <c r="H126" i="1"/>
  <c r="G126" i="1"/>
  <c r="K125" i="1"/>
  <c r="J125" i="1"/>
  <c r="I125" i="1"/>
  <c r="H125" i="1"/>
  <c r="G125" i="1"/>
  <c r="K124" i="1"/>
  <c r="J124" i="1"/>
  <c r="I124" i="1"/>
  <c r="H124" i="1"/>
  <c r="G124" i="1"/>
  <c r="K123" i="1"/>
  <c r="J123" i="1"/>
  <c r="I123" i="1"/>
  <c r="H123" i="1"/>
  <c r="G123" i="1"/>
  <c r="K122" i="1"/>
  <c r="J122" i="1"/>
  <c r="I122" i="1"/>
  <c r="H122" i="1"/>
  <c r="G122" i="1"/>
  <c r="K121" i="1"/>
  <c r="J121" i="1"/>
  <c r="I121" i="1"/>
  <c r="H121" i="1"/>
  <c r="G121" i="1"/>
  <c r="K120" i="1"/>
  <c r="J120" i="1"/>
  <c r="I120" i="1"/>
  <c r="H120" i="1"/>
  <c r="G120" i="1"/>
  <c r="K119" i="1"/>
  <c r="J119" i="1"/>
  <c r="I119" i="1"/>
  <c r="H119" i="1"/>
  <c r="G119" i="1"/>
  <c r="K118" i="1"/>
  <c r="J118" i="1"/>
  <c r="I118" i="1"/>
  <c r="H118" i="1"/>
  <c r="G118" i="1"/>
  <c r="K117" i="1"/>
  <c r="J117" i="1"/>
  <c r="I117" i="1"/>
  <c r="H117" i="1"/>
  <c r="G117" i="1"/>
  <c r="K116" i="1"/>
  <c r="J116" i="1"/>
  <c r="I116" i="1"/>
  <c r="H116" i="1"/>
  <c r="G116" i="1"/>
  <c r="K115" i="1"/>
  <c r="J115" i="1"/>
  <c r="I115" i="1"/>
  <c r="H115" i="1"/>
  <c r="G115" i="1"/>
  <c r="K114" i="1"/>
  <c r="J114" i="1"/>
  <c r="I114" i="1"/>
  <c r="H114" i="1"/>
  <c r="G114" i="1"/>
  <c r="K113" i="1"/>
  <c r="J113" i="1"/>
  <c r="I113" i="1"/>
  <c r="H113" i="1"/>
  <c r="G113" i="1"/>
  <c r="K112" i="1"/>
  <c r="J112" i="1"/>
  <c r="I112" i="1"/>
  <c r="H112" i="1"/>
  <c r="G112" i="1"/>
  <c r="K111" i="1"/>
  <c r="J111" i="1"/>
  <c r="I111" i="1"/>
  <c r="H111" i="1"/>
  <c r="G111" i="1"/>
  <c r="K110" i="1"/>
  <c r="J110" i="1"/>
  <c r="I110" i="1"/>
  <c r="H110" i="1"/>
  <c r="G110" i="1"/>
  <c r="K109" i="1"/>
  <c r="J109" i="1"/>
  <c r="I109" i="1"/>
  <c r="H109" i="1"/>
  <c r="G109" i="1"/>
  <c r="K108" i="1"/>
  <c r="J108" i="1"/>
  <c r="I108" i="1"/>
  <c r="H108" i="1"/>
  <c r="G108" i="1"/>
  <c r="K107" i="1"/>
  <c r="J107" i="1"/>
  <c r="I107" i="1"/>
  <c r="H107" i="1"/>
  <c r="G107" i="1"/>
  <c r="K106" i="1"/>
  <c r="J106" i="1"/>
  <c r="I106" i="1"/>
  <c r="H106" i="1"/>
  <c r="G106" i="1"/>
  <c r="K105" i="1"/>
  <c r="J105" i="1"/>
  <c r="I105" i="1"/>
  <c r="H105" i="1"/>
  <c r="G105" i="1"/>
  <c r="K104" i="1"/>
  <c r="J104" i="1"/>
  <c r="I104" i="1"/>
  <c r="H104" i="1"/>
  <c r="G104" i="1"/>
  <c r="K103" i="1"/>
  <c r="J103" i="1"/>
  <c r="I103" i="1"/>
  <c r="H103" i="1"/>
  <c r="G103" i="1"/>
  <c r="K102" i="1"/>
  <c r="J102" i="1"/>
  <c r="I102" i="1"/>
  <c r="H102" i="1"/>
  <c r="G102" i="1"/>
  <c r="K101" i="1"/>
  <c r="J101" i="1"/>
  <c r="I101" i="1"/>
  <c r="H101" i="1"/>
  <c r="G101" i="1"/>
  <c r="K100" i="1"/>
  <c r="J100" i="1"/>
  <c r="I100" i="1"/>
  <c r="H100" i="1"/>
  <c r="G100" i="1"/>
  <c r="K99" i="1"/>
  <c r="J99" i="1"/>
  <c r="I99" i="1"/>
  <c r="H99" i="1"/>
  <c r="G99" i="1"/>
  <c r="K98" i="1"/>
  <c r="J98" i="1"/>
  <c r="I98" i="1"/>
  <c r="H98" i="1"/>
  <c r="G98" i="1"/>
  <c r="K97" i="1"/>
  <c r="J97" i="1"/>
  <c r="I97" i="1"/>
  <c r="H97" i="1"/>
  <c r="G97" i="1"/>
  <c r="K96" i="1"/>
  <c r="J96" i="1"/>
  <c r="I96" i="1"/>
  <c r="H96" i="1"/>
  <c r="G96" i="1"/>
  <c r="K95" i="1"/>
  <c r="J95" i="1"/>
  <c r="I95" i="1"/>
  <c r="H95" i="1"/>
  <c r="G95" i="1"/>
  <c r="K94" i="1"/>
  <c r="J94" i="1"/>
  <c r="I94" i="1"/>
  <c r="H94" i="1"/>
  <c r="G94" i="1"/>
  <c r="K93" i="1"/>
  <c r="J93" i="1"/>
  <c r="I93" i="1"/>
  <c r="H93" i="1"/>
  <c r="G93" i="1"/>
  <c r="K92" i="1"/>
  <c r="J92" i="1"/>
  <c r="I92" i="1"/>
  <c r="H92" i="1"/>
  <c r="G92" i="1"/>
  <c r="K91" i="1"/>
  <c r="J91" i="1"/>
  <c r="I91" i="1"/>
  <c r="H91" i="1"/>
  <c r="G91" i="1"/>
  <c r="K90" i="1"/>
  <c r="J90" i="1"/>
  <c r="I90" i="1"/>
  <c r="H90" i="1"/>
  <c r="G90" i="1"/>
  <c r="K89" i="1"/>
  <c r="J89" i="1"/>
  <c r="I89" i="1"/>
  <c r="H89" i="1"/>
  <c r="G89" i="1"/>
  <c r="K88" i="1"/>
  <c r="J88" i="1"/>
  <c r="I88" i="1"/>
  <c r="H88" i="1"/>
  <c r="G88" i="1"/>
  <c r="K87" i="1"/>
  <c r="J87" i="1"/>
  <c r="I87" i="1"/>
  <c r="H87" i="1"/>
  <c r="G87" i="1"/>
  <c r="K86" i="1"/>
  <c r="J86" i="1"/>
  <c r="I86" i="1"/>
  <c r="H86" i="1"/>
  <c r="G86" i="1"/>
  <c r="K85" i="1"/>
  <c r="J85" i="1"/>
  <c r="I85" i="1"/>
  <c r="H85" i="1"/>
  <c r="G85" i="1"/>
  <c r="K84" i="1"/>
  <c r="J84" i="1"/>
  <c r="I84" i="1"/>
  <c r="H84" i="1"/>
  <c r="G84" i="1"/>
  <c r="K83" i="1"/>
  <c r="J83" i="1"/>
  <c r="I83" i="1"/>
  <c r="H83" i="1"/>
  <c r="G83" i="1"/>
  <c r="K82" i="1"/>
  <c r="J82" i="1"/>
  <c r="I82" i="1"/>
  <c r="H82" i="1"/>
  <c r="G82" i="1"/>
  <c r="K81" i="1"/>
  <c r="J81" i="1"/>
  <c r="I81" i="1"/>
  <c r="H81" i="1"/>
  <c r="G81" i="1"/>
  <c r="K80" i="1"/>
  <c r="J80" i="1"/>
  <c r="I80" i="1"/>
  <c r="H80" i="1"/>
  <c r="G80" i="1"/>
  <c r="K79" i="1"/>
  <c r="J79" i="1"/>
  <c r="I79" i="1"/>
  <c r="H79" i="1"/>
  <c r="G79" i="1"/>
  <c r="K78" i="1"/>
  <c r="J78" i="1"/>
  <c r="I78" i="1"/>
  <c r="H78" i="1"/>
  <c r="G78" i="1"/>
  <c r="K77" i="1"/>
  <c r="J77" i="1"/>
  <c r="I77" i="1"/>
  <c r="H77" i="1"/>
  <c r="G77" i="1"/>
  <c r="K76" i="1"/>
  <c r="J76" i="1"/>
  <c r="I76" i="1"/>
  <c r="H76" i="1"/>
  <c r="G76" i="1"/>
  <c r="K75" i="1"/>
  <c r="J75" i="1"/>
  <c r="I75" i="1"/>
  <c r="H75" i="1"/>
  <c r="G75" i="1"/>
  <c r="K74" i="1"/>
  <c r="J74" i="1"/>
  <c r="I74" i="1"/>
  <c r="H74" i="1"/>
  <c r="G74" i="1"/>
  <c r="K73" i="1"/>
  <c r="J73" i="1"/>
  <c r="I73" i="1"/>
  <c r="H73" i="1"/>
  <c r="G73" i="1"/>
  <c r="K72" i="1"/>
  <c r="J72" i="1"/>
  <c r="I72" i="1"/>
  <c r="H72" i="1"/>
  <c r="G72" i="1"/>
  <c r="K71" i="1"/>
  <c r="J71" i="1"/>
  <c r="I71" i="1"/>
  <c r="H71" i="1"/>
  <c r="G71" i="1"/>
  <c r="K70" i="1"/>
  <c r="J70" i="1"/>
  <c r="I70" i="1"/>
  <c r="H70" i="1"/>
  <c r="G70" i="1"/>
  <c r="K69" i="1"/>
  <c r="J69" i="1"/>
  <c r="I69" i="1"/>
  <c r="H69" i="1"/>
  <c r="G69" i="1"/>
  <c r="K68" i="1"/>
  <c r="J68" i="1"/>
  <c r="I68" i="1"/>
  <c r="H68" i="1"/>
  <c r="G68" i="1"/>
  <c r="K67" i="1"/>
  <c r="J67" i="1"/>
  <c r="I67" i="1"/>
  <c r="H67" i="1"/>
  <c r="G67" i="1"/>
  <c r="K66" i="1"/>
  <c r="J66" i="1"/>
  <c r="I66" i="1"/>
  <c r="H66" i="1"/>
  <c r="G66" i="1"/>
  <c r="K65" i="1"/>
  <c r="J65" i="1"/>
  <c r="I65" i="1"/>
  <c r="H65" i="1"/>
  <c r="G65" i="1"/>
  <c r="K64" i="1"/>
  <c r="J64" i="1"/>
  <c r="I64" i="1"/>
  <c r="H64" i="1"/>
  <c r="G64" i="1"/>
  <c r="K63" i="1"/>
  <c r="J63" i="1"/>
  <c r="I63" i="1"/>
  <c r="H63" i="1"/>
  <c r="G63" i="1"/>
  <c r="K62" i="1"/>
  <c r="J62" i="1"/>
  <c r="I62" i="1"/>
  <c r="H62" i="1"/>
  <c r="G62" i="1"/>
  <c r="K61" i="1"/>
  <c r="J61" i="1"/>
  <c r="I61" i="1"/>
  <c r="H61" i="1"/>
  <c r="G61" i="1"/>
  <c r="K60" i="1"/>
  <c r="J60" i="1"/>
  <c r="I60" i="1"/>
  <c r="H60" i="1"/>
  <c r="G60" i="1"/>
  <c r="K59" i="1"/>
  <c r="J59" i="1"/>
  <c r="I59" i="1"/>
  <c r="H59" i="1"/>
  <c r="G59" i="1"/>
  <c r="K58" i="1"/>
  <c r="J58" i="1"/>
  <c r="I58" i="1"/>
  <c r="H58" i="1"/>
  <c r="G58" i="1"/>
  <c r="K57" i="1"/>
  <c r="J57" i="1"/>
  <c r="I57" i="1"/>
  <c r="H57" i="1"/>
  <c r="G57" i="1"/>
  <c r="K56" i="1"/>
  <c r="J56" i="1"/>
  <c r="I56" i="1"/>
  <c r="H56" i="1"/>
  <c r="G56" i="1"/>
  <c r="K55" i="1"/>
  <c r="J55" i="1"/>
  <c r="I55" i="1"/>
  <c r="H55" i="1"/>
  <c r="G55" i="1"/>
  <c r="K54" i="1"/>
  <c r="J54" i="1"/>
  <c r="I54" i="1"/>
  <c r="H54" i="1"/>
  <c r="G54" i="1"/>
  <c r="K53" i="1"/>
  <c r="J53" i="1"/>
  <c r="I53" i="1"/>
  <c r="H53" i="1"/>
  <c r="G53" i="1"/>
  <c r="K52" i="1"/>
  <c r="J52" i="1"/>
  <c r="I52" i="1"/>
  <c r="H52" i="1"/>
  <c r="G52" i="1"/>
  <c r="K51" i="1"/>
  <c r="J51" i="1"/>
  <c r="I51" i="1"/>
  <c r="H51" i="1"/>
  <c r="G51" i="1"/>
  <c r="K50" i="1"/>
  <c r="J50" i="1"/>
  <c r="I50" i="1"/>
  <c r="H50" i="1"/>
  <c r="G50" i="1"/>
  <c r="K49" i="1"/>
  <c r="J49" i="1"/>
  <c r="I49" i="1"/>
  <c r="H49" i="1"/>
  <c r="G49" i="1"/>
  <c r="K48" i="1"/>
  <c r="J48" i="1"/>
  <c r="I48" i="1"/>
  <c r="H48" i="1"/>
  <c r="G48" i="1"/>
  <c r="K47" i="1"/>
  <c r="J47" i="1"/>
  <c r="I47" i="1"/>
  <c r="H47" i="1"/>
  <c r="G47" i="1"/>
  <c r="K46" i="1"/>
  <c r="J46" i="1"/>
  <c r="I46" i="1"/>
  <c r="H46" i="1"/>
  <c r="G46" i="1"/>
  <c r="K45" i="1"/>
  <c r="J45" i="1"/>
  <c r="I45" i="1"/>
  <c r="H45" i="1"/>
  <c r="G45" i="1"/>
  <c r="K44" i="1"/>
  <c r="J44" i="1"/>
  <c r="I44" i="1"/>
  <c r="H44" i="1"/>
  <c r="G44" i="1"/>
  <c r="K43" i="1"/>
  <c r="J43" i="1"/>
  <c r="I43" i="1"/>
  <c r="H43" i="1"/>
  <c r="G43" i="1"/>
  <c r="K42" i="1"/>
  <c r="J42" i="1"/>
  <c r="I42" i="1"/>
  <c r="H42" i="1"/>
  <c r="G42" i="1"/>
  <c r="K41" i="1"/>
  <c r="J41" i="1"/>
  <c r="I41" i="1"/>
  <c r="H41" i="1"/>
  <c r="G41" i="1"/>
  <c r="K40" i="1"/>
  <c r="J40" i="1"/>
  <c r="I40" i="1"/>
  <c r="H40" i="1"/>
  <c r="G40" i="1"/>
  <c r="K39" i="1"/>
  <c r="J39" i="1"/>
  <c r="I39" i="1"/>
  <c r="H39" i="1"/>
  <c r="G39" i="1"/>
  <c r="K38" i="1"/>
  <c r="J38" i="1"/>
  <c r="I38" i="1"/>
  <c r="H38" i="1"/>
  <c r="G38" i="1"/>
  <c r="K37" i="1"/>
  <c r="J37" i="1"/>
  <c r="I37" i="1"/>
  <c r="H37" i="1"/>
  <c r="G37" i="1"/>
  <c r="K36" i="1"/>
  <c r="J36" i="1"/>
  <c r="I36" i="1"/>
  <c r="H36" i="1"/>
  <c r="G36" i="1"/>
  <c r="K35" i="1"/>
  <c r="J35" i="1"/>
  <c r="I35" i="1"/>
  <c r="H35" i="1"/>
  <c r="G35" i="1"/>
  <c r="K34" i="1"/>
  <c r="J34" i="1"/>
  <c r="I34" i="1"/>
  <c r="H34" i="1"/>
  <c r="G34" i="1"/>
  <c r="K33" i="1"/>
  <c r="J33" i="1"/>
  <c r="I33" i="1"/>
  <c r="H33" i="1"/>
  <c r="G33" i="1"/>
  <c r="K32" i="1"/>
  <c r="J32" i="1"/>
  <c r="I32" i="1"/>
  <c r="H32" i="1"/>
  <c r="G32" i="1"/>
  <c r="K31" i="1"/>
  <c r="J31" i="1"/>
  <c r="I31" i="1"/>
  <c r="H31" i="1"/>
  <c r="G31" i="1"/>
  <c r="K30" i="1"/>
  <c r="J30" i="1"/>
  <c r="I30" i="1"/>
  <c r="H30" i="1"/>
  <c r="G30" i="1"/>
  <c r="K29" i="1"/>
  <c r="J29" i="1"/>
  <c r="I29" i="1"/>
  <c r="H29" i="1"/>
  <c r="G29" i="1"/>
  <c r="K28" i="1"/>
  <c r="J28" i="1"/>
  <c r="I28" i="1"/>
  <c r="H28" i="1"/>
  <c r="G28" i="1"/>
  <c r="K27" i="1"/>
  <c r="J27" i="1"/>
  <c r="I27" i="1"/>
  <c r="H27" i="1"/>
  <c r="G27" i="1"/>
  <c r="K26" i="1"/>
  <c r="J26" i="1"/>
  <c r="I26" i="1"/>
  <c r="H26" i="1"/>
  <c r="G26" i="1"/>
  <c r="K25" i="1"/>
  <c r="J25" i="1"/>
  <c r="I25" i="1"/>
  <c r="H25" i="1"/>
  <c r="G25" i="1"/>
  <c r="K24" i="1"/>
  <c r="J24" i="1"/>
  <c r="I24" i="1"/>
  <c r="H24" i="1"/>
  <c r="G24" i="1"/>
  <c r="K23" i="1"/>
  <c r="J23" i="1"/>
  <c r="I23" i="1"/>
  <c r="H23" i="1"/>
  <c r="G23" i="1"/>
  <c r="K22" i="1"/>
  <c r="J22" i="1"/>
  <c r="I22" i="1"/>
  <c r="H22" i="1"/>
  <c r="G22" i="1"/>
  <c r="K21" i="1"/>
  <c r="J21" i="1"/>
  <c r="I21" i="1"/>
  <c r="H21" i="1"/>
  <c r="G21" i="1"/>
  <c r="K20" i="1"/>
  <c r="J20" i="1"/>
  <c r="I20" i="1"/>
  <c r="H20" i="1"/>
  <c r="G20" i="1"/>
  <c r="K19" i="1"/>
  <c r="J19" i="1"/>
  <c r="I19" i="1"/>
  <c r="H19" i="1"/>
  <c r="G19" i="1"/>
  <c r="K18" i="1"/>
  <c r="J18" i="1"/>
  <c r="I18" i="1"/>
  <c r="H18" i="1"/>
  <c r="G18" i="1"/>
  <c r="K17" i="1"/>
  <c r="J17" i="1"/>
  <c r="I17" i="1"/>
  <c r="H17" i="1"/>
  <c r="G17" i="1"/>
  <c r="K16" i="1"/>
  <c r="J16" i="1"/>
  <c r="I16" i="1"/>
  <c r="H16" i="1"/>
  <c r="G16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11" i="1"/>
  <c r="J11" i="1"/>
  <c r="I11" i="1"/>
  <c r="H11" i="1"/>
  <c r="G11" i="1"/>
  <c r="K10" i="1"/>
  <c r="J10" i="1"/>
  <c r="I10" i="1"/>
  <c r="H10" i="1"/>
  <c r="G10" i="1"/>
  <c r="K9" i="1"/>
  <c r="J9" i="1"/>
  <c r="I9" i="1"/>
  <c r="H9" i="1"/>
  <c r="G9" i="1"/>
  <c r="K8" i="1"/>
  <c r="J8" i="1"/>
  <c r="I8" i="1"/>
  <c r="H8" i="1"/>
  <c r="G8" i="1"/>
  <c r="K7" i="1"/>
  <c r="J7" i="1"/>
  <c r="I7" i="1"/>
  <c r="H7" i="1"/>
  <c r="G7" i="1"/>
  <c r="K6" i="1"/>
  <c r="J6" i="1"/>
  <c r="I6" i="1"/>
  <c r="H6" i="1"/>
  <c r="G6" i="1"/>
  <c r="K5" i="1"/>
  <c r="J5" i="1"/>
  <c r="I5" i="1"/>
  <c r="H5" i="1"/>
  <c r="G5" i="1"/>
  <c r="K4" i="1"/>
  <c r="J4" i="1"/>
  <c r="I4" i="1"/>
  <c r="H4" i="1"/>
  <c r="G4" i="1"/>
  <c r="G3" i="1"/>
  <c r="H3" i="1"/>
  <c r="I3" i="1"/>
  <c r="J3" i="1"/>
  <c r="K3" i="1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H28" i="10"/>
  <c r="I28" i="10" s="1"/>
  <c r="G28" i="10"/>
  <c r="H42" i="10"/>
  <c r="I42" i="10" s="1"/>
  <c r="G42" i="10"/>
  <c r="H46" i="10"/>
  <c r="I46" i="10" s="1"/>
  <c r="G46" i="10"/>
  <c r="H16" i="10"/>
  <c r="I16" i="10" s="1"/>
  <c r="G16" i="10"/>
  <c r="H18" i="10"/>
  <c r="I18" i="10" s="1"/>
  <c r="G18" i="10"/>
  <c r="H25" i="10"/>
  <c r="I25" i="10" s="1"/>
  <c r="G25" i="10"/>
  <c r="H19" i="10"/>
  <c r="I19" i="10" s="1"/>
  <c r="G19" i="10"/>
  <c r="H32" i="10"/>
  <c r="I32" i="10" s="1"/>
  <c r="G32" i="10"/>
  <c r="H24" i="10"/>
  <c r="I24" i="10" s="1"/>
  <c r="G24" i="10"/>
  <c r="H15" i="10"/>
  <c r="I15" i="10" s="1"/>
  <c r="G15" i="10"/>
  <c r="H44" i="10"/>
  <c r="I44" i="10" s="1"/>
  <c r="G44" i="10"/>
  <c r="H50" i="10"/>
  <c r="I50" i="10" s="1"/>
  <c r="G50" i="10"/>
  <c r="H9" i="10"/>
  <c r="I9" i="10" s="1"/>
  <c r="G9" i="10"/>
  <c r="H13" i="10"/>
  <c r="I13" i="10" s="1"/>
  <c r="G13" i="10"/>
  <c r="H22" i="10"/>
  <c r="I22" i="10" s="1"/>
  <c r="G22" i="10"/>
  <c r="H45" i="10"/>
  <c r="I45" i="10" s="1"/>
  <c r="G45" i="10"/>
  <c r="H7" i="10"/>
  <c r="I7" i="10" s="1"/>
  <c r="G7" i="10"/>
  <c r="H26" i="10"/>
  <c r="I26" i="10" s="1"/>
  <c r="G26" i="10"/>
  <c r="H8" i="10"/>
  <c r="I8" i="10" s="1"/>
  <c r="G8" i="10"/>
  <c r="H36" i="10"/>
  <c r="I36" i="10" s="1"/>
  <c r="G36" i="10"/>
  <c r="H5" i="10"/>
  <c r="I5" i="10" s="1"/>
  <c r="G5" i="10"/>
  <c r="H37" i="10"/>
  <c r="I37" i="10" s="1"/>
  <c r="G37" i="10"/>
  <c r="H3" i="10"/>
  <c r="I3" i="10" s="1"/>
  <c r="G3" i="10"/>
  <c r="H17" i="10"/>
  <c r="I17" i="10" s="1"/>
  <c r="G17" i="10"/>
  <c r="H39" i="10"/>
  <c r="I39" i="10" s="1"/>
  <c r="G39" i="10"/>
  <c r="H41" i="10"/>
  <c r="I41" i="10" s="1"/>
  <c r="G41" i="10"/>
  <c r="H4" i="10"/>
  <c r="I4" i="10" s="1"/>
  <c r="G4" i="10"/>
  <c r="H43" i="10"/>
  <c r="I43" i="10" s="1"/>
  <c r="G43" i="10"/>
  <c r="H30" i="10"/>
  <c r="I30" i="10" s="1"/>
  <c r="G30" i="10"/>
  <c r="H20" i="10"/>
  <c r="I20" i="10" s="1"/>
  <c r="G20" i="10"/>
  <c r="H2" i="10"/>
  <c r="I2" i="10" s="1"/>
  <c r="G2" i="10"/>
  <c r="H14" i="10"/>
  <c r="I14" i="10" s="1"/>
  <c r="G14" i="10"/>
  <c r="H34" i="10"/>
  <c r="I34" i="10" s="1"/>
  <c r="G34" i="10"/>
  <c r="H21" i="10"/>
  <c r="I21" i="10" s="1"/>
  <c r="G21" i="10"/>
  <c r="H10" i="10"/>
  <c r="I10" i="10" s="1"/>
  <c r="G10" i="10"/>
  <c r="H6" i="10"/>
  <c r="I6" i="10" s="1"/>
  <c r="G6" i="10"/>
  <c r="H31" i="10"/>
  <c r="I31" i="10" s="1"/>
  <c r="G31" i="10"/>
  <c r="H35" i="10"/>
  <c r="I35" i="10" s="1"/>
  <c r="G35" i="10"/>
  <c r="H47" i="10"/>
  <c r="I47" i="10" s="1"/>
  <c r="G47" i="10"/>
  <c r="H29" i="10"/>
  <c r="I29" i="10" s="1"/>
  <c r="G29" i="10"/>
  <c r="H38" i="10"/>
  <c r="I38" i="10" s="1"/>
  <c r="G38" i="10"/>
  <c r="H33" i="10"/>
  <c r="I33" i="10" s="1"/>
  <c r="G33" i="10"/>
  <c r="H51" i="10"/>
  <c r="I51" i="10" s="1"/>
  <c r="G51" i="10"/>
  <c r="H11" i="10"/>
  <c r="I11" i="10" s="1"/>
  <c r="G11" i="10"/>
  <c r="H49" i="10"/>
  <c r="I49" i="10" s="1"/>
  <c r="G49" i="10"/>
  <c r="H48" i="10"/>
  <c r="I48" i="10" s="1"/>
  <c r="G48" i="10"/>
  <c r="H40" i="10"/>
  <c r="I40" i="10" s="1"/>
  <c r="G40" i="10"/>
  <c r="H23" i="10"/>
  <c r="I23" i="10" s="1"/>
  <c r="G23" i="10"/>
  <c r="H12" i="10"/>
  <c r="I12" i="10" s="1"/>
  <c r="G12" i="10"/>
  <c r="G27" i="10"/>
  <c r="H27" i="10"/>
  <c r="I27" i="10" s="1"/>
  <c r="I7" i="8"/>
  <c r="H7" i="8"/>
  <c r="J7" i="8" s="1"/>
  <c r="K7" i="8" s="1"/>
  <c r="I6" i="8"/>
  <c r="H6" i="8"/>
  <c r="J6" i="8" s="1"/>
  <c r="K6" i="8" s="1"/>
  <c r="I5" i="8"/>
  <c r="H5" i="8"/>
  <c r="J5" i="8" s="1"/>
  <c r="K5" i="8" s="1"/>
  <c r="I4" i="8"/>
  <c r="H4" i="8"/>
  <c r="J4" i="8" s="1"/>
  <c r="K4" i="8" s="1"/>
  <c r="I3" i="8"/>
  <c r="H3" i="8"/>
  <c r="J3" i="8" s="1"/>
  <c r="K3" i="8" s="1"/>
  <c r="H2" i="8"/>
  <c r="I2" i="8"/>
  <c r="J2" i="8"/>
  <c r="K2" i="8"/>
</calcChain>
</file>

<file path=xl/sharedStrings.xml><?xml version="1.0" encoding="utf-8"?>
<sst xmlns="http://schemas.openxmlformats.org/spreadsheetml/2006/main" count="8189" uniqueCount="5700">
  <si>
    <t>JournalID</t>
  </si>
  <si>
    <t>Date</t>
  </si>
  <si>
    <t>Account</t>
  </si>
  <si>
    <t>Debit</t>
  </si>
  <si>
    <t>Credit</t>
  </si>
  <si>
    <t>Description</t>
  </si>
  <si>
    <t>GL-1</t>
  </si>
  <si>
    <t>COGS for Invoice AP-INV-5001</t>
  </si>
  <si>
    <t>GL-2</t>
  </si>
  <si>
    <t>AP for Invoice AP-INV-5001</t>
  </si>
  <si>
    <t>GL-3</t>
  </si>
  <si>
    <t>AR for Invoice AR-INV-7001</t>
  </si>
  <si>
    <t>GL-4</t>
  </si>
  <si>
    <t>Sales for Invoice AR-INV-7001</t>
  </si>
  <si>
    <t>GL-5</t>
  </si>
  <si>
    <t>COGS for Invoice AP-INV-5002</t>
  </si>
  <si>
    <t>GL-6</t>
  </si>
  <si>
    <t>AP for Invoice AP-INV-5002</t>
  </si>
  <si>
    <t>GL-7</t>
  </si>
  <si>
    <t>AR for Invoice AR-INV-7002</t>
  </si>
  <si>
    <t>GL-8</t>
  </si>
  <si>
    <t>Sales for Invoice AR-INV-7002</t>
  </si>
  <si>
    <t>GL-9</t>
  </si>
  <si>
    <t>COGS for Invoice AP-INV-5003</t>
  </si>
  <si>
    <t>GL-10</t>
  </si>
  <si>
    <t>AP for Invoice AP-INV-5003</t>
  </si>
  <si>
    <t>GL-11</t>
  </si>
  <si>
    <t>AR for Invoice AR-INV-7003</t>
  </si>
  <si>
    <t>GL-12</t>
  </si>
  <si>
    <t>Sales for Invoice AR-INV-7003</t>
  </si>
  <si>
    <t>GL-13</t>
  </si>
  <si>
    <t>COGS for Invoice AP-INV-5004</t>
  </si>
  <si>
    <t>GL-14</t>
  </si>
  <si>
    <t>AP for Invoice AP-INV-5004</t>
  </si>
  <si>
    <t>GL-15</t>
  </si>
  <si>
    <t>AR for Invoice AR-INV-7004</t>
  </si>
  <si>
    <t>GL-16</t>
  </si>
  <si>
    <t>Sales for Invoice AR-INV-7004</t>
  </si>
  <si>
    <t>GL-17</t>
  </si>
  <si>
    <t>COGS for Invoice AP-INV-5005</t>
  </si>
  <si>
    <t>GL-18</t>
  </si>
  <si>
    <t>AP for Invoice AP-INV-5005</t>
  </si>
  <si>
    <t>GL-19</t>
  </si>
  <si>
    <t>AR for Invoice AR-INV-7005</t>
  </si>
  <si>
    <t>GL-20</t>
  </si>
  <si>
    <t>Sales for Invoice AR-INV-7005</t>
  </si>
  <si>
    <t>GL-21</t>
  </si>
  <si>
    <t>COGS for Invoice AP-INV-5006</t>
  </si>
  <si>
    <t>GL-22</t>
  </si>
  <si>
    <t>AP for Invoice AP-INV-5006</t>
  </si>
  <si>
    <t>GL-23</t>
  </si>
  <si>
    <t>AR for Invoice AR-INV-7006</t>
  </si>
  <si>
    <t>GL-24</t>
  </si>
  <si>
    <t>Sales for Invoice AR-INV-7006</t>
  </si>
  <si>
    <t>GL-25</t>
  </si>
  <si>
    <t>COGS for Invoice AP-INV-5007</t>
  </si>
  <si>
    <t>GL-26</t>
  </si>
  <si>
    <t>AP for Invoice AP-INV-5007</t>
  </si>
  <si>
    <t>GL-27</t>
  </si>
  <si>
    <t>AR for Invoice AR-INV-7007</t>
  </si>
  <si>
    <t>GL-28</t>
  </si>
  <si>
    <t>Sales for Invoice AR-INV-7007</t>
  </si>
  <si>
    <t>GL-29</t>
  </si>
  <si>
    <t>COGS for Invoice AP-INV-5008</t>
  </si>
  <si>
    <t>GL-30</t>
  </si>
  <si>
    <t>AP for Invoice AP-INV-5008</t>
  </si>
  <si>
    <t>GL-31</t>
  </si>
  <si>
    <t>AR for Invoice AR-INV-7008</t>
  </si>
  <si>
    <t>GL-32</t>
  </si>
  <si>
    <t>Sales for Invoice AR-INV-7008</t>
  </si>
  <si>
    <t>GL-33</t>
  </si>
  <si>
    <t>COGS for Invoice AP-INV-5009</t>
  </si>
  <si>
    <t>GL-34</t>
  </si>
  <si>
    <t>AP for Invoice AP-INV-5009</t>
  </si>
  <si>
    <t>GL-35</t>
  </si>
  <si>
    <t>AR for Invoice AR-INV-7009</t>
  </si>
  <si>
    <t>GL-36</t>
  </si>
  <si>
    <t>Sales for Invoice AR-INV-7009</t>
  </si>
  <si>
    <t>GL-37</t>
  </si>
  <si>
    <t>COGS for Invoice AP-INV-5010</t>
  </si>
  <si>
    <t>GL-38</t>
  </si>
  <si>
    <t>AP for Invoice AP-INV-5010</t>
  </si>
  <si>
    <t>GL-39</t>
  </si>
  <si>
    <t>AR for Invoice AR-INV-7010</t>
  </si>
  <si>
    <t>GL-40</t>
  </si>
  <si>
    <t>Sales for Invoice AR-INV-7010</t>
  </si>
  <si>
    <t>GL-41</t>
  </si>
  <si>
    <t>COGS for Invoice AP-INV-5011</t>
  </si>
  <si>
    <t>GL-42</t>
  </si>
  <si>
    <t>AP for Invoice AP-INV-5011</t>
  </si>
  <si>
    <t>GL-43</t>
  </si>
  <si>
    <t>AR for Invoice AR-INV-7011</t>
  </si>
  <si>
    <t>GL-44</t>
  </si>
  <si>
    <t>Sales for Invoice AR-INV-7011</t>
  </si>
  <si>
    <t>GL-45</t>
  </si>
  <si>
    <t>COGS for Invoice AP-INV-5012</t>
  </si>
  <si>
    <t>GL-46</t>
  </si>
  <si>
    <t>AP for Invoice AP-INV-5012</t>
  </si>
  <si>
    <t>GL-47</t>
  </si>
  <si>
    <t>AR for Invoice AR-INV-7012</t>
  </si>
  <si>
    <t>GL-48</t>
  </si>
  <si>
    <t>Sales for Invoice AR-INV-7012</t>
  </si>
  <si>
    <t>GL-49</t>
  </si>
  <si>
    <t>COGS for Invoice AP-INV-5013</t>
  </si>
  <si>
    <t>GL-50</t>
  </si>
  <si>
    <t>AP for Invoice AP-INV-5013</t>
  </si>
  <si>
    <t>GL-51</t>
  </si>
  <si>
    <t>AR for Invoice AR-INV-7013</t>
  </si>
  <si>
    <t>GL-52</t>
  </si>
  <si>
    <t>Sales for Invoice AR-INV-7013</t>
  </si>
  <si>
    <t>GL-53</t>
  </si>
  <si>
    <t>COGS for Invoice AP-INV-5014</t>
  </si>
  <si>
    <t>GL-54</t>
  </si>
  <si>
    <t>AP for Invoice AP-INV-5014</t>
  </si>
  <si>
    <t>GL-55</t>
  </si>
  <si>
    <t>AR for Invoice AR-INV-7014</t>
  </si>
  <si>
    <t>GL-56</t>
  </si>
  <si>
    <t>Sales for Invoice AR-INV-7014</t>
  </si>
  <si>
    <t>GL-57</t>
  </si>
  <si>
    <t>COGS for Invoice AP-INV-5015</t>
  </si>
  <si>
    <t>GL-58</t>
  </si>
  <si>
    <t>AP for Invoice AP-INV-5015</t>
  </si>
  <si>
    <t>GL-59</t>
  </si>
  <si>
    <t>AR for Invoice AR-INV-7015</t>
  </si>
  <si>
    <t>GL-60</t>
  </si>
  <si>
    <t>Sales for Invoice AR-INV-7015</t>
  </si>
  <si>
    <t>GL-61</t>
  </si>
  <si>
    <t>COGS for Invoice AP-INV-5016</t>
  </si>
  <si>
    <t>GL-62</t>
  </si>
  <si>
    <t>AP for Invoice AP-INV-5016</t>
  </si>
  <si>
    <t>GL-63</t>
  </si>
  <si>
    <t>AR for Invoice AR-INV-7016</t>
  </si>
  <si>
    <t>GL-64</t>
  </si>
  <si>
    <t>Sales for Invoice AR-INV-7016</t>
  </si>
  <si>
    <t>GL-65</t>
  </si>
  <si>
    <t>COGS for Invoice AP-INV-5017</t>
  </si>
  <si>
    <t>GL-66</t>
  </si>
  <si>
    <t>AP for Invoice AP-INV-5017</t>
  </si>
  <si>
    <t>GL-67</t>
  </si>
  <si>
    <t>AR for Invoice AR-INV-7017</t>
  </si>
  <si>
    <t>GL-68</t>
  </si>
  <si>
    <t>Sales for Invoice AR-INV-7017</t>
  </si>
  <si>
    <t>GL-69</t>
  </si>
  <si>
    <t>COGS for Invoice AP-INV-5018</t>
  </si>
  <si>
    <t>GL-70</t>
  </si>
  <si>
    <t>AP for Invoice AP-INV-5018</t>
  </si>
  <si>
    <t>GL-71</t>
  </si>
  <si>
    <t>AR for Invoice AR-INV-7018</t>
  </si>
  <si>
    <t>GL-72</t>
  </si>
  <si>
    <t>Sales for Invoice AR-INV-7018</t>
  </si>
  <si>
    <t>GL-73</t>
  </si>
  <si>
    <t>COGS for Invoice AP-INV-5019</t>
  </si>
  <si>
    <t>GL-74</t>
  </si>
  <si>
    <t>AP for Invoice AP-INV-5019</t>
  </si>
  <si>
    <t>GL-75</t>
  </si>
  <si>
    <t>AR for Invoice AR-INV-7019</t>
  </si>
  <si>
    <t>GL-76</t>
  </si>
  <si>
    <t>Sales for Invoice AR-INV-7019</t>
  </si>
  <si>
    <t>GL-77</t>
  </si>
  <si>
    <t>COGS for Invoice AP-INV-5020</t>
  </si>
  <si>
    <t>GL-78</t>
  </si>
  <si>
    <t>AP for Invoice AP-INV-5020</t>
  </si>
  <si>
    <t>GL-79</t>
  </si>
  <si>
    <t>AR for Invoice AR-INV-7020</t>
  </si>
  <si>
    <t>GL-80</t>
  </si>
  <si>
    <t>Sales for Invoice AR-INV-7020</t>
  </si>
  <si>
    <t>GL-81</t>
  </si>
  <si>
    <t>COGS for Invoice AP-INV-5021</t>
  </si>
  <si>
    <t>GL-82</t>
  </si>
  <si>
    <t>AP for Invoice AP-INV-5021</t>
  </si>
  <si>
    <t>GL-83</t>
  </si>
  <si>
    <t>AR for Invoice AR-INV-7021</t>
  </si>
  <si>
    <t>GL-84</t>
  </si>
  <si>
    <t>Sales for Invoice AR-INV-7021</t>
  </si>
  <si>
    <t>GL-85</t>
  </si>
  <si>
    <t>COGS for Invoice AP-INV-5022</t>
  </si>
  <si>
    <t>GL-86</t>
  </si>
  <si>
    <t>AP for Invoice AP-INV-5022</t>
  </si>
  <si>
    <t>GL-87</t>
  </si>
  <si>
    <t>AR for Invoice AR-INV-7022</t>
  </si>
  <si>
    <t>GL-88</t>
  </si>
  <si>
    <t>Sales for Invoice AR-INV-7022</t>
  </si>
  <si>
    <t>GL-89</t>
  </si>
  <si>
    <t>COGS for Invoice AP-INV-5023</t>
  </si>
  <si>
    <t>GL-90</t>
  </si>
  <si>
    <t>AP for Invoice AP-INV-5023</t>
  </si>
  <si>
    <t>GL-91</t>
  </si>
  <si>
    <t>AR for Invoice AR-INV-7023</t>
  </si>
  <si>
    <t>GL-92</t>
  </si>
  <si>
    <t>Sales for Invoice AR-INV-7023</t>
  </si>
  <si>
    <t>GL-93</t>
  </si>
  <si>
    <t>COGS for Invoice AP-INV-5024</t>
  </si>
  <si>
    <t>GL-94</t>
  </si>
  <si>
    <t>AP for Invoice AP-INV-5024</t>
  </si>
  <si>
    <t>GL-95</t>
  </si>
  <si>
    <t>AR for Invoice AR-INV-7024</t>
  </si>
  <si>
    <t>GL-96</t>
  </si>
  <si>
    <t>Sales for Invoice AR-INV-7024</t>
  </si>
  <si>
    <t>GL-97</t>
  </si>
  <si>
    <t>COGS for Invoice AP-INV-5025</t>
  </si>
  <si>
    <t>GL-98</t>
  </si>
  <si>
    <t>AP for Invoice AP-INV-5025</t>
  </si>
  <si>
    <t>GL-99</t>
  </si>
  <si>
    <t>AR for Invoice AR-INV-7025</t>
  </si>
  <si>
    <t>GL-100</t>
  </si>
  <si>
    <t>Sales for Invoice AR-INV-7025</t>
  </si>
  <si>
    <t>GL-101</t>
  </si>
  <si>
    <t>COGS for Invoice AP-INV-5026</t>
  </si>
  <si>
    <t>GL-102</t>
  </si>
  <si>
    <t>AP for Invoice AP-INV-5026</t>
  </si>
  <si>
    <t>GL-103</t>
  </si>
  <si>
    <t>AR for Invoice AR-INV-7026</t>
  </si>
  <si>
    <t>GL-104</t>
  </si>
  <si>
    <t>Sales for Invoice AR-INV-7026</t>
  </si>
  <si>
    <t>GL-105</t>
  </si>
  <si>
    <t>COGS for Invoice AP-INV-5027</t>
  </si>
  <si>
    <t>GL-106</t>
  </si>
  <si>
    <t>AP for Invoice AP-INV-5027</t>
  </si>
  <si>
    <t>GL-107</t>
  </si>
  <si>
    <t>AR for Invoice AR-INV-7027</t>
  </si>
  <si>
    <t>GL-108</t>
  </si>
  <si>
    <t>Sales for Invoice AR-INV-7027</t>
  </si>
  <si>
    <t>GL-109</t>
  </si>
  <si>
    <t>COGS for Invoice AP-INV-5028</t>
  </si>
  <si>
    <t>GL-110</t>
  </si>
  <si>
    <t>AP for Invoice AP-INV-5028</t>
  </si>
  <si>
    <t>GL-111</t>
  </si>
  <si>
    <t>AR for Invoice AR-INV-7028</t>
  </si>
  <si>
    <t>GL-112</t>
  </si>
  <si>
    <t>Sales for Invoice AR-INV-7028</t>
  </si>
  <si>
    <t>GL-113</t>
  </si>
  <si>
    <t>COGS for Invoice AP-INV-5029</t>
  </si>
  <si>
    <t>GL-114</t>
  </si>
  <si>
    <t>AP for Invoice AP-INV-5029</t>
  </si>
  <si>
    <t>GL-115</t>
  </si>
  <si>
    <t>AR for Invoice AR-INV-7029</t>
  </si>
  <si>
    <t>GL-116</t>
  </si>
  <si>
    <t>Sales for Invoice AR-INV-7029</t>
  </si>
  <si>
    <t>GL-117</t>
  </si>
  <si>
    <t>COGS for Invoice AP-INV-5030</t>
  </si>
  <si>
    <t>GL-118</t>
  </si>
  <si>
    <t>AP for Invoice AP-INV-5030</t>
  </si>
  <si>
    <t>GL-119</t>
  </si>
  <si>
    <t>AR for Invoice AR-INV-7030</t>
  </si>
  <si>
    <t>GL-120</t>
  </si>
  <si>
    <t>Sales for Invoice AR-INV-7030</t>
  </si>
  <si>
    <t>GL-121</t>
  </si>
  <si>
    <t>COGS for Invoice AP-INV-5031</t>
  </si>
  <si>
    <t>GL-122</t>
  </si>
  <si>
    <t>AP for Invoice AP-INV-5031</t>
  </si>
  <si>
    <t>GL-123</t>
  </si>
  <si>
    <t>AR for Invoice AR-INV-7031</t>
  </si>
  <si>
    <t>GL-124</t>
  </si>
  <si>
    <t>Sales for Invoice AR-INV-7031</t>
  </si>
  <si>
    <t>GL-125</t>
  </si>
  <si>
    <t>COGS for Invoice AP-INV-5032</t>
  </si>
  <si>
    <t>GL-126</t>
  </si>
  <si>
    <t>AP for Invoice AP-INV-5032</t>
  </si>
  <si>
    <t>GL-127</t>
  </si>
  <si>
    <t>AR for Invoice AR-INV-7032</t>
  </si>
  <si>
    <t>GL-128</t>
  </si>
  <si>
    <t>Sales for Invoice AR-INV-7032</t>
  </si>
  <si>
    <t>GL-129</t>
  </si>
  <si>
    <t>COGS for Invoice AP-INV-5033</t>
  </si>
  <si>
    <t>GL-130</t>
  </si>
  <si>
    <t>AP for Invoice AP-INV-5033</t>
  </si>
  <si>
    <t>GL-131</t>
  </si>
  <si>
    <t>AR for Invoice AR-INV-7033</t>
  </si>
  <si>
    <t>GL-132</t>
  </si>
  <si>
    <t>Sales for Invoice AR-INV-7033</t>
  </si>
  <si>
    <t>GL-133</t>
  </si>
  <si>
    <t>COGS for Invoice AP-INV-5034</t>
  </si>
  <si>
    <t>GL-134</t>
  </si>
  <si>
    <t>AP for Invoice AP-INV-5034</t>
  </si>
  <si>
    <t>GL-135</t>
  </si>
  <si>
    <t>AR for Invoice AR-INV-7034</t>
  </si>
  <si>
    <t>GL-136</t>
  </si>
  <si>
    <t>Sales for Invoice AR-INV-7034</t>
  </si>
  <si>
    <t>GL-137</t>
  </si>
  <si>
    <t>COGS for Invoice AP-INV-5035</t>
  </si>
  <si>
    <t>GL-138</t>
  </si>
  <si>
    <t>AP for Invoice AP-INV-5035</t>
  </si>
  <si>
    <t>GL-139</t>
  </si>
  <si>
    <t>AR for Invoice AR-INV-7035</t>
  </si>
  <si>
    <t>GL-140</t>
  </si>
  <si>
    <t>Sales for Invoice AR-INV-7035</t>
  </si>
  <si>
    <t>GL-141</t>
  </si>
  <si>
    <t>COGS for Invoice AP-INV-5036</t>
  </si>
  <si>
    <t>GL-142</t>
  </si>
  <si>
    <t>AP for Invoice AP-INV-5036</t>
  </si>
  <si>
    <t>GL-143</t>
  </si>
  <si>
    <t>AR for Invoice AR-INV-7036</t>
  </si>
  <si>
    <t>GL-144</t>
  </si>
  <si>
    <t>Sales for Invoice AR-INV-7036</t>
  </si>
  <si>
    <t>GL-145</t>
  </si>
  <si>
    <t>COGS for Invoice AP-INV-5037</t>
  </si>
  <si>
    <t>GL-146</t>
  </si>
  <si>
    <t>AP for Invoice AP-INV-5037</t>
  </si>
  <si>
    <t>GL-147</t>
  </si>
  <si>
    <t>AR for Invoice AR-INV-7037</t>
  </si>
  <si>
    <t>GL-148</t>
  </si>
  <si>
    <t>Sales for Invoice AR-INV-7037</t>
  </si>
  <si>
    <t>GL-149</t>
  </si>
  <si>
    <t>COGS for Invoice AP-INV-5038</t>
  </si>
  <si>
    <t>GL-150</t>
  </si>
  <si>
    <t>AP for Invoice AP-INV-5038</t>
  </si>
  <si>
    <t>GL-151</t>
  </si>
  <si>
    <t>AR for Invoice AR-INV-7038</t>
  </si>
  <si>
    <t>GL-152</t>
  </si>
  <si>
    <t>Sales for Invoice AR-INV-7038</t>
  </si>
  <si>
    <t>GL-153</t>
  </si>
  <si>
    <t>COGS for Invoice AP-INV-5039</t>
  </si>
  <si>
    <t>GL-154</t>
  </si>
  <si>
    <t>AP for Invoice AP-INV-5039</t>
  </si>
  <si>
    <t>GL-155</t>
  </si>
  <si>
    <t>AR for Invoice AR-INV-7039</t>
  </si>
  <si>
    <t>GL-156</t>
  </si>
  <si>
    <t>Sales for Invoice AR-INV-7039</t>
  </si>
  <si>
    <t>GL-157</t>
  </si>
  <si>
    <t>COGS for Invoice AP-INV-5040</t>
  </si>
  <si>
    <t>GL-158</t>
  </si>
  <si>
    <t>AP for Invoice AP-INV-5040</t>
  </si>
  <si>
    <t>GL-159</t>
  </si>
  <si>
    <t>AR for Invoice AR-INV-7040</t>
  </si>
  <si>
    <t>GL-160</t>
  </si>
  <si>
    <t>Sales for Invoice AR-INV-7040</t>
  </si>
  <si>
    <t>GL-161</t>
  </si>
  <si>
    <t>COGS for Invoice AP-INV-5041</t>
  </si>
  <si>
    <t>GL-162</t>
  </si>
  <si>
    <t>AP for Invoice AP-INV-5041</t>
  </si>
  <si>
    <t>GL-163</t>
  </si>
  <si>
    <t>AR for Invoice AR-INV-7041</t>
  </si>
  <si>
    <t>GL-164</t>
  </si>
  <si>
    <t>Sales for Invoice AR-INV-7041</t>
  </si>
  <si>
    <t>GL-165</t>
  </si>
  <si>
    <t>COGS for Invoice AP-INV-5042</t>
  </si>
  <si>
    <t>GL-166</t>
  </si>
  <si>
    <t>AP for Invoice AP-INV-5042</t>
  </si>
  <si>
    <t>GL-167</t>
  </si>
  <si>
    <t>AR for Invoice AR-INV-7042</t>
  </si>
  <si>
    <t>GL-168</t>
  </si>
  <si>
    <t>Sales for Invoice AR-INV-7042</t>
  </si>
  <si>
    <t>GL-169</t>
  </si>
  <si>
    <t>COGS for Invoice AP-INV-5043</t>
  </si>
  <si>
    <t>GL-170</t>
  </si>
  <si>
    <t>AP for Invoice AP-INV-5043</t>
  </si>
  <si>
    <t>GL-171</t>
  </si>
  <si>
    <t>AR for Invoice AR-INV-7043</t>
  </si>
  <si>
    <t>GL-172</t>
  </si>
  <si>
    <t>Sales for Invoice AR-INV-7043</t>
  </si>
  <si>
    <t>GL-173</t>
  </si>
  <si>
    <t>COGS for Invoice AP-INV-5044</t>
  </si>
  <si>
    <t>GL-174</t>
  </si>
  <si>
    <t>AP for Invoice AP-INV-5044</t>
  </si>
  <si>
    <t>GL-175</t>
  </si>
  <si>
    <t>AR for Invoice AR-INV-7044</t>
  </si>
  <si>
    <t>GL-176</t>
  </si>
  <si>
    <t>Sales for Invoice AR-INV-7044</t>
  </si>
  <si>
    <t>GL-177</t>
  </si>
  <si>
    <t>COGS for Invoice AP-INV-5045</t>
  </si>
  <si>
    <t>GL-178</t>
  </si>
  <si>
    <t>AP for Invoice AP-INV-5045</t>
  </si>
  <si>
    <t>GL-179</t>
  </si>
  <si>
    <t>AR for Invoice AR-INV-7045</t>
  </si>
  <si>
    <t>GL-180</t>
  </si>
  <si>
    <t>Sales for Invoice AR-INV-7045</t>
  </si>
  <si>
    <t>GL-181</t>
  </si>
  <si>
    <t>COGS for Invoice AP-INV-5046</t>
  </si>
  <si>
    <t>GL-182</t>
  </si>
  <si>
    <t>AP for Invoice AP-INV-5046</t>
  </si>
  <si>
    <t>GL-183</t>
  </si>
  <si>
    <t>AR for Invoice AR-INV-7046</t>
  </si>
  <si>
    <t>GL-184</t>
  </si>
  <si>
    <t>Sales for Invoice AR-INV-7046</t>
  </si>
  <si>
    <t>GL-185</t>
  </si>
  <si>
    <t>COGS for Invoice AP-INV-5047</t>
  </si>
  <si>
    <t>GL-186</t>
  </si>
  <si>
    <t>AP for Invoice AP-INV-5047</t>
  </si>
  <si>
    <t>GL-187</t>
  </si>
  <si>
    <t>AR for Invoice AR-INV-7047</t>
  </si>
  <si>
    <t>GL-188</t>
  </si>
  <si>
    <t>Sales for Invoice AR-INV-7047</t>
  </si>
  <si>
    <t>GL-189</t>
  </si>
  <si>
    <t>COGS for Invoice AP-INV-5048</t>
  </si>
  <si>
    <t>GL-190</t>
  </si>
  <si>
    <t>AP for Invoice AP-INV-5048</t>
  </si>
  <si>
    <t>GL-191</t>
  </si>
  <si>
    <t>AR for Invoice AR-INV-7048</t>
  </si>
  <si>
    <t>GL-192</t>
  </si>
  <si>
    <t>Sales for Invoice AR-INV-7048</t>
  </si>
  <si>
    <t>GL-193</t>
  </si>
  <si>
    <t>COGS for Invoice AP-INV-5049</t>
  </si>
  <si>
    <t>GL-194</t>
  </si>
  <si>
    <t>AP for Invoice AP-INV-5049</t>
  </si>
  <si>
    <t>GL-195</t>
  </si>
  <si>
    <t>AR for Invoice AR-INV-7049</t>
  </si>
  <si>
    <t>GL-196</t>
  </si>
  <si>
    <t>Sales for Invoice AR-INV-7049</t>
  </si>
  <si>
    <t>GL-197</t>
  </si>
  <si>
    <t>COGS for Invoice AP-INV-5050</t>
  </si>
  <si>
    <t>GL-198</t>
  </si>
  <si>
    <t>AP for Invoice AP-INV-5050</t>
  </si>
  <si>
    <t>GL-199</t>
  </si>
  <si>
    <t>AR for Invoice AR-INV-7050</t>
  </si>
  <si>
    <t>GL-200</t>
  </si>
  <si>
    <t>Sales for Invoice AR-INV-7050</t>
  </si>
  <si>
    <t>GL-201</t>
  </si>
  <si>
    <t>COGS for Invoice AP-INV-5051</t>
  </si>
  <si>
    <t>GL-202</t>
  </si>
  <si>
    <t>AP for Invoice AP-INV-5051</t>
  </si>
  <si>
    <t>GL-203</t>
  </si>
  <si>
    <t>AR for Invoice AR-INV-7051</t>
  </si>
  <si>
    <t>GL-204</t>
  </si>
  <si>
    <t>Sales for Invoice AR-INV-7051</t>
  </si>
  <si>
    <t>GL-205</t>
  </si>
  <si>
    <t>COGS for Invoice AP-INV-5052</t>
  </si>
  <si>
    <t>GL-206</t>
  </si>
  <si>
    <t>AP for Invoice AP-INV-5052</t>
  </si>
  <si>
    <t>GL-207</t>
  </si>
  <si>
    <t>AR for Invoice AR-INV-7052</t>
  </si>
  <si>
    <t>GL-208</t>
  </si>
  <si>
    <t>Sales for Invoice AR-INV-7052</t>
  </si>
  <si>
    <t>GL-209</t>
  </si>
  <si>
    <t>COGS for Invoice AP-INV-5053</t>
  </si>
  <si>
    <t>GL-210</t>
  </si>
  <si>
    <t>AP for Invoice AP-INV-5053</t>
  </si>
  <si>
    <t>GL-211</t>
  </si>
  <si>
    <t>AR for Invoice AR-INV-7053</t>
  </si>
  <si>
    <t>GL-212</t>
  </si>
  <si>
    <t>Sales for Invoice AR-INV-7053</t>
  </si>
  <si>
    <t>GL-213</t>
  </si>
  <si>
    <t>COGS for Invoice AP-INV-5054</t>
  </si>
  <si>
    <t>GL-214</t>
  </si>
  <si>
    <t>AP for Invoice AP-INV-5054</t>
  </si>
  <si>
    <t>GL-215</t>
  </si>
  <si>
    <t>AR for Invoice AR-INV-7054</t>
  </si>
  <si>
    <t>GL-216</t>
  </si>
  <si>
    <t>Sales for Invoice AR-INV-7054</t>
  </si>
  <si>
    <t>GL-217</t>
  </si>
  <si>
    <t>COGS for Invoice AP-INV-5055</t>
  </si>
  <si>
    <t>GL-218</t>
  </si>
  <si>
    <t>AP for Invoice AP-INV-5055</t>
  </si>
  <si>
    <t>GL-219</t>
  </si>
  <si>
    <t>AR for Invoice AR-INV-7055</t>
  </si>
  <si>
    <t>GL-220</t>
  </si>
  <si>
    <t>Sales for Invoice AR-INV-7055</t>
  </si>
  <si>
    <t>GL-221</t>
  </si>
  <si>
    <t>COGS for Invoice AP-INV-5056</t>
  </si>
  <si>
    <t>GL-222</t>
  </si>
  <si>
    <t>AP for Invoice AP-INV-5056</t>
  </si>
  <si>
    <t>GL-223</t>
  </si>
  <si>
    <t>AR for Invoice AR-INV-7056</t>
  </si>
  <si>
    <t>GL-224</t>
  </si>
  <si>
    <t>Sales for Invoice AR-INV-7056</t>
  </si>
  <si>
    <t>GL-225</t>
  </si>
  <si>
    <t>COGS for Invoice AP-INV-5057</t>
  </si>
  <si>
    <t>GL-226</t>
  </si>
  <si>
    <t>AP for Invoice AP-INV-5057</t>
  </si>
  <si>
    <t>GL-227</t>
  </si>
  <si>
    <t>AR for Invoice AR-INV-7057</t>
  </si>
  <si>
    <t>GL-228</t>
  </si>
  <si>
    <t>Sales for Invoice AR-INV-7057</t>
  </si>
  <si>
    <t>GL-229</t>
  </si>
  <si>
    <t>COGS for Invoice AP-INV-5058</t>
  </si>
  <si>
    <t>GL-230</t>
  </si>
  <si>
    <t>AP for Invoice AP-INV-5058</t>
  </si>
  <si>
    <t>GL-231</t>
  </si>
  <si>
    <t>AR for Invoice AR-INV-7058</t>
  </si>
  <si>
    <t>GL-232</t>
  </si>
  <si>
    <t>Sales for Invoice AR-INV-7058</t>
  </si>
  <si>
    <t>GL-233</t>
  </si>
  <si>
    <t>COGS for Invoice AP-INV-5059</t>
  </si>
  <si>
    <t>GL-234</t>
  </si>
  <si>
    <t>AP for Invoice AP-INV-5059</t>
  </si>
  <si>
    <t>GL-235</t>
  </si>
  <si>
    <t>AR for Invoice AR-INV-7059</t>
  </si>
  <si>
    <t>GL-236</t>
  </si>
  <si>
    <t>Sales for Invoice AR-INV-7059</t>
  </si>
  <si>
    <t>GL-237</t>
  </si>
  <si>
    <t>COGS for Invoice AP-INV-5060</t>
  </si>
  <si>
    <t>GL-238</t>
  </si>
  <si>
    <t>AP for Invoice AP-INV-5060</t>
  </si>
  <si>
    <t>GL-239</t>
  </si>
  <si>
    <t>AR for Invoice AR-INV-7060</t>
  </si>
  <si>
    <t>GL-240</t>
  </si>
  <si>
    <t>Sales for Invoice AR-INV-7060</t>
  </si>
  <si>
    <t>GL-241</t>
  </si>
  <si>
    <t>COGS for Invoice AP-INV-5061</t>
  </si>
  <si>
    <t>GL-242</t>
  </si>
  <si>
    <t>AP for Invoice AP-INV-5061</t>
  </si>
  <si>
    <t>GL-243</t>
  </si>
  <si>
    <t>AR for Invoice AR-INV-7061</t>
  </si>
  <si>
    <t>GL-244</t>
  </si>
  <si>
    <t>Sales for Invoice AR-INV-7061</t>
  </si>
  <si>
    <t>GL-245</t>
  </si>
  <si>
    <t>COGS for Invoice AP-INV-5062</t>
  </si>
  <si>
    <t>GL-246</t>
  </si>
  <si>
    <t>AP for Invoice AP-INV-5062</t>
  </si>
  <si>
    <t>GL-247</t>
  </si>
  <si>
    <t>AR for Invoice AR-INV-7062</t>
  </si>
  <si>
    <t>GL-248</t>
  </si>
  <si>
    <t>Sales for Invoice AR-INV-7062</t>
  </si>
  <si>
    <t>GL-249</t>
  </si>
  <si>
    <t>COGS for Invoice AP-INV-5063</t>
  </si>
  <si>
    <t>GL-250</t>
  </si>
  <si>
    <t>AP for Invoice AP-INV-5063</t>
  </si>
  <si>
    <t>GL-251</t>
  </si>
  <si>
    <t>AR for Invoice AR-INV-7063</t>
  </si>
  <si>
    <t>GL-252</t>
  </si>
  <si>
    <t>Sales for Invoice AR-INV-7063</t>
  </si>
  <si>
    <t>GL-253</t>
  </si>
  <si>
    <t>COGS for Invoice AP-INV-5064</t>
  </si>
  <si>
    <t>GL-254</t>
  </si>
  <si>
    <t>AP for Invoice AP-INV-5064</t>
  </si>
  <si>
    <t>GL-255</t>
  </si>
  <si>
    <t>AR for Invoice AR-INV-7064</t>
  </si>
  <si>
    <t>GL-256</t>
  </si>
  <si>
    <t>Sales for Invoice AR-INV-7064</t>
  </si>
  <si>
    <t>GL-257</t>
  </si>
  <si>
    <t>COGS for Invoice AP-INV-5065</t>
  </si>
  <si>
    <t>GL-258</t>
  </si>
  <si>
    <t>AP for Invoice AP-INV-5065</t>
  </si>
  <si>
    <t>GL-259</t>
  </si>
  <si>
    <t>AR for Invoice AR-INV-7065</t>
  </si>
  <si>
    <t>GL-260</t>
  </si>
  <si>
    <t>Sales for Invoice AR-INV-7065</t>
  </si>
  <si>
    <t>GL-261</t>
  </si>
  <si>
    <t>COGS for Invoice AP-INV-5066</t>
  </si>
  <si>
    <t>GL-262</t>
  </si>
  <si>
    <t>AP for Invoice AP-INV-5066</t>
  </si>
  <si>
    <t>GL-263</t>
  </si>
  <si>
    <t>AR for Invoice AR-INV-7066</t>
  </si>
  <si>
    <t>GL-264</t>
  </si>
  <si>
    <t>Sales for Invoice AR-INV-7066</t>
  </si>
  <si>
    <t>GL-265</t>
  </si>
  <si>
    <t>COGS for Invoice AP-INV-5067</t>
  </si>
  <si>
    <t>GL-266</t>
  </si>
  <si>
    <t>AP for Invoice AP-INV-5067</t>
  </si>
  <si>
    <t>GL-267</t>
  </si>
  <si>
    <t>AR for Invoice AR-INV-7067</t>
  </si>
  <si>
    <t>GL-268</t>
  </si>
  <si>
    <t>Sales for Invoice AR-INV-7067</t>
  </si>
  <si>
    <t>GL-269</t>
  </si>
  <si>
    <t>COGS for Invoice AP-INV-5068</t>
  </si>
  <si>
    <t>GL-270</t>
  </si>
  <si>
    <t>AP for Invoice AP-INV-5068</t>
  </si>
  <si>
    <t>GL-271</t>
  </si>
  <si>
    <t>AR for Invoice AR-INV-7068</t>
  </si>
  <si>
    <t>GL-272</t>
  </si>
  <si>
    <t>Sales for Invoice AR-INV-7068</t>
  </si>
  <si>
    <t>GL-273</t>
  </si>
  <si>
    <t>COGS for Invoice AP-INV-5069</t>
  </si>
  <si>
    <t>GL-274</t>
  </si>
  <si>
    <t>AP for Invoice AP-INV-5069</t>
  </si>
  <si>
    <t>GL-275</t>
  </si>
  <si>
    <t>AR for Invoice AR-INV-7069</t>
  </si>
  <si>
    <t>GL-276</t>
  </si>
  <si>
    <t>Sales for Invoice AR-INV-7069</t>
  </si>
  <si>
    <t>GL-277</t>
  </si>
  <si>
    <t>COGS for Invoice AP-INV-5070</t>
  </si>
  <si>
    <t>GL-278</t>
  </si>
  <si>
    <t>AP for Invoice AP-INV-5070</t>
  </si>
  <si>
    <t>GL-279</t>
  </si>
  <si>
    <t>AR for Invoice AR-INV-7070</t>
  </si>
  <si>
    <t>GL-280</t>
  </si>
  <si>
    <t>Sales for Invoice AR-INV-7070</t>
  </si>
  <si>
    <t>GL-281</t>
  </si>
  <si>
    <t>COGS for Invoice AP-INV-5071</t>
  </si>
  <si>
    <t>GL-282</t>
  </si>
  <si>
    <t>AP for Invoice AP-INV-5071</t>
  </si>
  <si>
    <t>GL-283</t>
  </si>
  <si>
    <t>AR for Invoice AR-INV-7071</t>
  </si>
  <si>
    <t>GL-284</t>
  </si>
  <si>
    <t>Sales for Invoice AR-INV-7071</t>
  </si>
  <si>
    <t>GL-285</t>
  </si>
  <si>
    <t>COGS for Invoice AP-INV-5072</t>
  </si>
  <si>
    <t>GL-286</t>
  </si>
  <si>
    <t>AP for Invoice AP-INV-5072</t>
  </si>
  <si>
    <t>GL-287</t>
  </si>
  <si>
    <t>AR for Invoice AR-INV-7072</t>
  </si>
  <si>
    <t>GL-288</t>
  </si>
  <si>
    <t>Sales for Invoice AR-INV-7072</t>
  </si>
  <si>
    <t>GL-289</t>
  </si>
  <si>
    <t>COGS for Invoice AP-INV-5073</t>
  </si>
  <si>
    <t>GL-290</t>
  </si>
  <si>
    <t>AP for Invoice AP-INV-5073</t>
  </si>
  <si>
    <t>GL-291</t>
  </si>
  <si>
    <t>AR for Invoice AR-INV-7073</t>
  </si>
  <si>
    <t>GL-292</t>
  </si>
  <si>
    <t>Sales for Invoice AR-INV-7073</t>
  </si>
  <si>
    <t>GL-293</t>
  </si>
  <si>
    <t>COGS for Invoice AP-INV-5074</t>
  </si>
  <si>
    <t>GL-294</t>
  </si>
  <si>
    <t>AP for Invoice AP-INV-5074</t>
  </si>
  <si>
    <t>GL-295</t>
  </si>
  <si>
    <t>AR for Invoice AR-INV-7074</t>
  </si>
  <si>
    <t>GL-296</t>
  </si>
  <si>
    <t>Sales for Invoice AR-INV-7074</t>
  </si>
  <si>
    <t>GL-297</t>
  </si>
  <si>
    <t>COGS for Invoice AP-INV-5075</t>
  </si>
  <si>
    <t>GL-298</t>
  </si>
  <si>
    <t>AP for Invoice AP-INV-5075</t>
  </si>
  <si>
    <t>GL-299</t>
  </si>
  <si>
    <t>AR for Invoice AR-INV-7075</t>
  </si>
  <si>
    <t>GL-300</t>
  </si>
  <si>
    <t>Sales for Invoice AR-INV-7075</t>
  </si>
  <si>
    <t>GL-301</t>
  </si>
  <si>
    <t>COGS for Invoice AP-INV-5076</t>
  </si>
  <si>
    <t>GL-302</t>
  </si>
  <si>
    <t>AP for Invoice AP-INV-5076</t>
  </si>
  <si>
    <t>GL-303</t>
  </si>
  <si>
    <t>AR for Invoice AR-INV-7076</t>
  </si>
  <si>
    <t>GL-304</t>
  </si>
  <si>
    <t>Sales for Invoice AR-INV-7076</t>
  </si>
  <si>
    <t>GL-305</t>
  </si>
  <si>
    <t>COGS for Invoice AP-INV-5077</t>
  </si>
  <si>
    <t>GL-306</t>
  </si>
  <si>
    <t>AP for Invoice AP-INV-5077</t>
  </si>
  <si>
    <t>GL-307</t>
  </si>
  <si>
    <t>AR for Invoice AR-INV-7077</t>
  </si>
  <si>
    <t>GL-308</t>
  </si>
  <si>
    <t>Sales for Invoice AR-INV-7077</t>
  </si>
  <si>
    <t>GL-309</t>
  </si>
  <si>
    <t>COGS for Invoice AP-INV-5078</t>
  </si>
  <si>
    <t>GL-310</t>
  </si>
  <si>
    <t>AP for Invoice AP-INV-5078</t>
  </si>
  <si>
    <t>GL-311</t>
  </si>
  <si>
    <t>AR for Invoice AR-INV-7078</t>
  </si>
  <si>
    <t>GL-312</t>
  </si>
  <si>
    <t>Sales for Invoice AR-INV-7078</t>
  </si>
  <si>
    <t>GL-313</t>
  </si>
  <si>
    <t>COGS for Invoice AP-INV-5079</t>
  </si>
  <si>
    <t>GL-314</t>
  </si>
  <si>
    <t>AP for Invoice AP-INV-5079</t>
  </si>
  <si>
    <t>GL-315</t>
  </si>
  <si>
    <t>AR for Invoice AR-INV-7079</t>
  </si>
  <si>
    <t>GL-316</t>
  </si>
  <si>
    <t>Sales for Invoice AR-INV-7079</t>
  </si>
  <si>
    <t>GL-317</t>
  </si>
  <si>
    <t>COGS for Invoice AP-INV-5080</t>
  </si>
  <si>
    <t>GL-318</t>
  </si>
  <si>
    <t>AP for Invoice AP-INV-5080</t>
  </si>
  <si>
    <t>GL-319</t>
  </si>
  <si>
    <t>AR for Invoice AR-INV-7080</t>
  </si>
  <si>
    <t>GL-320</t>
  </si>
  <si>
    <t>Sales for Invoice AR-INV-7080</t>
  </si>
  <si>
    <t>GL-321</t>
  </si>
  <si>
    <t>COGS for Invoice AP-INV-5081</t>
  </si>
  <si>
    <t>GL-322</t>
  </si>
  <si>
    <t>AP for Invoice AP-INV-5081</t>
  </si>
  <si>
    <t>GL-323</t>
  </si>
  <si>
    <t>AR for Invoice AR-INV-7081</t>
  </si>
  <si>
    <t>GL-324</t>
  </si>
  <si>
    <t>Sales for Invoice AR-INV-7081</t>
  </si>
  <si>
    <t>GL-325</t>
  </si>
  <si>
    <t>COGS for Invoice AP-INV-5082</t>
  </si>
  <si>
    <t>GL-326</t>
  </si>
  <si>
    <t>AP for Invoice AP-INV-5082</t>
  </si>
  <si>
    <t>GL-327</t>
  </si>
  <si>
    <t>AR for Invoice AR-INV-7082</t>
  </si>
  <si>
    <t>GL-328</t>
  </si>
  <si>
    <t>Sales for Invoice AR-INV-7082</t>
  </si>
  <si>
    <t>GL-329</t>
  </si>
  <si>
    <t>COGS for Invoice AP-INV-5083</t>
  </si>
  <si>
    <t>GL-330</t>
  </si>
  <si>
    <t>AP for Invoice AP-INV-5083</t>
  </si>
  <si>
    <t>GL-331</t>
  </si>
  <si>
    <t>AR for Invoice AR-INV-7083</t>
  </si>
  <si>
    <t>GL-332</t>
  </si>
  <si>
    <t>Sales for Invoice AR-INV-7083</t>
  </si>
  <si>
    <t>GL-333</t>
  </si>
  <si>
    <t>COGS for Invoice AP-INV-5084</t>
  </si>
  <si>
    <t>GL-334</t>
  </si>
  <si>
    <t>AP for Invoice AP-INV-5084</t>
  </si>
  <si>
    <t>GL-335</t>
  </si>
  <si>
    <t>AR for Invoice AR-INV-7084</t>
  </si>
  <si>
    <t>GL-336</t>
  </si>
  <si>
    <t>Sales for Invoice AR-INV-7084</t>
  </si>
  <si>
    <t>GL-337</t>
  </si>
  <si>
    <t>COGS for Invoice AP-INV-5085</t>
  </si>
  <si>
    <t>GL-338</t>
  </si>
  <si>
    <t>AP for Invoice AP-INV-5085</t>
  </si>
  <si>
    <t>GL-339</t>
  </si>
  <si>
    <t>AR for Invoice AR-INV-7085</t>
  </si>
  <si>
    <t>GL-340</t>
  </si>
  <si>
    <t>Sales for Invoice AR-INV-7085</t>
  </si>
  <si>
    <t>GL-341</t>
  </si>
  <si>
    <t>COGS for Invoice AP-INV-5086</t>
  </si>
  <si>
    <t>GL-342</t>
  </si>
  <si>
    <t>AP for Invoice AP-INV-5086</t>
  </si>
  <si>
    <t>GL-343</t>
  </si>
  <si>
    <t>AR for Invoice AR-INV-7086</t>
  </si>
  <si>
    <t>GL-344</t>
  </si>
  <si>
    <t>Sales for Invoice AR-INV-7086</t>
  </si>
  <si>
    <t>GL-345</t>
  </si>
  <si>
    <t>COGS for Invoice AP-INV-5087</t>
  </si>
  <si>
    <t>GL-346</t>
  </si>
  <si>
    <t>AP for Invoice AP-INV-5087</t>
  </si>
  <si>
    <t>GL-347</t>
  </si>
  <si>
    <t>AR for Invoice AR-INV-7087</t>
  </si>
  <si>
    <t>GL-348</t>
  </si>
  <si>
    <t>Sales for Invoice AR-INV-7087</t>
  </si>
  <si>
    <t>GL-349</t>
  </si>
  <si>
    <t>COGS for Invoice AP-INV-5088</t>
  </si>
  <si>
    <t>GL-350</t>
  </si>
  <si>
    <t>AP for Invoice AP-INV-5088</t>
  </si>
  <si>
    <t>GL-351</t>
  </si>
  <si>
    <t>AR for Invoice AR-INV-7088</t>
  </si>
  <si>
    <t>GL-352</t>
  </si>
  <si>
    <t>Sales for Invoice AR-INV-7088</t>
  </si>
  <si>
    <t>GL-353</t>
  </si>
  <si>
    <t>COGS for Invoice AP-INV-5089</t>
  </si>
  <si>
    <t>GL-354</t>
  </si>
  <si>
    <t>AP for Invoice AP-INV-5089</t>
  </si>
  <si>
    <t>GL-355</t>
  </si>
  <si>
    <t>AR for Invoice AR-INV-7089</t>
  </si>
  <si>
    <t>GL-356</t>
  </si>
  <si>
    <t>Sales for Invoice AR-INV-7089</t>
  </si>
  <si>
    <t>GL-357</t>
  </si>
  <si>
    <t>COGS for Invoice AP-INV-5090</t>
  </si>
  <si>
    <t>GL-358</t>
  </si>
  <si>
    <t>AP for Invoice AP-INV-5090</t>
  </si>
  <si>
    <t>GL-359</t>
  </si>
  <si>
    <t>AR for Invoice AR-INV-7090</t>
  </si>
  <si>
    <t>GL-360</t>
  </si>
  <si>
    <t>Sales for Invoice AR-INV-7090</t>
  </si>
  <si>
    <t>GL-361</t>
  </si>
  <si>
    <t>COGS for Invoice AP-INV-5091</t>
  </si>
  <si>
    <t>GL-362</t>
  </si>
  <si>
    <t>AP for Invoice AP-INV-5091</t>
  </si>
  <si>
    <t>GL-363</t>
  </si>
  <si>
    <t>AR for Invoice AR-INV-7091</t>
  </si>
  <si>
    <t>GL-364</t>
  </si>
  <si>
    <t>Sales for Invoice AR-INV-7091</t>
  </si>
  <si>
    <t>GL-365</t>
  </si>
  <si>
    <t>COGS for Invoice AP-INV-5092</t>
  </si>
  <si>
    <t>GL-366</t>
  </si>
  <si>
    <t>AP for Invoice AP-INV-5092</t>
  </si>
  <si>
    <t>GL-367</t>
  </si>
  <si>
    <t>AR for Invoice AR-INV-7092</t>
  </si>
  <si>
    <t>GL-368</t>
  </si>
  <si>
    <t>Sales for Invoice AR-INV-7092</t>
  </si>
  <si>
    <t>GL-369</t>
  </si>
  <si>
    <t>COGS for Invoice AP-INV-5093</t>
  </si>
  <si>
    <t>GL-370</t>
  </si>
  <si>
    <t>AP for Invoice AP-INV-5093</t>
  </si>
  <si>
    <t>GL-371</t>
  </si>
  <si>
    <t>AR for Invoice AR-INV-7093</t>
  </si>
  <si>
    <t>GL-372</t>
  </si>
  <si>
    <t>Sales for Invoice AR-INV-7093</t>
  </si>
  <si>
    <t>GL-373</t>
  </si>
  <si>
    <t>COGS for Invoice AP-INV-5094</t>
  </si>
  <si>
    <t>GL-374</t>
  </si>
  <si>
    <t>AP for Invoice AP-INV-5094</t>
  </si>
  <si>
    <t>GL-375</t>
  </si>
  <si>
    <t>AR for Invoice AR-INV-7094</t>
  </si>
  <si>
    <t>GL-376</t>
  </si>
  <si>
    <t>Sales for Invoice AR-INV-7094</t>
  </si>
  <si>
    <t>GL-377</t>
  </si>
  <si>
    <t>COGS for Invoice AP-INV-5095</t>
  </si>
  <si>
    <t>GL-378</t>
  </si>
  <si>
    <t>AP for Invoice AP-INV-5095</t>
  </si>
  <si>
    <t>GL-379</t>
  </si>
  <si>
    <t>AR for Invoice AR-INV-7095</t>
  </si>
  <si>
    <t>GL-380</t>
  </si>
  <si>
    <t>Sales for Invoice AR-INV-7095</t>
  </si>
  <si>
    <t>GL-381</t>
  </si>
  <si>
    <t>COGS for Invoice AP-INV-5096</t>
  </si>
  <si>
    <t>GL-382</t>
  </si>
  <si>
    <t>AP for Invoice AP-INV-5096</t>
  </si>
  <si>
    <t>GL-383</t>
  </si>
  <si>
    <t>AR for Invoice AR-INV-7096</t>
  </si>
  <si>
    <t>GL-384</t>
  </si>
  <si>
    <t>Sales for Invoice AR-INV-7096</t>
  </si>
  <si>
    <t>GL-385</t>
  </si>
  <si>
    <t>COGS for Invoice AP-INV-5097</t>
  </si>
  <si>
    <t>GL-386</t>
  </si>
  <si>
    <t>AP for Invoice AP-INV-5097</t>
  </si>
  <si>
    <t>GL-387</t>
  </si>
  <si>
    <t>AR for Invoice AR-INV-7097</t>
  </si>
  <si>
    <t>GL-388</t>
  </si>
  <si>
    <t>Sales for Invoice AR-INV-7097</t>
  </si>
  <si>
    <t>GL-389</t>
  </si>
  <si>
    <t>COGS for Invoice AP-INV-5098</t>
  </si>
  <si>
    <t>GL-390</t>
  </si>
  <si>
    <t>AP for Invoice AP-INV-5098</t>
  </si>
  <si>
    <t>GL-391</t>
  </si>
  <si>
    <t>AR for Invoice AR-INV-7098</t>
  </si>
  <si>
    <t>GL-392</t>
  </si>
  <si>
    <t>Sales for Invoice AR-INV-7098</t>
  </si>
  <si>
    <t>GL-393</t>
  </si>
  <si>
    <t>COGS for Invoice AP-INV-5099</t>
  </si>
  <si>
    <t>GL-394</t>
  </si>
  <si>
    <t>AP for Invoice AP-INV-5099</t>
  </si>
  <si>
    <t>GL-395</t>
  </si>
  <si>
    <t>AR for Invoice AR-INV-7099</t>
  </si>
  <si>
    <t>GL-396</t>
  </si>
  <si>
    <t>Sales for Invoice AR-INV-7099</t>
  </si>
  <si>
    <t>GL-397</t>
  </si>
  <si>
    <t>COGS for Invoice AP-INV-5100</t>
  </si>
  <si>
    <t>GL-398</t>
  </si>
  <si>
    <t>AP for Invoice AP-INV-5100</t>
  </si>
  <si>
    <t>GL-399</t>
  </si>
  <si>
    <t>AR for Invoice AR-INV-7100</t>
  </si>
  <si>
    <t>GL-400</t>
  </si>
  <si>
    <t>Sales for Invoice AR-INV-7100</t>
  </si>
  <si>
    <t>GL-401</t>
  </si>
  <si>
    <t>COGS for Invoice AP-INV-5101</t>
  </si>
  <si>
    <t>GL-402</t>
  </si>
  <si>
    <t>AP for Invoice AP-INV-5101</t>
  </si>
  <si>
    <t>GL-403</t>
  </si>
  <si>
    <t>AR for Invoice AR-INV-7101</t>
  </si>
  <si>
    <t>GL-404</t>
  </si>
  <si>
    <t>Sales for Invoice AR-INV-7101</t>
  </si>
  <si>
    <t>GL-405</t>
  </si>
  <si>
    <t>COGS for Invoice AP-INV-5102</t>
  </si>
  <si>
    <t>GL-406</t>
  </si>
  <si>
    <t>AP for Invoice AP-INV-5102</t>
  </si>
  <si>
    <t>GL-407</t>
  </si>
  <si>
    <t>AR for Invoice AR-INV-7102</t>
  </si>
  <si>
    <t>GL-408</t>
  </si>
  <si>
    <t>Sales for Invoice AR-INV-7102</t>
  </si>
  <si>
    <t>GL-409</t>
  </si>
  <si>
    <t>COGS for Invoice AP-INV-5103</t>
  </si>
  <si>
    <t>GL-410</t>
  </si>
  <si>
    <t>AP for Invoice AP-INV-5103</t>
  </si>
  <si>
    <t>GL-411</t>
  </si>
  <si>
    <t>AR for Invoice AR-INV-7103</t>
  </si>
  <si>
    <t>GL-412</t>
  </si>
  <si>
    <t>Sales for Invoice AR-INV-7103</t>
  </si>
  <si>
    <t>GL-413</t>
  </si>
  <si>
    <t>COGS for Invoice AP-INV-5104</t>
  </si>
  <si>
    <t>GL-414</t>
  </si>
  <si>
    <t>AP for Invoice AP-INV-5104</t>
  </si>
  <si>
    <t>GL-415</t>
  </si>
  <si>
    <t>AR for Invoice AR-INV-7104</t>
  </si>
  <si>
    <t>GL-416</t>
  </si>
  <si>
    <t>Sales for Invoice AR-INV-7104</t>
  </si>
  <si>
    <t>GL-417</t>
  </si>
  <si>
    <t>COGS for Invoice AP-INV-5105</t>
  </si>
  <si>
    <t>GL-418</t>
  </si>
  <si>
    <t>AP for Invoice AP-INV-5105</t>
  </si>
  <si>
    <t>GL-419</t>
  </si>
  <si>
    <t>AR for Invoice AR-INV-7105</t>
  </si>
  <si>
    <t>GL-420</t>
  </si>
  <si>
    <t>Sales for Invoice AR-INV-7105</t>
  </si>
  <si>
    <t>GL-421</t>
  </si>
  <si>
    <t>COGS for Invoice AP-INV-5106</t>
  </si>
  <si>
    <t>GL-422</t>
  </si>
  <si>
    <t>AP for Invoice AP-INV-5106</t>
  </si>
  <si>
    <t>GL-423</t>
  </si>
  <si>
    <t>AR for Invoice AR-INV-7106</t>
  </si>
  <si>
    <t>GL-424</t>
  </si>
  <si>
    <t>Sales for Invoice AR-INV-7106</t>
  </si>
  <si>
    <t>GL-425</t>
  </si>
  <si>
    <t>COGS for Invoice AP-INV-5107</t>
  </si>
  <si>
    <t>GL-426</t>
  </si>
  <si>
    <t>AP for Invoice AP-INV-5107</t>
  </si>
  <si>
    <t>GL-427</t>
  </si>
  <si>
    <t>AR for Invoice AR-INV-7107</t>
  </si>
  <si>
    <t>GL-428</t>
  </si>
  <si>
    <t>Sales for Invoice AR-INV-7107</t>
  </si>
  <si>
    <t>GL-429</t>
  </si>
  <si>
    <t>COGS for Invoice AP-INV-5108</t>
  </si>
  <si>
    <t>GL-430</t>
  </si>
  <si>
    <t>AP for Invoice AP-INV-5108</t>
  </si>
  <si>
    <t>GL-431</t>
  </si>
  <si>
    <t>AR for Invoice AR-INV-7108</t>
  </si>
  <si>
    <t>GL-432</t>
  </si>
  <si>
    <t>Sales for Invoice AR-INV-7108</t>
  </si>
  <si>
    <t>GL-433</t>
  </si>
  <si>
    <t>COGS for Invoice AP-INV-5109</t>
  </si>
  <si>
    <t>GL-434</t>
  </si>
  <si>
    <t>AP for Invoice AP-INV-5109</t>
  </si>
  <si>
    <t>GL-435</t>
  </si>
  <si>
    <t>AR for Invoice AR-INV-7109</t>
  </si>
  <si>
    <t>GL-436</t>
  </si>
  <si>
    <t>Sales for Invoice AR-INV-7109</t>
  </si>
  <si>
    <t>GL-437</t>
  </si>
  <si>
    <t>COGS for Invoice AP-INV-5110</t>
  </si>
  <si>
    <t>GL-438</t>
  </si>
  <si>
    <t>AP for Invoice AP-INV-5110</t>
  </si>
  <si>
    <t>GL-439</t>
  </si>
  <si>
    <t>AR for Invoice AR-INV-7110</t>
  </si>
  <si>
    <t>GL-440</t>
  </si>
  <si>
    <t>Sales for Invoice AR-INV-7110</t>
  </si>
  <si>
    <t>GL-441</t>
  </si>
  <si>
    <t>COGS for Invoice AP-INV-5111</t>
  </si>
  <si>
    <t>GL-442</t>
  </si>
  <si>
    <t>AP for Invoice AP-INV-5111</t>
  </si>
  <si>
    <t>GL-443</t>
  </si>
  <si>
    <t>AR for Invoice AR-INV-7111</t>
  </si>
  <si>
    <t>GL-444</t>
  </si>
  <si>
    <t>Sales for Invoice AR-INV-7111</t>
  </si>
  <si>
    <t>GL-445</t>
  </si>
  <si>
    <t>COGS for Invoice AP-INV-5112</t>
  </si>
  <si>
    <t>GL-446</t>
  </si>
  <si>
    <t>AP for Invoice AP-INV-5112</t>
  </si>
  <si>
    <t>GL-447</t>
  </si>
  <si>
    <t>AR for Invoice AR-INV-7112</t>
  </si>
  <si>
    <t>GL-448</t>
  </si>
  <si>
    <t>Sales for Invoice AR-INV-7112</t>
  </si>
  <si>
    <t>GL-449</t>
  </si>
  <si>
    <t>COGS for Invoice AP-INV-5113</t>
  </si>
  <si>
    <t>GL-450</t>
  </si>
  <si>
    <t>AP for Invoice AP-INV-5113</t>
  </si>
  <si>
    <t>GL-451</t>
  </si>
  <si>
    <t>AR for Invoice AR-INV-7113</t>
  </si>
  <si>
    <t>GL-452</t>
  </si>
  <si>
    <t>Sales for Invoice AR-INV-7113</t>
  </si>
  <si>
    <t>GL-453</t>
  </si>
  <si>
    <t>COGS for Invoice AP-INV-5114</t>
  </si>
  <si>
    <t>GL-454</t>
  </si>
  <si>
    <t>AP for Invoice AP-INV-5114</t>
  </si>
  <si>
    <t>GL-455</t>
  </si>
  <si>
    <t>AR for Invoice AR-INV-7114</t>
  </si>
  <si>
    <t>GL-456</t>
  </si>
  <si>
    <t>Sales for Invoice AR-INV-7114</t>
  </si>
  <si>
    <t>GL-457</t>
  </si>
  <si>
    <t>COGS for Invoice AP-INV-5115</t>
  </si>
  <si>
    <t>GL-458</t>
  </si>
  <si>
    <t>AP for Invoice AP-INV-5115</t>
  </si>
  <si>
    <t>GL-459</t>
  </si>
  <si>
    <t>AR for Invoice AR-INV-7115</t>
  </si>
  <si>
    <t>GL-460</t>
  </si>
  <si>
    <t>Sales for Invoice AR-INV-7115</t>
  </si>
  <si>
    <t>GL-461</t>
  </si>
  <si>
    <t>COGS for Invoice AP-INV-5116</t>
  </si>
  <si>
    <t>GL-462</t>
  </si>
  <si>
    <t>AP for Invoice AP-INV-5116</t>
  </si>
  <si>
    <t>GL-463</t>
  </si>
  <si>
    <t>AR for Invoice AR-INV-7116</t>
  </si>
  <si>
    <t>GL-464</t>
  </si>
  <si>
    <t>Sales for Invoice AR-INV-7116</t>
  </si>
  <si>
    <t>GL-465</t>
  </si>
  <si>
    <t>COGS for Invoice AP-INV-5117</t>
  </si>
  <si>
    <t>GL-466</t>
  </si>
  <si>
    <t>AP for Invoice AP-INV-5117</t>
  </si>
  <si>
    <t>GL-467</t>
  </si>
  <si>
    <t>AR for Invoice AR-INV-7117</t>
  </si>
  <si>
    <t>GL-468</t>
  </si>
  <si>
    <t>Sales for Invoice AR-INV-7117</t>
  </si>
  <si>
    <t>GL-469</t>
  </si>
  <si>
    <t>COGS for Invoice AP-INV-5118</t>
  </si>
  <si>
    <t>GL-470</t>
  </si>
  <si>
    <t>AP for Invoice AP-INV-5118</t>
  </si>
  <si>
    <t>GL-471</t>
  </si>
  <si>
    <t>AR for Invoice AR-INV-7118</t>
  </si>
  <si>
    <t>GL-472</t>
  </si>
  <si>
    <t>Sales for Invoice AR-INV-7118</t>
  </si>
  <si>
    <t>GL-473</t>
  </si>
  <si>
    <t>COGS for Invoice AP-INV-5119</t>
  </si>
  <si>
    <t>GL-474</t>
  </si>
  <si>
    <t>AP for Invoice AP-INV-5119</t>
  </si>
  <si>
    <t>GL-475</t>
  </si>
  <si>
    <t>AR for Invoice AR-INV-7119</t>
  </si>
  <si>
    <t>GL-476</t>
  </si>
  <si>
    <t>Sales for Invoice AR-INV-7119</t>
  </si>
  <si>
    <t>GL-477</t>
  </si>
  <si>
    <t>COGS for Invoice AP-INV-5120</t>
  </si>
  <si>
    <t>GL-478</t>
  </si>
  <si>
    <t>AP for Invoice AP-INV-5120</t>
  </si>
  <si>
    <t>GL-479</t>
  </si>
  <si>
    <t>AR for Invoice AR-INV-7120</t>
  </si>
  <si>
    <t>GL-480</t>
  </si>
  <si>
    <t>Sales for Invoice AR-INV-7120</t>
  </si>
  <si>
    <t>GL-481</t>
  </si>
  <si>
    <t>COGS for Invoice AP-INV-5121</t>
  </si>
  <si>
    <t>GL-482</t>
  </si>
  <si>
    <t>AP for Invoice AP-INV-5121</t>
  </si>
  <si>
    <t>GL-483</t>
  </si>
  <si>
    <t>AR for Invoice AR-INV-7121</t>
  </si>
  <si>
    <t>GL-484</t>
  </si>
  <si>
    <t>Sales for Invoice AR-INV-7121</t>
  </si>
  <si>
    <t>GL-485</t>
  </si>
  <si>
    <t>COGS for Invoice AP-INV-5122</t>
  </si>
  <si>
    <t>GL-486</t>
  </si>
  <si>
    <t>AP for Invoice AP-INV-5122</t>
  </si>
  <si>
    <t>GL-487</t>
  </si>
  <si>
    <t>AR for Invoice AR-INV-7122</t>
  </si>
  <si>
    <t>GL-488</t>
  </si>
  <si>
    <t>Sales for Invoice AR-INV-7122</t>
  </si>
  <si>
    <t>GL-489</t>
  </si>
  <si>
    <t>COGS for Invoice AP-INV-5123</t>
  </si>
  <si>
    <t>GL-490</t>
  </si>
  <si>
    <t>AP for Invoice AP-INV-5123</t>
  </si>
  <si>
    <t>GL-491</t>
  </si>
  <si>
    <t>AR for Invoice AR-INV-7123</t>
  </si>
  <si>
    <t>GL-492</t>
  </si>
  <si>
    <t>Sales for Invoice AR-INV-7123</t>
  </si>
  <si>
    <t>GL-493</t>
  </si>
  <si>
    <t>COGS for Invoice AP-INV-5124</t>
  </si>
  <si>
    <t>GL-494</t>
  </si>
  <si>
    <t>AP for Invoice AP-INV-5124</t>
  </si>
  <si>
    <t>GL-495</t>
  </si>
  <si>
    <t>AR for Invoice AR-INV-7124</t>
  </si>
  <si>
    <t>GL-496</t>
  </si>
  <si>
    <t>Sales for Invoice AR-INV-7124</t>
  </si>
  <si>
    <t>GL-497</t>
  </si>
  <si>
    <t>COGS for Invoice AP-INV-5125</t>
  </si>
  <si>
    <t>GL-498</t>
  </si>
  <si>
    <t>AP for Invoice AP-INV-5125</t>
  </si>
  <si>
    <t>GL-499</t>
  </si>
  <si>
    <t>AR for Invoice AR-INV-7125</t>
  </si>
  <si>
    <t>GL-500</t>
  </si>
  <si>
    <t>Sales for Invoice AR-INV-7125</t>
  </si>
  <si>
    <t>GL-501</t>
  </si>
  <si>
    <t>COGS for Invoice AP-INV-5126</t>
  </si>
  <si>
    <t>GL-502</t>
  </si>
  <si>
    <t>AP for Invoice AP-INV-5126</t>
  </si>
  <si>
    <t>GL-503</t>
  </si>
  <si>
    <t>AR for Invoice AR-INV-7126</t>
  </si>
  <si>
    <t>GL-504</t>
  </si>
  <si>
    <t>Sales for Invoice AR-INV-7126</t>
  </si>
  <si>
    <t>GL-505</t>
  </si>
  <si>
    <t>COGS for Invoice AP-INV-5127</t>
  </si>
  <si>
    <t>GL-506</t>
  </si>
  <si>
    <t>AP for Invoice AP-INV-5127</t>
  </si>
  <si>
    <t>GL-507</t>
  </si>
  <si>
    <t>AR for Invoice AR-INV-7127</t>
  </si>
  <si>
    <t>GL-508</t>
  </si>
  <si>
    <t>Sales for Invoice AR-INV-7127</t>
  </si>
  <si>
    <t>GL-509</t>
  </si>
  <si>
    <t>COGS for Invoice AP-INV-5128</t>
  </si>
  <si>
    <t>GL-510</t>
  </si>
  <si>
    <t>AP for Invoice AP-INV-5128</t>
  </si>
  <si>
    <t>GL-511</t>
  </si>
  <si>
    <t>AR for Invoice AR-INV-7128</t>
  </si>
  <si>
    <t>GL-512</t>
  </si>
  <si>
    <t>Sales for Invoice AR-INV-7128</t>
  </si>
  <si>
    <t>GL-513</t>
  </si>
  <si>
    <t>COGS for Invoice AP-INV-5129</t>
  </si>
  <si>
    <t>GL-514</t>
  </si>
  <si>
    <t>AP for Invoice AP-INV-5129</t>
  </si>
  <si>
    <t>GL-515</t>
  </si>
  <si>
    <t>AR for Invoice AR-INV-7129</t>
  </si>
  <si>
    <t>GL-516</t>
  </si>
  <si>
    <t>Sales for Invoice AR-INV-7129</t>
  </si>
  <si>
    <t>GL-517</t>
  </si>
  <si>
    <t>COGS for Invoice AP-INV-5130</t>
  </si>
  <si>
    <t>GL-518</t>
  </si>
  <si>
    <t>AP for Invoice AP-INV-5130</t>
  </si>
  <si>
    <t>GL-519</t>
  </si>
  <si>
    <t>AR for Invoice AR-INV-7130</t>
  </si>
  <si>
    <t>GL-520</t>
  </si>
  <si>
    <t>Sales for Invoice AR-INV-7130</t>
  </si>
  <si>
    <t>GL-521</t>
  </si>
  <si>
    <t>COGS for Invoice AP-INV-5131</t>
  </si>
  <si>
    <t>GL-522</t>
  </si>
  <si>
    <t>AP for Invoice AP-INV-5131</t>
  </si>
  <si>
    <t>GL-523</t>
  </si>
  <si>
    <t>AR for Invoice AR-INV-7131</t>
  </si>
  <si>
    <t>GL-524</t>
  </si>
  <si>
    <t>Sales for Invoice AR-INV-7131</t>
  </si>
  <si>
    <t>GL-525</t>
  </si>
  <si>
    <t>COGS for Invoice AP-INV-5132</t>
  </si>
  <si>
    <t>GL-526</t>
  </si>
  <si>
    <t>AP for Invoice AP-INV-5132</t>
  </si>
  <si>
    <t>GL-527</t>
  </si>
  <si>
    <t>AR for Invoice AR-INV-7132</t>
  </si>
  <si>
    <t>GL-528</t>
  </si>
  <si>
    <t>Sales for Invoice AR-INV-7132</t>
  </si>
  <si>
    <t>GL-529</t>
  </si>
  <si>
    <t>COGS for Invoice AP-INV-5133</t>
  </si>
  <si>
    <t>GL-530</t>
  </si>
  <si>
    <t>AP for Invoice AP-INV-5133</t>
  </si>
  <si>
    <t>GL-531</t>
  </si>
  <si>
    <t>AR for Invoice AR-INV-7133</t>
  </si>
  <si>
    <t>GL-532</t>
  </si>
  <si>
    <t>Sales for Invoice AR-INV-7133</t>
  </si>
  <si>
    <t>GL-533</t>
  </si>
  <si>
    <t>COGS for Invoice AP-INV-5134</t>
  </si>
  <si>
    <t>GL-534</t>
  </si>
  <si>
    <t>AP for Invoice AP-INV-5134</t>
  </si>
  <si>
    <t>GL-535</t>
  </si>
  <si>
    <t>AR for Invoice AR-INV-7134</t>
  </si>
  <si>
    <t>GL-536</t>
  </si>
  <si>
    <t>Sales for Invoice AR-INV-7134</t>
  </si>
  <si>
    <t>GL-537</t>
  </si>
  <si>
    <t>COGS for Invoice AP-INV-5135</t>
  </si>
  <si>
    <t>GL-538</t>
  </si>
  <si>
    <t>AP for Invoice AP-INV-5135</t>
  </si>
  <si>
    <t>GL-539</t>
  </si>
  <si>
    <t>AR for Invoice AR-INV-7135</t>
  </si>
  <si>
    <t>GL-540</t>
  </si>
  <si>
    <t>Sales for Invoice AR-INV-7135</t>
  </si>
  <si>
    <t>GL-541</t>
  </si>
  <si>
    <t>COGS for Invoice AP-INV-5136</t>
  </si>
  <si>
    <t>GL-542</t>
  </si>
  <si>
    <t>AP for Invoice AP-INV-5136</t>
  </si>
  <si>
    <t>GL-543</t>
  </si>
  <si>
    <t>AR for Invoice AR-INV-7136</t>
  </si>
  <si>
    <t>GL-544</t>
  </si>
  <si>
    <t>Sales for Invoice AR-INV-7136</t>
  </si>
  <si>
    <t>GL-545</t>
  </si>
  <si>
    <t>COGS for Invoice AP-INV-5137</t>
  </si>
  <si>
    <t>GL-546</t>
  </si>
  <si>
    <t>AP for Invoice AP-INV-5137</t>
  </si>
  <si>
    <t>GL-547</t>
  </si>
  <si>
    <t>AR for Invoice AR-INV-7137</t>
  </si>
  <si>
    <t>GL-548</t>
  </si>
  <si>
    <t>Sales for Invoice AR-INV-7137</t>
  </si>
  <si>
    <t>GL-549</t>
  </si>
  <si>
    <t>COGS for Invoice AP-INV-5138</t>
  </si>
  <si>
    <t>GL-550</t>
  </si>
  <si>
    <t>AP for Invoice AP-INV-5138</t>
  </si>
  <si>
    <t>GL-551</t>
  </si>
  <si>
    <t>AR for Invoice AR-INV-7138</t>
  </si>
  <si>
    <t>GL-552</t>
  </si>
  <si>
    <t>Sales for Invoice AR-INV-7138</t>
  </si>
  <si>
    <t>GL-553</t>
  </si>
  <si>
    <t>COGS for Invoice AP-INV-5139</t>
  </si>
  <si>
    <t>GL-554</t>
  </si>
  <si>
    <t>AP for Invoice AP-INV-5139</t>
  </si>
  <si>
    <t>GL-555</t>
  </si>
  <si>
    <t>AR for Invoice AR-INV-7139</t>
  </si>
  <si>
    <t>GL-556</t>
  </si>
  <si>
    <t>Sales for Invoice AR-INV-7139</t>
  </si>
  <si>
    <t>GL-557</t>
  </si>
  <si>
    <t>COGS for Invoice AP-INV-5140</t>
  </si>
  <si>
    <t>GL-558</t>
  </si>
  <si>
    <t>AP for Invoice AP-INV-5140</t>
  </si>
  <si>
    <t>GL-559</t>
  </si>
  <si>
    <t>AR for Invoice AR-INV-7140</t>
  </si>
  <si>
    <t>GL-560</t>
  </si>
  <si>
    <t>Sales for Invoice AR-INV-7140</t>
  </si>
  <si>
    <t>GL-561</t>
  </si>
  <si>
    <t>COGS for Invoice AP-INV-5141</t>
  </si>
  <si>
    <t>GL-562</t>
  </si>
  <si>
    <t>AP for Invoice AP-INV-5141</t>
  </si>
  <si>
    <t>GL-563</t>
  </si>
  <si>
    <t>AR for Invoice AR-INV-7141</t>
  </si>
  <si>
    <t>GL-564</t>
  </si>
  <si>
    <t>Sales for Invoice AR-INV-7141</t>
  </si>
  <si>
    <t>GL-565</t>
  </si>
  <si>
    <t>COGS for Invoice AP-INV-5142</t>
  </si>
  <si>
    <t>GL-566</t>
  </si>
  <si>
    <t>AP for Invoice AP-INV-5142</t>
  </si>
  <si>
    <t>GL-567</t>
  </si>
  <si>
    <t>AR for Invoice AR-INV-7142</t>
  </si>
  <si>
    <t>GL-568</t>
  </si>
  <si>
    <t>Sales for Invoice AR-INV-7142</t>
  </si>
  <si>
    <t>GL-569</t>
  </si>
  <si>
    <t>COGS for Invoice AP-INV-5143</t>
  </si>
  <si>
    <t>GL-570</t>
  </si>
  <si>
    <t>AP for Invoice AP-INV-5143</t>
  </si>
  <si>
    <t>GL-571</t>
  </si>
  <si>
    <t>AR for Invoice AR-INV-7143</t>
  </si>
  <si>
    <t>GL-572</t>
  </si>
  <si>
    <t>Sales for Invoice AR-INV-7143</t>
  </si>
  <si>
    <t>GL-573</t>
  </si>
  <si>
    <t>COGS for Invoice AP-INV-5144</t>
  </si>
  <si>
    <t>GL-574</t>
  </si>
  <si>
    <t>AP for Invoice AP-INV-5144</t>
  </si>
  <si>
    <t>GL-575</t>
  </si>
  <si>
    <t>AR for Invoice AR-INV-7144</t>
  </si>
  <si>
    <t>GL-576</t>
  </si>
  <si>
    <t>Sales for Invoice AR-INV-7144</t>
  </si>
  <si>
    <t>GL-577</t>
  </si>
  <si>
    <t>COGS for Invoice AP-INV-5145</t>
  </si>
  <si>
    <t>GL-578</t>
  </si>
  <si>
    <t>AP for Invoice AP-INV-5145</t>
  </si>
  <si>
    <t>GL-579</t>
  </si>
  <si>
    <t>AR for Invoice AR-INV-7145</t>
  </si>
  <si>
    <t>GL-580</t>
  </si>
  <si>
    <t>Sales for Invoice AR-INV-7145</t>
  </si>
  <si>
    <t>GL-581</t>
  </si>
  <si>
    <t>COGS for Invoice AP-INV-5146</t>
  </si>
  <si>
    <t>GL-582</t>
  </si>
  <si>
    <t>AP for Invoice AP-INV-5146</t>
  </si>
  <si>
    <t>GL-583</t>
  </si>
  <si>
    <t>AR for Invoice AR-INV-7146</t>
  </si>
  <si>
    <t>GL-584</t>
  </si>
  <si>
    <t>Sales for Invoice AR-INV-7146</t>
  </si>
  <si>
    <t>GL-585</t>
  </si>
  <si>
    <t>COGS for Invoice AP-INV-5147</t>
  </si>
  <si>
    <t>GL-586</t>
  </si>
  <si>
    <t>AP for Invoice AP-INV-5147</t>
  </si>
  <si>
    <t>GL-587</t>
  </si>
  <si>
    <t>AR for Invoice AR-INV-7147</t>
  </si>
  <si>
    <t>GL-588</t>
  </si>
  <si>
    <t>Sales for Invoice AR-INV-7147</t>
  </si>
  <si>
    <t>GL-589</t>
  </si>
  <si>
    <t>COGS for Invoice AP-INV-5148</t>
  </si>
  <si>
    <t>GL-590</t>
  </si>
  <si>
    <t>AP for Invoice AP-INV-5148</t>
  </si>
  <si>
    <t>GL-591</t>
  </si>
  <si>
    <t>AR for Invoice AR-INV-7148</t>
  </si>
  <si>
    <t>GL-592</t>
  </si>
  <si>
    <t>Sales for Invoice AR-INV-7148</t>
  </si>
  <si>
    <t>GL-593</t>
  </si>
  <si>
    <t>COGS for Invoice AP-INV-5149</t>
  </si>
  <si>
    <t>GL-594</t>
  </si>
  <si>
    <t>AP for Invoice AP-INV-5149</t>
  </si>
  <si>
    <t>GL-595</t>
  </si>
  <si>
    <t>AR for Invoice AR-INV-7149</t>
  </si>
  <si>
    <t>GL-596</t>
  </si>
  <si>
    <t>Sales for Invoice AR-INV-7149</t>
  </si>
  <si>
    <t>GL-597</t>
  </si>
  <si>
    <t>COGS for Invoice AP-INV-5150</t>
  </si>
  <si>
    <t>GL-598</t>
  </si>
  <si>
    <t>AP for Invoice AP-INV-5150</t>
  </si>
  <si>
    <t>GL-599</t>
  </si>
  <si>
    <t>AR for Invoice AR-INV-7150</t>
  </si>
  <si>
    <t>GL-600</t>
  </si>
  <si>
    <t>Sales for Invoice AR-INV-7150</t>
  </si>
  <si>
    <t>GL-601</t>
  </si>
  <si>
    <t>COGS for Invoice AP-INV-5151</t>
  </si>
  <si>
    <t>GL-602</t>
  </si>
  <si>
    <t>AP for Invoice AP-INV-5151</t>
  </si>
  <si>
    <t>GL-603</t>
  </si>
  <si>
    <t>AR for Invoice AR-INV-7151</t>
  </si>
  <si>
    <t>GL-604</t>
  </si>
  <si>
    <t>Sales for Invoice AR-INV-7151</t>
  </si>
  <si>
    <t>GL-605</t>
  </si>
  <si>
    <t>COGS for Invoice AP-INV-5152</t>
  </si>
  <si>
    <t>GL-606</t>
  </si>
  <si>
    <t>AP for Invoice AP-INV-5152</t>
  </si>
  <si>
    <t>GL-607</t>
  </si>
  <si>
    <t>AR for Invoice AR-INV-7152</t>
  </si>
  <si>
    <t>GL-608</t>
  </si>
  <si>
    <t>Sales for Invoice AR-INV-7152</t>
  </si>
  <si>
    <t>GL-609</t>
  </si>
  <si>
    <t>COGS for Invoice AP-INV-5153</t>
  </si>
  <si>
    <t>GL-610</t>
  </si>
  <si>
    <t>AP for Invoice AP-INV-5153</t>
  </si>
  <si>
    <t>GL-611</t>
  </si>
  <si>
    <t>AR for Invoice AR-INV-7153</t>
  </si>
  <si>
    <t>GL-612</t>
  </si>
  <si>
    <t>Sales for Invoice AR-INV-7153</t>
  </si>
  <si>
    <t>GL-613</t>
  </si>
  <si>
    <t>COGS for Invoice AP-INV-5154</t>
  </si>
  <si>
    <t>GL-614</t>
  </si>
  <si>
    <t>AP for Invoice AP-INV-5154</t>
  </si>
  <si>
    <t>GL-615</t>
  </si>
  <si>
    <t>AR for Invoice AR-INV-7154</t>
  </si>
  <si>
    <t>GL-616</t>
  </si>
  <si>
    <t>Sales for Invoice AR-INV-7154</t>
  </si>
  <si>
    <t>GL-617</t>
  </si>
  <si>
    <t>COGS for Invoice AP-INV-5155</t>
  </si>
  <si>
    <t>GL-618</t>
  </si>
  <si>
    <t>AP for Invoice AP-INV-5155</t>
  </si>
  <si>
    <t>GL-619</t>
  </si>
  <si>
    <t>AR for Invoice AR-INV-7155</t>
  </si>
  <si>
    <t>GL-620</t>
  </si>
  <si>
    <t>Sales for Invoice AR-INV-7155</t>
  </si>
  <si>
    <t>GL-621</t>
  </si>
  <si>
    <t>COGS for Invoice AP-INV-5156</t>
  </si>
  <si>
    <t>GL-622</t>
  </si>
  <si>
    <t>AP for Invoice AP-INV-5156</t>
  </si>
  <si>
    <t>GL-623</t>
  </si>
  <si>
    <t>AR for Invoice AR-INV-7156</t>
  </si>
  <si>
    <t>GL-624</t>
  </si>
  <si>
    <t>Sales for Invoice AR-INV-7156</t>
  </si>
  <si>
    <t>GL-625</t>
  </si>
  <si>
    <t>COGS for Invoice AP-INV-5157</t>
  </si>
  <si>
    <t>GL-626</t>
  </si>
  <si>
    <t>AP for Invoice AP-INV-5157</t>
  </si>
  <si>
    <t>GL-627</t>
  </si>
  <si>
    <t>AR for Invoice AR-INV-7157</t>
  </si>
  <si>
    <t>GL-628</t>
  </si>
  <si>
    <t>Sales for Invoice AR-INV-7157</t>
  </si>
  <si>
    <t>GL-629</t>
  </si>
  <si>
    <t>COGS for Invoice AP-INV-5158</t>
  </si>
  <si>
    <t>GL-630</t>
  </si>
  <si>
    <t>AP for Invoice AP-INV-5158</t>
  </si>
  <si>
    <t>GL-631</t>
  </si>
  <si>
    <t>AR for Invoice AR-INV-7158</t>
  </si>
  <si>
    <t>GL-632</t>
  </si>
  <si>
    <t>Sales for Invoice AR-INV-7158</t>
  </si>
  <si>
    <t>GL-633</t>
  </si>
  <si>
    <t>COGS for Invoice AP-INV-5159</t>
  </si>
  <si>
    <t>GL-634</t>
  </si>
  <si>
    <t>AP for Invoice AP-INV-5159</t>
  </si>
  <si>
    <t>GL-635</t>
  </si>
  <si>
    <t>AR for Invoice AR-INV-7159</t>
  </si>
  <si>
    <t>GL-636</t>
  </si>
  <si>
    <t>Sales for Invoice AR-INV-7159</t>
  </si>
  <si>
    <t>GL-637</t>
  </si>
  <si>
    <t>COGS for Invoice AP-INV-5160</t>
  </si>
  <si>
    <t>GL-638</t>
  </si>
  <si>
    <t>AP for Invoice AP-INV-5160</t>
  </si>
  <si>
    <t>GL-639</t>
  </si>
  <si>
    <t>AR for Invoice AR-INV-7160</t>
  </si>
  <si>
    <t>GL-640</t>
  </si>
  <si>
    <t>Sales for Invoice AR-INV-7160</t>
  </si>
  <si>
    <t>GL-641</t>
  </si>
  <si>
    <t>COGS for Invoice AP-INV-5161</t>
  </si>
  <si>
    <t>GL-642</t>
  </si>
  <si>
    <t>AP for Invoice AP-INV-5161</t>
  </si>
  <si>
    <t>GL-643</t>
  </si>
  <si>
    <t>AR for Invoice AR-INV-7161</t>
  </si>
  <si>
    <t>GL-644</t>
  </si>
  <si>
    <t>Sales for Invoice AR-INV-7161</t>
  </si>
  <si>
    <t>GL-645</t>
  </si>
  <si>
    <t>COGS for Invoice AP-INV-5162</t>
  </si>
  <si>
    <t>GL-646</t>
  </si>
  <si>
    <t>AP for Invoice AP-INV-5162</t>
  </si>
  <si>
    <t>GL-647</t>
  </si>
  <si>
    <t>AR for Invoice AR-INV-7162</t>
  </si>
  <si>
    <t>GL-648</t>
  </si>
  <si>
    <t>Sales for Invoice AR-INV-7162</t>
  </si>
  <si>
    <t>GL-649</t>
  </si>
  <si>
    <t>COGS for Invoice AP-INV-5163</t>
  </si>
  <si>
    <t>GL-650</t>
  </si>
  <si>
    <t>AP for Invoice AP-INV-5163</t>
  </si>
  <si>
    <t>GL-651</t>
  </si>
  <si>
    <t>AR for Invoice AR-INV-7163</t>
  </si>
  <si>
    <t>GL-652</t>
  </si>
  <si>
    <t>Sales for Invoice AR-INV-7163</t>
  </si>
  <si>
    <t>GL-653</t>
  </si>
  <si>
    <t>COGS for Invoice AP-INV-5164</t>
  </si>
  <si>
    <t>GL-654</t>
  </si>
  <si>
    <t>AP for Invoice AP-INV-5164</t>
  </si>
  <si>
    <t>GL-655</t>
  </si>
  <si>
    <t>AR for Invoice AR-INV-7164</t>
  </si>
  <si>
    <t>GL-656</t>
  </si>
  <si>
    <t>Sales for Invoice AR-INV-7164</t>
  </si>
  <si>
    <t>GL-657</t>
  </si>
  <si>
    <t>COGS for Invoice AP-INV-5165</t>
  </si>
  <si>
    <t>GL-658</t>
  </si>
  <si>
    <t>AP for Invoice AP-INV-5165</t>
  </si>
  <si>
    <t>GL-659</t>
  </si>
  <si>
    <t>AR for Invoice AR-INV-7165</t>
  </si>
  <si>
    <t>GL-660</t>
  </si>
  <si>
    <t>Sales for Invoice AR-INV-7165</t>
  </si>
  <si>
    <t>GL-661</t>
  </si>
  <si>
    <t>COGS for Invoice AP-INV-5166</t>
  </si>
  <si>
    <t>GL-662</t>
  </si>
  <si>
    <t>AP for Invoice AP-INV-5166</t>
  </si>
  <si>
    <t>GL-663</t>
  </si>
  <si>
    <t>AR for Invoice AR-INV-7166</t>
  </si>
  <si>
    <t>GL-664</t>
  </si>
  <si>
    <t>Sales for Invoice AR-INV-7166</t>
  </si>
  <si>
    <t>GL-665</t>
  </si>
  <si>
    <t>COGS for Invoice AP-INV-5167</t>
  </si>
  <si>
    <t>GL-666</t>
  </si>
  <si>
    <t>AP for Invoice AP-INV-5167</t>
  </si>
  <si>
    <t>GL-667</t>
  </si>
  <si>
    <t>AR for Invoice AR-INV-7167</t>
  </si>
  <si>
    <t>GL-668</t>
  </si>
  <si>
    <t>Sales for Invoice AR-INV-7167</t>
  </si>
  <si>
    <t>GL-669</t>
  </si>
  <si>
    <t>COGS for Invoice AP-INV-5168</t>
  </si>
  <si>
    <t>GL-670</t>
  </si>
  <si>
    <t>AP for Invoice AP-INV-5168</t>
  </si>
  <si>
    <t>GL-671</t>
  </si>
  <si>
    <t>AR for Invoice AR-INV-7168</t>
  </si>
  <si>
    <t>GL-672</t>
  </si>
  <si>
    <t>Sales for Invoice AR-INV-7168</t>
  </si>
  <si>
    <t>GL-673</t>
  </si>
  <si>
    <t>COGS for Invoice AP-INV-5169</t>
  </si>
  <si>
    <t>GL-674</t>
  </si>
  <si>
    <t>AP for Invoice AP-INV-5169</t>
  </si>
  <si>
    <t>GL-675</t>
  </si>
  <si>
    <t>AR for Invoice AR-INV-7169</t>
  </si>
  <si>
    <t>GL-676</t>
  </si>
  <si>
    <t>Sales for Invoice AR-INV-7169</t>
  </si>
  <si>
    <t>GL-677</t>
  </si>
  <si>
    <t>COGS for Invoice AP-INV-5170</t>
  </si>
  <si>
    <t>GL-678</t>
  </si>
  <si>
    <t>AP for Invoice AP-INV-5170</t>
  </si>
  <si>
    <t>GL-679</t>
  </si>
  <si>
    <t>AR for Invoice AR-INV-7170</t>
  </si>
  <si>
    <t>GL-680</t>
  </si>
  <si>
    <t>Sales for Invoice AR-INV-7170</t>
  </si>
  <si>
    <t>GL-681</t>
  </si>
  <si>
    <t>COGS for Invoice AP-INV-5171</t>
  </si>
  <si>
    <t>GL-682</t>
  </si>
  <si>
    <t>AP for Invoice AP-INV-5171</t>
  </si>
  <si>
    <t>GL-683</t>
  </si>
  <si>
    <t>AR for Invoice AR-INV-7171</t>
  </si>
  <si>
    <t>GL-684</t>
  </si>
  <si>
    <t>Sales for Invoice AR-INV-7171</t>
  </si>
  <si>
    <t>GL-685</t>
  </si>
  <si>
    <t>COGS for Invoice AP-INV-5172</t>
  </si>
  <si>
    <t>GL-686</t>
  </si>
  <si>
    <t>AP for Invoice AP-INV-5172</t>
  </si>
  <si>
    <t>GL-687</t>
  </si>
  <si>
    <t>AR for Invoice AR-INV-7172</t>
  </si>
  <si>
    <t>GL-688</t>
  </si>
  <si>
    <t>Sales for Invoice AR-INV-7172</t>
  </si>
  <si>
    <t>GL-689</t>
  </si>
  <si>
    <t>COGS for Invoice AP-INV-5173</t>
  </si>
  <si>
    <t>GL-690</t>
  </si>
  <si>
    <t>AP for Invoice AP-INV-5173</t>
  </si>
  <si>
    <t>GL-691</t>
  </si>
  <si>
    <t>AR for Invoice AR-INV-7173</t>
  </si>
  <si>
    <t>GL-692</t>
  </si>
  <si>
    <t>Sales for Invoice AR-INV-7173</t>
  </si>
  <si>
    <t>GL-693</t>
  </si>
  <si>
    <t>COGS for Invoice AP-INV-5174</t>
  </si>
  <si>
    <t>GL-694</t>
  </si>
  <si>
    <t>AP for Invoice AP-INV-5174</t>
  </si>
  <si>
    <t>GL-695</t>
  </si>
  <si>
    <t>AR for Invoice AR-INV-7174</t>
  </si>
  <si>
    <t>GL-696</t>
  </si>
  <si>
    <t>Sales for Invoice AR-INV-7174</t>
  </si>
  <si>
    <t>GL-697</t>
  </si>
  <si>
    <t>COGS for Invoice AP-INV-5175</t>
  </si>
  <si>
    <t>GL-698</t>
  </si>
  <si>
    <t>AP for Invoice AP-INV-5175</t>
  </si>
  <si>
    <t>GL-699</t>
  </si>
  <si>
    <t>AR for Invoice AR-INV-7175</t>
  </si>
  <si>
    <t>GL-700</t>
  </si>
  <si>
    <t>Sales for Invoice AR-INV-7175</t>
  </si>
  <si>
    <t>GL-701</t>
  </si>
  <si>
    <t>COGS for Invoice AP-INV-5176</t>
  </si>
  <si>
    <t>GL-702</t>
  </si>
  <si>
    <t>AP for Invoice AP-INV-5176</t>
  </si>
  <si>
    <t>GL-703</t>
  </si>
  <si>
    <t>AR for Invoice AR-INV-7176</t>
  </si>
  <si>
    <t>GL-704</t>
  </si>
  <si>
    <t>Sales for Invoice AR-INV-7176</t>
  </si>
  <si>
    <t>GL-705</t>
  </si>
  <si>
    <t>COGS for Invoice AP-INV-5177</t>
  </si>
  <si>
    <t>GL-706</t>
  </si>
  <si>
    <t>AP for Invoice AP-INV-5177</t>
  </si>
  <si>
    <t>GL-707</t>
  </si>
  <si>
    <t>AR for Invoice AR-INV-7177</t>
  </si>
  <si>
    <t>GL-708</t>
  </si>
  <si>
    <t>Sales for Invoice AR-INV-7177</t>
  </si>
  <si>
    <t>GL-709</t>
  </si>
  <si>
    <t>COGS for Invoice AP-INV-5178</t>
  </si>
  <si>
    <t>GL-710</t>
  </si>
  <si>
    <t>AP for Invoice AP-INV-5178</t>
  </si>
  <si>
    <t>GL-711</t>
  </si>
  <si>
    <t>AR for Invoice AR-INV-7178</t>
  </si>
  <si>
    <t>GL-712</t>
  </si>
  <si>
    <t>Sales for Invoice AR-INV-7178</t>
  </si>
  <si>
    <t>GL-713</t>
  </si>
  <si>
    <t>COGS for Invoice AP-INV-5179</t>
  </si>
  <si>
    <t>GL-714</t>
  </si>
  <si>
    <t>AP for Invoice AP-INV-5179</t>
  </si>
  <si>
    <t>GL-715</t>
  </si>
  <si>
    <t>AR for Invoice AR-INV-7179</t>
  </si>
  <si>
    <t>GL-716</t>
  </si>
  <si>
    <t>Sales for Invoice AR-INV-7179</t>
  </si>
  <si>
    <t>GL-717</t>
  </si>
  <si>
    <t>COGS for Invoice AP-INV-5180</t>
  </si>
  <si>
    <t>GL-718</t>
  </si>
  <si>
    <t>AP for Invoice AP-INV-5180</t>
  </si>
  <si>
    <t>GL-719</t>
  </si>
  <si>
    <t>AR for Invoice AR-INV-7180</t>
  </si>
  <si>
    <t>GL-720</t>
  </si>
  <si>
    <t>Sales for Invoice AR-INV-7180</t>
  </si>
  <si>
    <t>GL-721</t>
  </si>
  <si>
    <t>COGS for Invoice AP-INV-5181</t>
  </si>
  <si>
    <t>GL-722</t>
  </si>
  <si>
    <t>AP for Invoice AP-INV-5181</t>
  </si>
  <si>
    <t>GL-723</t>
  </si>
  <si>
    <t>AR for Invoice AR-INV-7181</t>
  </si>
  <si>
    <t>GL-724</t>
  </si>
  <si>
    <t>Sales for Invoice AR-INV-7181</t>
  </si>
  <si>
    <t>GL-725</t>
  </si>
  <si>
    <t>COGS for Invoice AP-INV-5182</t>
  </si>
  <si>
    <t>GL-726</t>
  </si>
  <si>
    <t>AP for Invoice AP-INV-5182</t>
  </si>
  <si>
    <t>GL-727</t>
  </si>
  <si>
    <t>AR for Invoice AR-INV-7182</t>
  </si>
  <si>
    <t>GL-728</t>
  </si>
  <si>
    <t>Sales for Invoice AR-INV-7182</t>
  </si>
  <si>
    <t>GL-729</t>
  </si>
  <si>
    <t>COGS for Invoice AP-INV-5183</t>
  </si>
  <si>
    <t>GL-730</t>
  </si>
  <si>
    <t>AP for Invoice AP-INV-5183</t>
  </si>
  <si>
    <t>GL-731</t>
  </si>
  <si>
    <t>AR for Invoice AR-INV-7183</t>
  </si>
  <si>
    <t>GL-732</t>
  </si>
  <si>
    <t>Sales for Invoice AR-INV-7183</t>
  </si>
  <si>
    <t>GL-733</t>
  </si>
  <si>
    <t>COGS for Invoice AP-INV-5184</t>
  </si>
  <si>
    <t>GL-734</t>
  </si>
  <si>
    <t>AP for Invoice AP-INV-5184</t>
  </si>
  <si>
    <t>GL-735</t>
  </si>
  <si>
    <t>AR for Invoice AR-INV-7184</t>
  </si>
  <si>
    <t>GL-736</t>
  </si>
  <si>
    <t>Sales for Invoice AR-INV-7184</t>
  </si>
  <si>
    <t>GL-737</t>
  </si>
  <si>
    <t>COGS for Invoice AP-INV-5185</t>
  </si>
  <si>
    <t>GL-738</t>
  </si>
  <si>
    <t>AP for Invoice AP-INV-5185</t>
  </si>
  <si>
    <t>GL-739</t>
  </si>
  <si>
    <t>AR for Invoice AR-INV-7185</t>
  </si>
  <si>
    <t>GL-740</t>
  </si>
  <si>
    <t>Sales for Invoice AR-INV-7185</t>
  </si>
  <si>
    <t>GL-741</t>
  </si>
  <si>
    <t>COGS for Invoice AP-INV-5186</t>
  </si>
  <si>
    <t>GL-742</t>
  </si>
  <si>
    <t>AP for Invoice AP-INV-5186</t>
  </si>
  <si>
    <t>GL-743</t>
  </si>
  <si>
    <t>AR for Invoice AR-INV-7186</t>
  </si>
  <si>
    <t>GL-744</t>
  </si>
  <si>
    <t>Sales for Invoice AR-INV-7186</t>
  </si>
  <si>
    <t>GL-745</t>
  </si>
  <si>
    <t>COGS for Invoice AP-INV-5187</t>
  </si>
  <si>
    <t>GL-746</t>
  </si>
  <si>
    <t>AP for Invoice AP-INV-5187</t>
  </si>
  <si>
    <t>GL-747</t>
  </si>
  <si>
    <t>AR for Invoice AR-INV-7187</t>
  </si>
  <si>
    <t>GL-748</t>
  </si>
  <si>
    <t>Sales for Invoice AR-INV-7187</t>
  </si>
  <si>
    <t>GL-749</t>
  </si>
  <si>
    <t>COGS for Invoice AP-INV-5188</t>
  </si>
  <si>
    <t>GL-750</t>
  </si>
  <si>
    <t>AP for Invoice AP-INV-5188</t>
  </si>
  <si>
    <t>GL-751</t>
  </si>
  <si>
    <t>AR for Invoice AR-INV-7188</t>
  </si>
  <si>
    <t>GL-752</t>
  </si>
  <si>
    <t>Sales for Invoice AR-INV-7188</t>
  </si>
  <si>
    <t>GL-753</t>
  </si>
  <si>
    <t>COGS for Invoice AP-INV-5189</t>
  </si>
  <si>
    <t>GL-754</t>
  </si>
  <si>
    <t>AP for Invoice AP-INV-5189</t>
  </si>
  <si>
    <t>GL-755</t>
  </si>
  <si>
    <t>AR for Invoice AR-INV-7189</t>
  </si>
  <si>
    <t>GL-756</t>
  </si>
  <si>
    <t>Sales for Invoice AR-INV-7189</t>
  </si>
  <si>
    <t>GL-757</t>
  </si>
  <si>
    <t>COGS for Invoice AP-INV-5190</t>
  </si>
  <si>
    <t>GL-758</t>
  </si>
  <si>
    <t>AP for Invoice AP-INV-5190</t>
  </si>
  <si>
    <t>GL-759</t>
  </si>
  <si>
    <t>AR for Invoice AR-INV-7190</t>
  </si>
  <si>
    <t>GL-760</t>
  </si>
  <si>
    <t>Sales for Invoice AR-INV-7190</t>
  </si>
  <si>
    <t>GL-761</t>
  </si>
  <si>
    <t>COGS for Invoice AP-INV-5191</t>
  </si>
  <si>
    <t>GL-762</t>
  </si>
  <si>
    <t>AP for Invoice AP-INV-5191</t>
  </si>
  <si>
    <t>GL-763</t>
  </si>
  <si>
    <t>AR for Invoice AR-INV-7191</t>
  </si>
  <si>
    <t>GL-764</t>
  </si>
  <si>
    <t>Sales for Invoice AR-INV-7191</t>
  </si>
  <si>
    <t>GL-765</t>
  </si>
  <si>
    <t>COGS for Invoice AP-INV-5192</t>
  </si>
  <si>
    <t>GL-766</t>
  </si>
  <si>
    <t>AP for Invoice AP-INV-5192</t>
  </si>
  <si>
    <t>GL-767</t>
  </si>
  <si>
    <t>AR for Invoice AR-INV-7192</t>
  </si>
  <si>
    <t>GL-768</t>
  </si>
  <si>
    <t>Sales for Invoice AR-INV-7192</t>
  </si>
  <si>
    <t>GL-769</t>
  </si>
  <si>
    <t>COGS for Invoice AP-INV-5193</t>
  </si>
  <si>
    <t>GL-770</t>
  </si>
  <si>
    <t>AP for Invoice AP-INV-5193</t>
  </si>
  <si>
    <t>GL-771</t>
  </si>
  <si>
    <t>AR for Invoice AR-INV-7193</t>
  </si>
  <si>
    <t>GL-772</t>
  </si>
  <si>
    <t>Sales for Invoice AR-INV-7193</t>
  </si>
  <si>
    <t>GL-773</t>
  </si>
  <si>
    <t>COGS for Invoice AP-INV-5194</t>
  </si>
  <si>
    <t>GL-774</t>
  </si>
  <si>
    <t>AP for Invoice AP-INV-5194</t>
  </si>
  <si>
    <t>GL-775</t>
  </si>
  <si>
    <t>AR for Invoice AR-INV-7194</t>
  </si>
  <si>
    <t>GL-776</t>
  </si>
  <si>
    <t>Sales for Invoice AR-INV-7194</t>
  </si>
  <si>
    <t>GL-777</t>
  </si>
  <si>
    <t>COGS for Invoice AP-INV-5195</t>
  </si>
  <si>
    <t>GL-778</t>
  </si>
  <si>
    <t>AP for Invoice AP-INV-5195</t>
  </si>
  <si>
    <t>GL-779</t>
  </si>
  <si>
    <t>AR for Invoice AR-INV-7195</t>
  </si>
  <si>
    <t>GL-780</t>
  </si>
  <si>
    <t>Sales for Invoice AR-INV-7195</t>
  </si>
  <si>
    <t>GL-781</t>
  </si>
  <si>
    <t>COGS for Invoice AP-INV-5196</t>
  </si>
  <si>
    <t>GL-782</t>
  </si>
  <si>
    <t>AP for Invoice AP-INV-5196</t>
  </si>
  <si>
    <t>GL-783</t>
  </si>
  <si>
    <t>AR for Invoice AR-INV-7196</t>
  </si>
  <si>
    <t>GL-784</t>
  </si>
  <si>
    <t>Sales for Invoice AR-INV-7196</t>
  </si>
  <si>
    <t>GL-785</t>
  </si>
  <si>
    <t>COGS for Invoice AP-INV-5197</t>
  </si>
  <si>
    <t>GL-786</t>
  </si>
  <si>
    <t>AP for Invoice AP-INV-5197</t>
  </si>
  <si>
    <t>GL-787</t>
  </si>
  <si>
    <t>AR for Invoice AR-INV-7197</t>
  </si>
  <si>
    <t>GL-788</t>
  </si>
  <si>
    <t>Sales for Invoice AR-INV-7197</t>
  </si>
  <si>
    <t>GL-789</t>
  </si>
  <si>
    <t>COGS for Invoice AP-INV-5198</t>
  </si>
  <si>
    <t>GL-790</t>
  </si>
  <si>
    <t>AP for Invoice AP-INV-5198</t>
  </si>
  <si>
    <t>GL-791</t>
  </si>
  <si>
    <t>AR for Invoice AR-INV-7198</t>
  </si>
  <si>
    <t>GL-792</t>
  </si>
  <si>
    <t>Sales for Invoice AR-INV-7198</t>
  </si>
  <si>
    <t>GL-793</t>
  </si>
  <si>
    <t>COGS for Invoice AP-INV-5199</t>
  </si>
  <si>
    <t>GL-794</t>
  </si>
  <si>
    <t>AP for Invoice AP-INV-5199</t>
  </si>
  <si>
    <t>GL-795</t>
  </si>
  <si>
    <t>AR for Invoice AR-INV-7199</t>
  </si>
  <si>
    <t>GL-796</t>
  </si>
  <si>
    <t>Sales for Invoice AR-INV-7199</t>
  </si>
  <si>
    <t>GL-797</t>
  </si>
  <si>
    <t>COGS for Invoice AP-INV-5200</t>
  </si>
  <si>
    <t>GL-798</t>
  </si>
  <si>
    <t>AP for Invoice AP-INV-5200</t>
  </si>
  <si>
    <t>GL-799</t>
  </si>
  <si>
    <t>AR for Invoice AR-INV-7200</t>
  </si>
  <si>
    <t>GL-800</t>
  </si>
  <si>
    <t>Sales for Invoice AR-INV-7200</t>
  </si>
  <si>
    <t>GL-801</t>
  </si>
  <si>
    <t>COGS for Invoice AP-INV-5201</t>
  </si>
  <si>
    <t>GL-802</t>
  </si>
  <si>
    <t>AP for Invoice AP-INV-5201</t>
  </si>
  <si>
    <t>GL-803</t>
  </si>
  <si>
    <t>AR for Invoice AR-INV-7201</t>
  </si>
  <si>
    <t>GL-804</t>
  </si>
  <si>
    <t>Sales for Invoice AR-INV-7201</t>
  </si>
  <si>
    <t>GL-805</t>
  </si>
  <si>
    <t>COGS for Invoice AP-INV-5202</t>
  </si>
  <si>
    <t>GL-806</t>
  </si>
  <si>
    <t>AP for Invoice AP-INV-5202</t>
  </si>
  <si>
    <t>GL-807</t>
  </si>
  <si>
    <t>AR for Invoice AR-INV-7202</t>
  </si>
  <si>
    <t>GL-808</t>
  </si>
  <si>
    <t>Sales for Invoice AR-INV-7202</t>
  </si>
  <si>
    <t>GL-809</t>
  </si>
  <si>
    <t>COGS for Invoice AP-INV-5203</t>
  </si>
  <si>
    <t>GL-810</t>
  </si>
  <si>
    <t>AP for Invoice AP-INV-5203</t>
  </si>
  <si>
    <t>GL-811</t>
  </si>
  <si>
    <t>AR for Invoice AR-INV-7203</t>
  </si>
  <si>
    <t>GL-812</t>
  </si>
  <si>
    <t>Sales for Invoice AR-INV-7203</t>
  </si>
  <si>
    <t>GL-813</t>
  </si>
  <si>
    <t>COGS for Invoice AP-INV-5204</t>
  </si>
  <si>
    <t>GL-814</t>
  </si>
  <si>
    <t>AP for Invoice AP-INV-5204</t>
  </si>
  <si>
    <t>GL-815</t>
  </si>
  <si>
    <t>AR for Invoice AR-INV-7204</t>
  </si>
  <si>
    <t>GL-816</t>
  </si>
  <si>
    <t>Sales for Invoice AR-INV-7204</t>
  </si>
  <si>
    <t>GL-817</t>
  </si>
  <si>
    <t>COGS for Invoice AP-INV-5205</t>
  </si>
  <si>
    <t>GL-818</t>
  </si>
  <si>
    <t>AP for Invoice AP-INV-5205</t>
  </si>
  <si>
    <t>GL-819</t>
  </si>
  <si>
    <t>AR for Invoice AR-INV-7205</t>
  </si>
  <si>
    <t>GL-820</t>
  </si>
  <si>
    <t>Sales for Invoice AR-INV-7205</t>
  </si>
  <si>
    <t>GL-821</t>
  </si>
  <si>
    <t>COGS for Invoice AP-INV-5206</t>
  </si>
  <si>
    <t>GL-822</t>
  </si>
  <si>
    <t>AP for Invoice AP-INV-5206</t>
  </si>
  <si>
    <t>GL-823</t>
  </si>
  <si>
    <t>AR for Invoice AR-INV-7206</t>
  </si>
  <si>
    <t>GL-824</t>
  </si>
  <si>
    <t>Sales for Invoice AR-INV-7206</t>
  </si>
  <si>
    <t>GL-825</t>
  </si>
  <si>
    <t>COGS for Invoice AP-INV-5207</t>
  </si>
  <si>
    <t>GL-826</t>
  </si>
  <si>
    <t>AP for Invoice AP-INV-5207</t>
  </si>
  <si>
    <t>GL-827</t>
  </si>
  <si>
    <t>AR for Invoice AR-INV-7207</t>
  </si>
  <si>
    <t>GL-828</t>
  </si>
  <si>
    <t>Sales for Invoice AR-INV-7207</t>
  </si>
  <si>
    <t>GL-829</t>
  </si>
  <si>
    <t>COGS for Invoice AP-INV-5208</t>
  </si>
  <si>
    <t>GL-830</t>
  </si>
  <si>
    <t>AP for Invoice AP-INV-5208</t>
  </si>
  <si>
    <t>GL-831</t>
  </si>
  <si>
    <t>AR for Invoice AR-INV-7208</t>
  </si>
  <si>
    <t>GL-832</t>
  </si>
  <si>
    <t>Sales for Invoice AR-INV-7208</t>
  </si>
  <si>
    <t>GL-833</t>
  </si>
  <si>
    <t>COGS for Invoice AP-INV-5209</t>
  </si>
  <si>
    <t>GL-834</t>
  </si>
  <si>
    <t>AP for Invoice AP-INV-5209</t>
  </si>
  <si>
    <t>GL-835</t>
  </si>
  <si>
    <t>AR for Invoice AR-INV-7209</t>
  </si>
  <si>
    <t>GL-836</t>
  </si>
  <si>
    <t>Sales for Invoice AR-INV-7209</t>
  </si>
  <si>
    <t>GL-837</t>
  </si>
  <si>
    <t>COGS for Invoice AP-INV-5210</t>
  </si>
  <si>
    <t>GL-838</t>
  </si>
  <si>
    <t>AP for Invoice AP-INV-5210</t>
  </si>
  <si>
    <t>GL-839</t>
  </si>
  <si>
    <t>AR for Invoice AR-INV-7210</t>
  </si>
  <si>
    <t>GL-840</t>
  </si>
  <si>
    <t>Sales for Invoice AR-INV-7210</t>
  </si>
  <si>
    <t>GL-841</t>
  </si>
  <si>
    <t>COGS for Invoice AP-INV-5211</t>
  </si>
  <si>
    <t>GL-842</t>
  </si>
  <si>
    <t>AP for Invoice AP-INV-5211</t>
  </si>
  <si>
    <t>GL-843</t>
  </si>
  <si>
    <t>AR for Invoice AR-INV-7211</t>
  </si>
  <si>
    <t>GL-844</t>
  </si>
  <si>
    <t>Sales for Invoice AR-INV-7211</t>
  </si>
  <si>
    <t>GL-845</t>
  </si>
  <si>
    <t>COGS for Invoice AP-INV-5212</t>
  </si>
  <si>
    <t>GL-846</t>
  </si>
  <si>
    <t>AP for Invoice AP-INV-5212</t>
  </si>
  <si>
    <t>GL-847</t>
  </si>
  <si>
    <t>AR for Invoice AR-INV-7212</t>
  </si>
  <si>
    <t>GL-848</t>
  </si>
  <si>
    <t>Sales for Invoice AR-INV-7212</t>
  </si>
  <si>
    <t>GL-849</t>
  </si>
  <si>
    <t>COGS for Invoice AP-INV-5213</t>
  </si>
  <si>
    <t>GL-850</t>
  </si>
  <si>
    <t>AP for Invoice AP-INV-5213</t>
  </si>
  <si>
    <t>GL-851</t>
  </si>
  <si>
    <t>AR for Invoice AR-INV-7213</t>
  </si>
  <si>
    <t>GL-852</t>
  </si>
  <si>
    <t>Sales for Invoice AR-INV-7213</t>
  </si>
  <si>
    <t>GL-853</t>
  </si>
  <si>
    <t>COGS for Invoice AP-INV-5214</t>
  </si>
  <si>
    <t>GL-854</t>
  </si>
  <si>
    <t>AP for Invoice AP-INV-5214</t>
  </si>
  <si>
    <t>GL-855</t>
  </si>
  <si>
    <t>AR for Invoice AR-INV-7214</t>
  </si>
  <si>
    <t>GL-856</t>
  </si>
  <si>
    <t>Sales for Invoice AR-INV-7214</t>
  </si>
  <si>
    <t>GL-857</t>
  </si>
  <si>
    <t>COGS for Invoice AP-INV-5215</t>
  </si>
  <si>
    <t>GL-858</t>
  </si>
  <si>
    <t>AP for Invoice AP-INV-5215</t>
  </si>
  <si>
    <t>GL-859</t>
  </si>
  <si>
    <t>AR for Invoice AR-INV-7215</t>
  </si>
  <si>
    <t>GL-860</t>
  </si>
  <si>
    <t>Sales for Invoice AR-INV-7215</t>
  </si>
  <si>
    <t>GL-861</t>
  </si>
  <si>
    <t>COGS for Invoice AP-INV-5216</t>
  </si>
  <si>
    <t>GL-862</t>
  </si>
  <si>
    <t>AP for Invoice AP-INV-5216</t>
  </si>
  <si>
    <t>GL-863</t>
  </si>
  <si>
    <t>AR for Invoice AR-INV-7216</t>
  </si>
  <si>
    <t>GL-864</t>
  </si>
  <si>
    <t>Sales for Invoice AR-INV-7216</t>
  </si>
  <si>
    <t>GL-865</t>
  </si>
  <si>
    <t>COGS for Invoice AP-INV-5217</t>
  </si>
  <si>
    <t>GL-866</t>
  </si>
  <si>
    <t>AP for Invoice AP-INV-5217</t>
  </si>
  <si>
    <t>GL-867</t>
  </si>
  <si>
    <t>AR for Invoice AR-INV-7217</t>
  </si>
  <si>
    <t>GL-868</t>
  </si>
  <si>
    <t>Sales for Invoice AR-INV-7217</t>
  </si>
  <si>
    <t>GL-869</t>
  </si>
  <si>
    <t>COGS for Invoice AP-INV-5218</t>
  </si>
  <si>
    <t>GL-870</t>
  </si>
  <si>
    <t>AP for Invoice AP-INV-5218</t>
  </si>
  <si>
    <t>GL-871</t>
  </si>
  <si>
    <t>AR for Invoice AR-INV-7218</t>
  </si>
  <si>
    <t>GL-872</t>
  </si>
  <si>
    <t>Sales for Invoice AR-INV-7218</t>
  </si>
  <si>
    <t>GL-873</t>
  </si>
  <si>
    <t>COGS for Invoice AP-INV-5219</t>
  </si>
  <si>
    <t>GL-874</t>
  </si>
  <si>
    <t>AP for Invoice AP-INV-5219</t>
  </si>
  <si>
    <t>GL-875</t>
  </si>
  <si>
    <t>AR for Invoice AR-INV-7219</t>
  </si>
  <si>
    <t>GL-876</t>
  </si>
  <si>
    <t>Sales for Invoice AR-INV-7219</t>
  </si>
  <si>
    <t>GL-877</t>
  </si>
  <si>
    <t>COGS for Invoice AP-INV-5220</t>
  </si>
  <si>
    <t>GL-878</t>
  </si>
  <si>
    <t>AP for Invoice AP-INV-5220</t>
  </si>
  <si>
    <t>GL-879</t>
  </si>
  <si>
    <t>AR for Invoice AR-INV-7220</t>
  </si>
  <si>
    <t>GL-880</t>
  </si>
  <si>
    <t>Sales for Invoice AR-INV-7220</t>
  </si>
  <si>
    <t>GL-881</t>
  </si>
  <si>
    <t>COGS for Invoice AP-INV-5221</t>
  </si>
  <si>
    <t>GL-882</t>
  </si>
  <si>
    <t>AP for Invoice AP-INV-5221</t>
  </si>
  <si>
    <t>GL-883</t>
  </si>
  <si>
    <t>AR for Invoice AR-INV-7221</t>
  </si>
  <si>
    <t>GL-884</t>
  </si>
  <si>
    <t>Sales for Invoice AR-INV-7221</t>
  </si>
  <si>
    <t>GL-885</t>
  </si>
  <si>
    <t>COGS for Invoice AP-INV-5222</t>
  </si>
  <si>
    <t>GL-886</t>
  </si>
  <si>
    <t>AP for Invoice AP-INV-5222</t>
  </si>
  <si>
    <t>GL-887</t>
  </si>
  <si>
    <t>AR for Invoice AR-INV-7222</t>
  </si>
  <si>
    <t>GL-888</t>
  </si>
  <si>
    <t>Sales for Invoice AR-INV-7222</t>
  </si>
  <si>
    <t>GL-889</t>
  </si>
  <si>
    <t>COGS for Invoice AP-INV-5223</t>
  </si>
  <si>
    <t>GL-890</t>
  </si>
  <si>
    <t>AP for Invoice AP-INV-5223</t>
  </si>
  <si>
    <t>GL-891</t>
  </si>
  <si>
    <t>AR for Invoice AR-INV-7223</t>
  </si>
  <si>
    <t>GL-892</t>
  </si>
  <si>
    <t>Sales for Invoice AR-INV-7223</t>
  </si>
  <si>
    <t>GL-893</t>
  </si>
  <si>
    <t>COGS for Invoice AP-INV-5224</t>
  </si>
  <si>
    <t>GL-894</t>
  </si>
  <si>
    <t>AP for Invoice AP-INV-5224</t>
  </si>
  <si>
    <t>GL-895</t>
  </si>
  <si>
    <t>AR for Invoice AR-INV-7224</t>
  </si>
  <si>
    <t>GL-896</t>
  </si>
  <si>
    <t>Sales for Invoice AR-INV-7224</t>
  </si>
  <si>
    <t>GL-897</t>
  </si>
  <si>
    <t>COGS for Invoice AP-INV-5225</t>
  </si>
  <si>
    <t>GL-898</t>
  </si>
  <si>
    <t>AP for Invoice AP-INV-5225</t>
  </si>
  <si>
    <t>GL-899</t>
  </si>
  <si>
    <t>AR for Invoice AR-INV-7225</t>
  </si>
  <si>
    <t>GL-900</t>
  </si>
  <si>
    <t>Sales for Invoice AR-INV-7225</t>
  </si>
  <si>
    <t>GL-901</t>
  </si>
  <si>
    <t>COGS for Invoice AP-INV-5226</t>
  </si>
  <si>
    <t>GL-902</t>
  </si>
  <si>
    <t>AP for Invoice AP-INV-5226</t>
  </si>
  <si>
    <t>GL-903</t>
  </si>
  <si>
    <t>AR for Invoice AR-INV-7226</t>
  </si>
  <si>
    <t>GL-904</t>
  </si>
  <si>
    <t>Sales for Invoice AR-INV-7226</t>
  </si>
  <si>
    <t>GL-905</t>
  </si>
  <si>
    <t>COGS for Invoice AP-INV-5227</t>
  </si>
  <si>
    <t>GL-906</t>
  </si>
  <si>
    <t>AP for Invoice AP-INV-5227</t>
  </si>
  <si>
    <t>GL-907</t>
  </si>
  <si>
    <t>AR for Invoice AR-INV-7227</t>
  </si>
  <si>
    <t>GL-908</t>
  </si>
  <si>
    <t>Sales for Invoice AR-INV-7227</t>
  </si>
  <si>
    <t>GL-909</t>
  </si>
  <si>
    <t>COGS for Invoice AP-INV-5228</t>
  </si>
  <si>
    <t>GL-910</t>
  </si>
  <si>
    <t>AP for Invoice AP-INV-5228</t>
  </si>
  <si>
    <t>GL-911</t>
  </si>
  <si>
    <t>AR for Invoice AR-INV-7228</t>
  </si>
  <si>
    <t>GL-912</t>
  </si>
  <si>
    <t>Sales for Invoice AR-INV-7228</t>
  </si>
  <si>
    <t>GL-913</t>
  </si>
  <si>
    <t>COGS for Invoice AP-INV-5229</t>
  </si>
  <si>
    <t>GL-914</t>
  </si>
  <si>
    <t>AP for Invoice AP-INV-5229</t>
  </si>
  <si>
    <t>GL-915</t>
  </si>
  <si>
    <t>AR for Invoice AR-INV-7229</t>
  </si>
  <si>
    <t>GL-916</t>
  </si>
  <si>
    <t>Sales for Invoice AR-INV-7229</t>
  </si>
  <si>
    <t>GL-917</t>
  </si>
  <si>
    <t>COGS for Invoice AP-INV-5230</t>
  </si>
  <si>
    <t>GL-918</t>
  </si>
  <si>
    <t>AP for Invoice AP-INV-5230</t>
  </si>
  <si>
    <t>GL-919</t>
  </si>
  <si>
    <t>AR for Invoice AR-INV-7230</t>
  </si>
  <si>
    <t>GL-920</t>
  </si>
  <si>
    <t>Sales for Invoice AR-INV-7230</t>
  </si>
  <si>
    <t>GL-921</t>
  </si>
  <si>
    <t>COGS for Invoice AP-INV-5231</t>
  </si>
  <si>
    <t>GL-922</t>
  </si>
  <si>
    <t>AP for Invoice AP-INV-5231</t>
  </si>
  <si>
    <t>GL-923</t>
  </si>
  <si>
    <t>AR for Invoice AR-INV-7231</t>
  </si>
  <si>
    <t>GL-924</t>
  </si>
  <si>
    <t>Sales for Invoice AR-INV-7231</t>
  </si>
  <si>
    <t>GL-925</t>
  </si>
  <si>
    <t>COGS for Invoice AP-INV-5232</t>
  </si>
  <si>
    <t>GL-926</t>
  </si>
  <si>
    <t>AP for Invoice AP-INV-5232</t>
  </si>
  <si>
    <t>GL-927</t>
  </si>
  <si>
    <t>AR for Invoice AR-INV-7232</t>
  </si>
  <si>
    <t>GL-928</t>
  </si>
  <si>
    <t>Sales for Invoice AR-INV-7232</t>
  </si>
  <si>
    <t>GL-929</t>
  </si>
  <si>
    <t>COGS for Invoice AP-INV-5233</t>
  </si>
  <si>
    <t>GL-930</t>
  </si>
  <si>
    <t>AP for Invoice AP-INV-5233</t>
  </si>
  <si>
    <t>GL-931</t>
  </si>
  <si>
    <t>AR for Invoice AR-INV-7233</t>
  </si>
  <si>
    <t>GL-932</t>
  </si>
  <si>
    <t>Sales for Invoice AR-INV-7233</t>
  </si>
  <si>
    <t>GL-933</t>
  </si>
  <si>
    <t>COGS for Invoice AP-INV-5234</t>
  </si>
  <si>
    <t>GL-934</t>
  </si>
  <si>
    <t>AP for Invoice AP-INV-5234</t>
  </si>
  <si>
    <t>GL-935</t>
  </si>
  <si>
    <t>AR for Invoice AR-INV-7234</t>
  </si>
  <si>
    <t>GL-936</t>
  </si>
  <si>
    <t>Sales for Invoice AR-INV-7234</t>
  </si>
  <si>
    <t>GL-937</t>
  </si>
  <si>
    <t>COGS for Invoice AP-INV-5235</t>
  </si>
  <si>
    <t>GL-938</t>
  </si>
  <si>
    <t>AP for Invoice AP-INV-5235</t>
  </si>
  <si>
    <t>GL-939</t>
  </si>
  <si>
    <t>AR for Invoice AR-INV-7235</t>
  </si>
  <si>
    <t>GL-940</t>
  </si>
  <si>
    <t>Sales for Invoice AR-INV-7235</t>
  </si>
  <si>
    <t>GL-941</t>
  </si>
  <si>
    <t>COGS for Invoice AP-INV-5236</t>
  </si>
  <si>
    <t>GL-942</t>
  </si>
  <si>
    <t>AP for Invoice AP-INV-5236</t>
  </si>
  <si>
    <t>GL-943</t>
  </si>
  <si>
    <t>AR for Invoice AR-INV-7236</t>
  </si>
  <si>
    <t>GL-944</t>
  </si>
  <si>
    <t>Sales for Invoice AR-INV-7236</t>
  </si>
  <si>
    <t>GL-945</t>
  </si>
  <si>
    <t>COGS for Invoice AP-INV-5237</t>
  </si>
  <si>
    <t>GL-946</t>
  </si>
  <si>
    <t>AP for Invoice AP-INV-5237</t>
  </si>
  <si>
    <t>GL-947</t>
  </si>
  <si>
    <t>AR for Invoice AR-INV-7237</t>
  </si>
  <si>
    <t>GL-948</t>
  </si>
  <si>
    <t>Sales for Invoice AR-INV-7237</t>
  </si>
  <si>
    <t>GL-949</t>
  </si>
  <si>
    <t>COGS for Invoice AP-INV-5238</t>
  </si>
  <si>
    <t>GL-950</t>
  </si>
  <si>
    <t>AP for Invoice AP-INV-5238</t>
  </si>
  <si>
    <t>GL-951</t>
  </si>
  <si>
    <t>AR for Invoice AR-INV-7238</t>
  </si>
  <si>
    <t>GL-952</t>
  </si>
  <si>
    <t>Sales for Invoice AR-INV-7238</t>
  </si>
  <si>
    <t>GL-953</t>
  </si>
  <si>
    <t>COGS for Invoice AP-INV-5239</t>
  </si>
  <si>
    <t>GL-954</t>
  </si>
  <si>
    <t>AP for Invoice AP-INV-5239</t>
  </si>
  <si>
    <t>GL-955</t>
  </si>
  <si>
    <t>AR for Invoice AR-INV-7239</t>
  </si>
  <si>
    <t>GL-956</t>
  </si>
  <si>
    <t>Sales for Invoice AR-INV-7239</t>
  </si>
  <si>
    <t>GL-957</t>
  </si>
  <si>
    <t>COGS for Invoice AP-INV-5240</t>
  </si>
  <si>
    <t>GL-958</t>
  </si>
  <si>
    <t>AP for Invoice AP-INV-5240</t>
  </si>
  <si>
    <t>GL-959</t>
  </si>
  <si>
    <t>AR for Invoice AR-INV-7240</t>
  </si>
  <si>
    <t>GL-960</t>
  </si>
  <si>
    <t>Sales for Invoice AR-INV-7240</t>
  </si>
  <si>
    <t>GL-961</t>
  </si>
  <si>
    <t>COGS for Invoice AP-INV-5241</t>
  </si>
  <si>
    <t>GL-962</t>
  </si>
  <si>
    <t>AP for Invoice AP-INV-5241</t>
  </si>
  <si>
    <t>GL-963</t>
  </si>
  <si>
    <t>AR for Invoice AR-INV-7241</t>
  </si>
  <si>
    <t>GL-964</t>
  </si>
  <si>
    <t>Sales for Invoice AR-INV-7241</t>
  </si>
  <si>
    <t>GL-965</t>
  </si>
  <si>
    <t>COGS for Invoice AP-INV-5242</t>
  </si>
  <si>
    <t>GL-966</t>
  </si>
  <si>
    <t>AP for Invoice AP-INV-5242</t>
  </si>
  <si>
    <t>GL-967</t>
  </si>
  <si>
    <t>AR for Invoice AR-INV-7242</t>
  </si>
  <si>
    <t>GL-968</t>
  </si>
  <si>
    <t>Sales for Invoice AR-INV-7242</t>
  </si>
  <si>
    <t>GL-969</t>
  </si>
  <si>
    <t>COGS for Invoice AP-INV-5243</t>
  </si>
  <si>
    <t>GL-970</t>
  </si>
  <si>
    <t>AP for Invoice AP-INV-5243</t>
  </si>
  <si>
    <t>GL-971</t>
  </si>
  <si>
    <t>AR for Invoice AR-INV-7243</t>
  </si>
  <si>
    <t>GL-972</t>
  </si>
  <si>
    <t>Sales for Invoice AR-INV-7243</t>
  </si>
  <si>
    <t>GL-973</t>
  </si>
  <si>
    <t>COGS for Invoice AP-INV-5244</t>
  </si>
  <si>
    <t>GL-974</t>
  </si>
  <si>
    <t>AP for Invoice AP-INV-5244</t>
  </si>
  <si>
    <t>GL-975</t>
  </si>
  <si>
    <t>AR for Invoice AR-INV-7244</t>
  </si>
  <si>
    <t>GL-976</t>
  </si>
  <si>
    <t>Sales for Invoice AR-INV-7244</t>
  </si>
  <si>
    <t>GL-977</t>
  </si>
  <si>
    <t>COGS for Invoice AP-INV-5245</t>
  </si>
  <si>
    <t>GL-978</t>
  </si>
  <si>
    <t>AP for Invoice AP-INV-5245</t>
  </si>
  <si>
    <t>GL-979</t>
  </si>
  <si>
    <t>AR for Invoice AR-INV-7245</t>
  </si>
  <si>
    <t>GL-980</t>
  </si>
  <si>
    <t>Sales for Invoice AR-INV-7245</t>
  </si>
  <si>
    <t>GL-981</t>
  </si>
  <si>
    <t>COGS for Invoice AP-INV-5246</t>
  </si>
  <si>
    <t>GL-982</t>
  </si>
  <si>
    <t>AP for Invoice AP-INV-5246</t>
  </si>
  <si>
    <t>GL-983</t>
  </si>
  <si>
    <t>AR for Invoice AR-INV-7246</t>
  </si>
  <si>
    <t>GL-984</t>
  </si>
  <si>
    <t>Sales for Invoice AR-INV-7246</t>
  </si>
  <si>
    <t>GL-985</t>
  </si>
  <si>
    <t>COGS for Invoice AP-INV-5247</t>
  </si>
  <si>
    <t>GL-986</t>
  </si>
  <si>
    <t>AP for Invoice AP-INV-5247</t>
  </si>
  <si>
    <t>GL-987</t>
  </si>
  <si>
    <t>AR for Invoice AR-INV-7247</t>
  </si>
  <si>
    <t>GL-988</t>
  </si>
  <si>
    <t>Sales for Invoice AR-INV-7247</t>
  </si>
  <si>
    <t>GL-989</t>
  </si>
  <si>
    <t>COGS for Invoice AP-INV-5248</t>
  </si>
  <si>
    <t>GL-990</t>
  </si>
  <si>
    <t>AP for Invoice AP-INV-5248</t>
  </si>
  <si>
    <t>GL-991</t>
  </si>
  <si>
    <t>AR for Invoice AR-INV-7248</t>
  </si>
  <si>
    <t>GL-992</t>
  </si>
  <si>
    <t>Sales for Invoice AR-INV-7248</t>
  </si>
  <si>
    <t>GL-993</t>
  </si>
  <si>
    <t>COGS for Invoice AP-INV-5249</t>
  </si>
  <si>
    <t>GL-994</t>
  </si>
  <si>
    <t>AP for Invoice AP-INV-5249</t>
  </si>
  <si>
    <t>GL-995</t>
  </si>
  <si>
    <t>AR for Invoice AR-INV-7249</t>
  </si>
  <si>
    <t>GL-996</t>
  </si>
  <si>
    <t>Sales for Invoice AR-INV-7249</t>
  </si>
  <si>
    <t>GL-997</t>
  </si>
  <si>
    <t>COGS for Invoice AP-INV-5250</t>
  </si>
  <si>
    <t>GL-998</t>
  </si>
  <si>
    <t>AP for Invoice AP-INV-5250</t>
  </si>
  <si>
    <t>GL-999</t>
  </si>
  <si>
    <t>AR for Invoice AR-INV-7250</t>
  </si>
  <si>
    <t>GL-1000</t>
  </si>
  <si>
    <t>Sales for Invoice AR-INV-7250</t>
  </si>
  <si>
    <t>GL-1001</t>
  </si>
  <si>
    <t>COGS for Invoice AP-INV-5251</t>
  </si>
  <si>
    <t>GL-1002</t>
  </si>
  <si>
    <t>AP for Invoice AP-INV-5251</t>
  </si>
  <si>
    <t>GL-1003</t>
  </si>
  <si>
    <t>AR for Invoice AR-INV-7251</t>
  </si>
  <si>
    <t>GL-1004</t>
  </si>
  <si>
    <t>Sales for Invoice AR-INV-7251</t>
  </si>
  <si>
    <t>GL-1005</t>
  </si>
  <si>
    <t>COGS for Invoice AP-INV-5252</t>
  </si>
  <si>
    <t>GL-1006</t>
  </si>
  <si>
    <t>AP for Invoice AP-INV-5252</t>
  </si>
  <si>
    <t>GL-1007</t>
  </si>
  <si>
    <t>AR for Invoice AR-INV-7252</t>
  </si>
  <si>
    <t>GL-1008</t>
  </si>
  <si>
    <t>Sales for Invoice AR-INV-7252</t>
  </si>
  <si>
    <t>GL-1009</t>
  </si>
  <si>
    <t>COGS for Invoice AP-INV-5253</t>
  </si>
  <si>
    <t>GL-1010</t>
  </si>
  <si>
    <t>AP for Invoice AP-INV-5253</t>
  </si>
  <si>
    <t>GL-1011</t>
  </si>
  <si>
    <t>AR for Invoice AR-INV-7253</t>
  </si>
  <si>
    <t>GL-1012</t>
  </si>
  <si>
    <t>Sales for Invoice AR-INV-7253</t>
  </si>
  <si>
    <t>GL-1013</t>
  </si>
  <si>
    <t>COGS for Invoice AP-INV-5254</t>
  </si>
  <si>
    <t>GL-1014</t>
  </si>
  <si>
    <t>AP for Invoice AP-INV-5254</t>
  </si>
  <si>
    <t>GL-1015</t>
  </si>
  <si>
    <t>AR for Invoice AR-INV-7254</t>
  </si>
  <si>
    <t>GL-1016</t>
  </si>
  <si>
    <t>Sales for Invoice AR-INV-7254</t>
  </si>
  <si>
    <t>GL-1017</t>
  </si>
  <si>
    <t>COGS for Invoice AP-INV-5255</t>
  </si>
  <si>
    <t>GL-1018</t>
  </si>
  <si>
    <t>AP for Invoice AP-INV-5255</t>
  </si>
  <si>
    <t>GL-1019</t>
  </si>
  <si>
    <t>AR for Invoice AR-INV-7255</t>
  </si>
  <si>
    <t>GL-1020</t>
  </si>
  <si>
    <t>Sales for Invoice AR-INV-7255</t>
  </si>
  <si>
    <t>GL-1021</t>
  </si>
  <si>
    <t>COGS for Invoice AP-INV-5256</t>
  </si>
  <si>
    <t>GL-1022</t>
  </si>
  <si>
    <t>AP for Invoice AP-INV-5256</t>
  </si>
  <si>
    <t>GL-1023</t>
  </si>
  <si>
    <t>AR for Invoice AR-INV-7256</t>
  </si>
  <si>
    <t>GL-1024</t>
  </si>
  <si>
    <t>Sales for Invoice AR-INV-7256</t>
  </si>
  <si>
    <t>GL-1025</t>
  </si>
  <si>
    <t>COGS for Invoice AP-INV-5257</t>
  </si>
  <si>
    <t>GL-1026</t>
  </si>
  <si>
    <t>AP for Invoice AP-INV-5257</t>
  </si>
  <si>
    <t>GL-1027</t>
  </si>
  <si>
    <t>AR for Invoice AR-INV-7257</t>
  </si>
  <si>
    <t>GL-1028</t>
  </si>
  <si>
    <t>Sales for Invoice AR-INV-7257</t>
  </si>
  <si>
    <t>GL-1029</t>
  </si>
  <si>
    <t>COGS for Invoice AP-INV-5258</t>
  </si>
  <si>
    <t>GL-1030</t>
  </si>
  <si>
    <t>AP for Invoice AP-INV-5258</t>
  </si>
  <si>
    <t>GL-1031</t>
  </si>
  <si>
    <t>AR for Invoice AR-INV-7258</t>
  </si>
  <si>
    <t>GL-1032</t>
  </si>
  <si>
    <t>Sales for Invoice AR-INV-7258</t>
  </si>
  <si>
    <t>GL-1033</t>
  </si>
  <si>
    <t>COGS for Invoice AP-INV-5259</t>
  </si>
  <si>
    <t>GL-1034</t>
  </si>
  <si>
    <t>AP for Invoice AP-INV-5259</t>
  </si>
  <si>
    <t>GL-1035</t>
  </si>
  <si>
    <t>AR for Invoice AR-INV-7259</t>
  </si>
  <si>
    <t>GL-1036</t>
  </si>
  <si>
    <t>Sales for Invoice AR-INV-7259</t>
  </si>
  <si>
    <t>GL-1037</t>
  </si>
  <si>
    <t>COGS for Invoice AP-INV-5260</t>
  </si>
  <si>
    <t>GL-1038</t>
  </si>
  <si>
    <t>AP for Invoice AP-INV-5260</t>
  </si>
  <si>
    <t>GL-1039</t>
  </si>
  <si>
    <t>AR for Invoice AR-INV-7260</t>
  </si>
  <si>
    <t>GL-1040</t>
  </si>
  <si>
    <t>Sales for Invoice AR-INV-7260</t>
  </si>
  <si>
    <t>GL-1041</t>
  </si>
  <si>
    <t>COGS for Invoice AP-INV-5261</t>
  </si>
  <si>
    <t>GL-1042</t>
  </si>
  <si>
    <t>AP for Invoice AP-INV-5261</t>
  </si>
  <si>
    <t>GL-1043</t>
  </si>
  <si>
    <t>AR for Invoice AR-INV-7261</t>
  </si>
  <si>
    <t>GL-1044</t>
  </si>
  <si>
    <t>Sales for Invoice AR-INV-7261</t>
  </si>
  <si>
    <t>GL-1045</t>
  </si>
  <si>
    <t>COGS for Invoice AP-INV-5262</t>
  </si>
  <si>
    <t>GL-1046</t>
  </si>
  <si>
    <t>AP for Invoice AP-INV-5262</t>
  </si>
  <si>
    <t>GL-1047</t>
  </si>
  <si>
    <t>AR for Invoice AR-INV-7262</t>
  </si>
  <si>
    <t>GL-1048</t>
  </si>
  <si>
    <t>Sales for Invoice AR-INV-7262</t>
  </si>
  <si>
    <t>GL-1049</t>
  </si>
  <si>
    <t>COGS for Invoice AP-INV-5263</t>
  </si>
  <si>
    <t>GL-1050</t>
  </si>
  <si>
    <t>AP for Invoice AP-INV-5263</t>
  </si>
  <si>
    <t>GL-1051</t>
  </si>
  <si>
    <t>AR for Invoice AR-INV-7263</t>
  </si>
  <si>
    <t>GL-1052</t>
  </si>
  <si>
    <t>Sales for Invoice AR-INV-7263</t>
  </si>
  <si>
    <t>GL-1053</t>
  </si>
  <si>
    <t>COGS for Invoice AP-INV-5264</t>
  </si>
  <si>
    <t>GL-1054</t>
  </si>
  <si>
    <t>AP for Invoice AP-INV-5264</t>
  </si>
  <si>
    <t>GL-1055</t>
  </si>
  <si>
    <t>AR for Invoice AR-INV-7264</t>
  </si>
  <si>
    <t>GL-1056</t>
  </si>
  <si>
    <t>Sales for Invoice AR-INV-7264</t>
  </si>
  <si>
    <t>GL-1057</t>
  </si>
  <si>
    <t>COGS for Invoice AP-INV-5265</t>
  </si>
  <si>
    <t>GL-1058</t>
  </si>
  <si>
    <t>AP for Invoice AP-INV-5265</t>
  </si>
  <si>
    <t>GL-1059</t>
  </si>
  <si>
    <t>AR for Invoice AR-INV-7265</t>
  </si>
  <si>
    <t>GL-1060</t>
  </si>
  <si>
    <t>Sales for Invoice AR-INV-7265</t>
  </si>
  <si>
    <t>GL-1061</t>
  </si>
  <si>
    <t>COGS for Invoice AP-INV-5266</t>
  </si>
  <si>
    <t>GL-1062</t>
  </si>
  <si>
    <t>AP for Invoice AP-INV-5266</t>
  </si>
  <si>
    <t>GL-1063</t>
  </si>
  <si>
    <t>AR for Invoice AR-INV-7266</t>
  </si>
  <si>
    <t>GL-1064</t>
  </si>
  <si>
    <t>Sales for Invoice AR-INV-7266</t>
  </si>
  <si>
    <t>GL-1065</t>
  </si>
  <si>
    <t>COGS for Invoice AP-INV-5267</t>
  </si>
  <si>
    <t>GL-1066</t>
  </si>
  <si>
    <t>AP for Invoice AP-INV-5267</t>
  </si>
  <si>
    <t>GL-1067</t>
  </si>
  <si>
    <t>AR for Invoice AR-INV-7267</t>
  </si>
  <si>
    <t>GL-1068</t>
  </si>
  <si>
    <t>Sales for Invoice AR-INV-7267</t>
  </si>
  <si>
    <t>GL-1069</t>
  </si>
  <si>
    <t>COGS for Invoice AP-INV-5268</t>
  </si>
  <si>
    <t>GL-1070</t>
  </si>
  <si>
    <t>AP for Invoice AP-INV-5268</t>
  </si>
  <si>
    <t>GL-1071</t>
  </si>
  <si>
    <t>AR for Invoice AR-INV-7268</t>
  </si>
  <si>
    <t>GL-1072</t>
  </si>
  <si>
    <t>Sales for Invoice AR-INV-7268</t>
  </si>
  <si>
    <t>GL-1073</t>
  </si>
  <si>
    <t>COGS for Invoice AP-INV-5269</t>
  </si>
  <si>
    <t>GL-1074</t>
  </si>
  <si>
    <t>AP for Invoice AP-INV-5269</t>
  </si>
  <si>
    <t>GL-1075</t>
  </si>
  <si>
    <t>AR for Invoice AR-INV-7269</t>
  </si>
  <si>
    <t>GL-1076</t>
  </si>
  <si>
    <t>Sales for Invoice AR-INV-7269</t>
  </si>
  <si>
    <t>GL-1077</t>
  </si>
  <si>
    <t>COGS for Invoice AP-INV-5270</t>
  </si>
  <si>
    <t>GL-1078</t>
  </si>
  <si>
    <t>AP for Invoice AP-INV-5270</t>
  </si>
  <si>
    <t>GL-1079</t>
  </si>
  <si>
    <t>AR for Invoice AR-INV-7270</t>
  </si>
  <si>
    <t>GL-1080</t>
  </si>
  <si>
    <t>Sales for Invoice AR-INV-7270</t>
  </si>
  <si>
    <t>GL-1081</t>
  </si>
  <si>
    <t>COGS for Invoice AP-INV-5271</t>
  </si>
  <si>
    <t>GL-1082</t>
  </si>
  <si>
    <t>AP for Invoice AP-INV-5271</t>
  </si>
  <si>
    <t>GL-1083</t>
  </si>
  <si>
    <t>AR for Invoice AR-INV-7271</t>
  </si>
  <si>
    <t>GL-1084</t>
  </si>
  <si>
    <t>Sales for Invoice AR-INV-7271</t>
  </si>
  <si>
    <t>GL-1085</t>
  </si>
  <si>
    <t>COGS for Invoice AP-INV-5272</t>
  </si>
  <si>
    <t>GL-1086</t>
  </si>
  <si>
    <t>AP for Invoice AP-INV-5272</t>
  </si>
  <si>
    <t>GL-1087</t>
  </si>
  <si>
    <t>AR for Invoice AR-INV-7272</t>
  </si>
  <si>
    <t>GL-1088</t>
  </si>
  <si>
    <t>Sales for Invoice AR-INV-7272</t>
  </si>
  <si>
    <t>GL-1089</t>
  </si>
  <si>
    <t>COGS for Invoice AP-INV-5273</t>
  </si>
  <si>
    <t>GL-1090</t>
  </si>
  <si>
    <t>AP for Invoice AP-INV-5273</t>
  </si>
  <si>
    <t>GL-1091</t>
  </si>
  <si>
    <t>AR for Invoice AR-INV-7273</t>
  </si>
  <si>
    <t>GL-1092</t>
  </si>
  <si>
    <t>Sales for Invoice AR-INV-7273</t>
  </si>
  <si>
    <t>GL-1093</t>
  </si>
  <si>
    <t>COGS for Invoice AP-INV-5274</t>
  </si>
  <si>
    <t>GL-1094</t>
  </si>
  <si>
    <t>AP for Invoice AP-INV-5274</t>
  </si>
  <si>
    <t>GL-1095</t>
  </si>
  <si>
    <t>AR for Invoice AR-INV-7274</t>
  </si>
  <si>
    <t>GL-1096</t>
  </si>
  <si>
    <t>Sales for Invoice AR-INV-7274</t>
  </si>
  <si>
    <t>GL-1097</t>
  </si>
  <si>
    <t>COGS for Invoice AP-INV-5275</t>
  </si>
  <si>
    <t>GL-1098</t>
  </si>
  <si>
    <t>AP for Invoice AP-INV-5275</t>
  </si>
  <si>
    <t>GL-1099</t>
  </si>
  <si>
    <t>AR for Invoice AR-INV-7275</t>
  </si>
  <si>
    <t>GL-1100</t>
  </si>
  <si>
    <t>Sales for Invoice AR-INV-7275</t>
  </si>
  <si>
    <t>GL-1101</t>
  </si>
  <si>
    <t>COGS for Invoice AP-INV-5276</t>
  </si>
  <si>
    <t>GL-1102</t>
  </si>
  <si>
    <t>AP for Invoice AP-INV-5276</t>
  </si>
  <si>
    <t>GL-1103</t>
  </si>
  <si>
    <t>AR for Invoice AR-INV-7276</t>
  </si>
  <si>
    <t>GL-1104</t>
  </si>
  <si>
    <t>Sales for Invoice AR-INV-7276</t>
  </si>
  <si>
    <t>GL-1105</t>
  </si>
  <si>
    <t>COGS for Invoice AP-INV-5277</t>
  </si>
  <si>
    <t>GL-1106</t>
  </si>
  <si>
    <t>AP for Invoice AP-INV-5277</t>
  </si>
  <si>
    <t>GL-1107</t>
  </si>
  <si>
    <t>AR for Invoice AR-INV-7277</t>
  </si>
  <si>
    <t>GL-1108</t>
  </si>
  <si>
    <t>Sales for Invoice AR-INV-7277</t>
  </si>
  <si>
    <t>GL-1109</t>
  </si>
  <si>
    <t>COGS for Invoice AP-INV-5278</t>
  </si>
  <si>
    <t>GL-1110</t>
  </si>
  <si>
    <t>AP for Invoice AP-INV-5278</t>
  </si>
  <si>
    <t>GL-1111</t>
  </si>
  <si>
    <t>AR for Invoice AR-INV-7278</t>
  </si>
  <si>
    <t>GL-1112</t>
  </si>
  <si>
    <t>Sales for Invoice AR-INV-7278</t>
  </si>
  <si>
    <t>GL-1113</t>
  </si>
  <si>
    <t>COGS for Invoice AP-INV-5279</t>
  </si>
  <si>
    <t>GL-1114</t>
  </si>
  <si>
    <t>AP for Invoice AP-INV-5279</t>
  </si>
  <si>
    <t>GL-1115</t>
  </si>
  <si>
    <t>AR for Invoice AR-INV-7279</t>
  </si>
  <si>
    <t>GL-1116</t>
  </si>
  <si>
    <t>Sales for Invoice AR-INV-7279</t>
  </si>
  <si>
    <t>GL-1117</t>
  </si>
  <si>
    <t>COGS for Invoice AP-INV-5280</t>
  </si>
  <si>
    <t>GL-1118</t>
  </si>
  <si>
    <t>AP for Invoice AP-INV-5280</t>
  </si>
  <si>
    <t>GL-1119</t>
  </si>
  <si>
    <t>AR for Invoice AR-INV-7280</t>
  </si>
  <si>
    <t>GL-1120</t>
  </si>
  <si>
    <t>Sales for Invoice AR-INV-7280</t>
  </si>
  <si>
    <t>GL-1121</t>
  </si>
  <si>
    <t>COGS for Invoice AP-INV-5281</t>
  </si>
  <si>
    <t>GL-1122</t>
  </si>
  <si>
    <t>AP for Invoice AP-INV-5281</t>
  </si>
  <si>
    <t>GL-1123</t>
  </si>
  <si>
    <t>AR for Invoice AR-INV-7281</t>
  </si>
  <si>
    <t>GL-1124</t>
  </si>
  <si>
    <t>Sales for Invoice AR-INV-7281</t>
  </si>
  <si>
    <t>GL-1125</t>
  </si>
  <si>
    <t>COGS for Invoice AP-INV-5282</t>
  </si>
  <si>
    <t>GL-1126</t>
  </si>
  <si>
    <t>AP for Invoice AP-INV-5282</t>
  </si>
  <si>
    <t>GL-1127</t>
  </si>
  <si>
    <t>AR for Invoice AR-INV-7282</t>
  </si>
  <si>
    <t>GL-1128</t>
  </si>
  <si>
    <t>Sales for Invoice AR-INV-7282</t>
  </si>
  <si>
    <t>GL-1129</t>
  </si>
  <si>
    <t>COGS for Invoice AP-INV-5283</t>
  </si>
  <si>
    <t>GL-1130</t>
  </si>
  <si>
    <t>AP for Invoice AP-INV-5283</t>
  </si>
  <si>
    <t>GL-1131</t>
  </si>
  <si>
    <t>AR for Invoice AR-INV-7283</t>
  </si>
  <si>
    <t>GL-1132</t>
  </si>
  <si>
    <t>Sales for Invoice AR-INV-7283</t>
  </si>
  <si>
    <t>GL-1133</t>
  </si>
  <si>
    <t>COGS for Invoice AP-INV-5284</t>
  </si>
  <si>
    <t>GL-1134</t>
  </si>
  <si>
    <t>AP for Invoice AP-INV-5284</t>
  </si>
  <si>
    <t>GL-1135</t>
  </si>
  <si>
    <t>AR for Invoice AR-INV-7284</t>
  </si>
  <si>
    <t>GL-1136</t>
  </si>
  <si>
    <t>Sales for Invoice AR-INV-7284</t>
  </si>
  <si>
    <t>GL-1137</t>
  </si>
  <si>
    <t>COGS for Invoice AP-INV-5285</t>
  </si>
  <si>
    <t>GL-1138</t>
  </si>
  <si>
    <t>AP for Invoice AP-INV-5285</t>
  </si>
  <si>
    <t>GL-1139</t>
  </si>
  <si>
    <t>AR for Invoice AR-INV-7285</t>
  </si>
  <si>
    <t>GL-1140</t>
  </si>
  <si>
    <t>Sales for Invoice AR-INV-7285</t>
  </si>
  <si>
    <t>GL-1141</t>
  </si>
  <si>
    <t>COGS for Invoice AP-INV-5286</t>
  </si>
  <si>
    <t>GL-1142</t>
  </si>
  <si>
    <t>AP for Invoice AP-INV-5286</t>
  </si>
  <si>
    <t>GL-1143</t>
  </si>
  <si>
    <t>AR for Invoice AR-INV-7286</t>
  </si>
  <si>
    <t>GL-1144</t>
  </si>
  <si>
    <t>Sales for Invoice AR-INV-7286</t>
  </si>
  <si>
    <t>GL-1145</t>
  </si>
  <si>
    <t>COGS for Invoice AP-INV-5287</t>
  </si>
  <si>
    <t>GL-1146</t>
  </si>
  <si>
    <t>AP for Invoice AP-INV-5287</t>
  </si>
  <si>
    <t>GL-1147</t>
  </si>
  <si>
    <t>AR for Invoice AR-INV-7287</t>
  </si>
  <si>
    <t>GL-1148</t>
  </si>
  <si>
    <t>Sales for Invoice AR-INV-7287</t>
  </si>
  <si>
    <t>GL-1149</t>
  </si>
  <si>
    <t>COGS for Invoice AP-INV-5288</t>
  </si>
  <si>
    <t>GL-1150</t>
  </si>
  <si>
    <t>AP for Invoice AP-INV-5288</t>
  </si>
  <si>
    <t>GL-1151</t>
  </si>
  <si>
    <t>AR for Invoice AR-INV-7288</t>
  </si>
  <si>
    <t>GL-1152</t>
  </si>
  <si>
    <t>Sales for Invoice AR-INV-7288</t>
  </si>
  <si>
    <t>GL-1153</t>
  </si>
  <si>
    <t>COGS for Invoice AP-INV-5289</t>
  </si>
  <si>
    <t>GL-1154</t>
  </si>
  <si>
    <t>AP for Invoice AP-INV-5289</t>
  </si>
  <si>
    <t>GL-1155</t>
  </si>
  <si>
    <t>AR for Invoice AR-INV-7289</t>
  </si>
  <si>
    <t>GL-1156</t>
  </si>
  <si>
    <t>Sales for Invoice AR-INV-7289</t>
  </si>
  <si>
    <t>GL-1157</t>
  </si>
  <si>
    <t>COGS for Invoice AP-INV-5290</t>
  </si>
  <si>
    <t>GL-1158</t>
  </si>
  <si>
    <t>AP for Invoice AP-INV-5290</t>
  </si>
  <si>
    <t>GL-1159</t>
  </si>
  <si>
    <t>AR for Invoice AR-INV-7290</t>
  </si>
  <si>
    <t>GL-1160</t>
  </si>
  <si>
    <t>Sales for Invoice AR-INV-7290</t>
  </si>
  <si>
    <t>GL-1161</t>
  </si>
  <si>
    <t>COGS for Invoice AP-INV-5291</t>
  </si>
  <si>
    <t>GL-1162</t>
  </si>
  <si>
    <t>AP for Invoice AP-INV-5291</t>
  </si>
  <si>
    <t>GL-1163</t>
  </si>
  <si>
    <t>AR for Invoice AR-INV-7291</t>
  </si>
  <si>
    <t>GL-1164</t>
  </si>
  <si>
    <t>Sales for Invoice AR-INV-7291</t>
  </si>
  <si>
    <t>GL-1165</t>
  </si>
  <si>
    <t>COGS for Invoice AP-INV-5292</t>
  </si>
  <si>
    <t>GL-1166</t>
  </si>
  <si>
    <t>AP for Invoice AP-INV-5292</t>
  </si>
  <si>
    <t>GL-1167</t>
  </si>
  <si>
    <t>AR for Invoice AR-INV-7292</t>
  </si>
  <si>
    <t>GL-1168</t>
  </si>
  <si>
    <t>Sales for Invoice AR-INV-7292</t>
  </si>
  <si>
    <t>GL-1169</t>
  </si>
  <si>
    <t>COGS for Invoice AP-INV-5293</t>
  </si>
  <si>
    <t>GL-1170</t>
  </si>
  <si>
    <t>AP for Invoice AP-INV-5293</t>
  </si>
  <si>
    <t>GL-1171</t>
  </si>
  <si>
    <t>AR for Invoice AR-INV-7293</t>
  </si>
  <si>
    <t>GL-1172</t>
  </si>
  <si>
    <t>Sales for Invoice AR-INV-7293</t>
  </si>
  <si>
    <t>GL-1173</t>
  </si>
  <si>
    <t>COGS for Invoice AP-INV-5294</t>
  </si>
  <si>
    <t>GL-1174</t>
  </si>
  <si>
    <t>AP for Invoice AP-INV-5294</t>
  </si>
  <si>
    <t>GL-1175</t>
  </si>
  <si>
    <t>AR for Invoice AR-INV-7294</t>
  </si>
  <si>
    <t>GL-1176</t>
  </si>
  <si>
    <t>Sales for Invoice AR-INV-7294</t>
  </si>
  <si>
    <t>GL-1177</t>
  </si>
  <si>
    <t>COGS for Invoice AP-INV-5295</t>
  </si>
  <si>
    <t>GL-1178</t>
  </si>
  <si>
    <t>AP for Invoice AP-INV-5295</t>
  </si>
  <si>
    <t>GL-1179</t>
  </si>
  <si>
    <t>AR for Invoice AR-INV-7295</t>
  </si>
  <si>
    <t>GL-1180</t>
  </si>
  <si>
    <t>Sales for Invoice AR-INV-7295</t>
  </si>
  <si>
    <t>GL-1181</t>
  </si>
  <si>
    <t>COGS for Invoice AP-INV-5296</t>
  </si>
  <si>
    <t>GL-1182</t>
  </si>
  <si>
    <t>AP for Invoice AP-INV-5296</t>
  </si>
  <si>
    <t>GL-1183</t>
  </si>
  <si>
    <t>AR for Invoice AR-INV-7296</t>
  </si>
  <si>
    <t>GL-1184</t>
  </si>
  <si>
    <t>Sales for Invoice AR-INV-7296</t>
  </si>
  <si>
    <t>GL-1185</t>
  </si>
  <si>
    <t>COGS for Invoice AP-INV-5297</t>
  </si>
  <si>
    <t>GL-1186</t>
  </si>
  <si>
    <t>AP for Invoice AP-INV-5297</t>
  </si>
  <si>
    <t>GL-1187</t>
  </si>
  <si>
    <t>AR for Invoice AR-INV-7297</t>
  </si>
  <si>
    <t>GL-1188</t>
  </si>
  <si>
    <t>Sales for Invoice AR-INV-7297</t>
  </si>
  <si>
    <t>GL-1189</t>
  </si>
  <si>
    <t>COGS for Invoice AP-INV-5298</t>
  </si>
  <si>
    <t>GL-1190</t>
  </si>
  <si>
    <t>AP for Invoice AP-INV-5298</t>
  </si>
  <si>
    <t>GL-1191</t>
  </si>
  <si>
    <t>AR for Invoice AR-INV-7298</t>
  </si>
  <si>
    <t>GL-1192</t>
  </si>
  <si>
    <t>Sales for Invoice AR-INV-7298</t>
  </si>
  <si>
    <t>GL-1193</t>
  </si>
  <si>
    <t>COGS for Invoice AP-INV-5299</t>
  </si>
  <si>
    <t>GL-1194</t>
  </si>
  <si>
    <t>AP for Invoice AP-INV-5299</t>
  </si>
  <si>
    <t>GL-1195</t>
  </si>
  <si>
    <t>AR for Invoice AR-INV-7299</t>
  </si>
  <si>
    <t>GL-1196</t>
  </si>
  <si>
    <t>Sales for Invoice AR-INV-7299</t>
  </si>
  <si>
    <t>GL-1197</t>
  </si>
  <si>
    <t>COGS for Invoice AP-INV-5300</t>
  </si>
  <si>
    <t>GL-1198</t>
  </si>
  <si>
    <t>AP for Invoice AP-INV-5300</t>
  </si>
  <si>
    <t>GL-1199</t>
  </si>
  <si>
    <t>AR for Invoice AR-INV-7300</t>
  </si>
  <si>
    <t>GL-1200</t>
  </si>
  <si>
    <t>Sales for Invoice AR-INV-7300</t>
  </si>
  <si>
    <t>GL-1201</t>
  </si>
  <si>
    <t>COGS for Invoice AP-INV-5301</t>
  </si>
  <si>
    <t>GL-1202</t>
  </si>
  <si>
    <t>AP for Invoice AP-INV-5301</t>
  </si>
  <si>
    <t>GL-1203</t>
  </si>
  <si>
    <t>AR for Invoice AR-INV-7301</t>
  </si>
  <si>
    <t>GL-1204</t>
  </si>
  <si>
    <t>Sales for Invoice AR-INV-7301</t>
  </si>
  <si>
    <t>GL-1205</t>
  </si>
  <si>
    <t>COGS for Invoice AP-INV-5302</t>
  </si>
  <si>
    <t>GL-1206</t>
  </si>
  <si>
    <t>AP for Invoice AP-INV-5302</t>
  </si>
  <si>
    <t>GL-1207</t>
  </si>
  <si>
    <t>AR for Invoice AR-INV-7302</t>
  </si>
  <si>
    <t>GL-1208</t>
  </si>
  <si>
    <t>Sales for Invoice AR-INV-7302</t>
  </si>
  <si>
    <t>GL-1209</t>
  </si>
  <si>
    <t>COGS for Invoice AP-INV-5303</t>
  </si>
  <si>
    <t>GL-1210</t>
  </si>
  <si>
    <t>AP for Invoice AP-INV-5303</t>
  </si>
  <si>
    <t>GL-1211</t>
  </si>
  <si>
    <t>AR for Invoice AR-INV-7303</t>
  </si>
  <si>
    <t>GL-1212</t>
  </si>
  <si>
    <t>Sales for Invoice AR-INV-7303</t>
  </si>
  <si>
    <t>GL-1213</t>
  </si>
  <si>
    <t>COGS for Invoice AP-INV-5304</t>
  </si>
  <si>
    <t>GL-1214</t>
  </si>
  <si>
    <t>AP for Invoice AP-INV-5304</t>
  </si>
  <si>
    <t>GL-1215</t>
  </si>
  <si>
    <t>AR for Invoice AR-INV-7304</t>
  </si>
  <si>
    <t>GL-1216</t>
  </si>
  <si>
    <t>Sales for Invoice AR-INV-7304</t>
  </si>
  <si>
    <t>GL-1217</t>
  </si>
  <si>
    <t>COGS for Invoice AP-INV-5305</t>
  </si>
  <si>
    <t>GL-1218</t>
  </si>
  <si>
    <t>AP for Invoice AP-INV-5305</t>
  </si>
  <si>
    <t>GL-1219</t>
  </si>
  <si>
    <t>AR for Invoice AR-INV-7305</t>
  </si>
  <si>
    <t>GL-1220</t>
  </si>
  <si>
    <t>Sales for Invoice AR-INV-7305</t>
  </si>
  <si>
    <t>GL-1221</t>
  </si>
  <si>
    <t>COGS for Invoice AP-INV-5306</t>
  </si>
  <si>
    <t>GL-1222</t>
  </si>
  <si>
    <t>AP for Invoice AP-INV-5306</t>
  </si>
  <si>
    <t>GL-1223</t>
  </si>
  <si>
    <t>AR for Invoice AR-INV-7306</t>
  </si>
  <si>
    <t>GL-1224</t>
  </si>
  <si>
    <t>Sales for Invoice AR-INV-7306</t>
  </si>
  <si>
    <t>GL-1225</t>
  </si>
  <si>
    <t>COGS for Invoice AP-INV-5307</t>
  </si>
  <si>
    <t>GL-1226</t>
  </si>
  <si>
    <t>AP for Invoice AP-INV-5307</t>
  </si>
  <si>
    <t>GL-1227</t>
  </si>
  <si>
    <t>AR for Invoice AR-INV-7307</t>
  </si>
  <si>
    <t>GL-1228</t>
  </si>
  <si>
    <t>Sales for Invoice AR-INV-7307</t>
  </si>
  <si>
    <t>GL-1229</t>
  </si>
  <si>
    <t>COGS for Invoice AP-INV-5308</t>
  </si>
  <si>
    <t>GL-1230</t>
  </si>
  <si>
    <t>AP for Invoice AP-INV-5308</t>
  </si>
  <si>
    <t>GL-1231</t>
  </si>
  <si>
    <t>AR for Invoice AR-INV-7308</t>
  </si>
  <si>
    <t>GL-1232</t>
  </si>
  <si>
    <t>Sales for Invoice AR-INV-7308</t>
  </si>
  <si>
    <t>GL-1233</t>
  </si>
  <si>
    <t>COGS for Invoice AP-INV-5309</t>
  </si>
  <si>
    <t>GL-1234</t>
  </si>
  <si>
    <t>AP for Invoice AP-INV-5309</t>
  </si>
  <si>
    <t>GL-1235</t>
  </si>
  <si>
    <t>AR for Invoice AR-INV-7309</t>
  </si>
  <si>
    <t>GL-1236</t>
  </si>
  <si>
    <t>Sales for Invoice AR-INV-7309</t>
  </si>
  <si>
    <t>GL-1237</t>
  </si>
  <si>
    <t>COGS for Invoice AP-INV-5310</t>
  </si>
  <si>
    <t>GL-1238</t>
  </si>
  <si>
    <t>AP for Invoice AP-INV-5310</t>
  </si>
  <si>
    <t>GL-1239</t>
  </si>
  <si>
    <t>AR for Invoice AR-INV-7310</t>
  </si>
  <si>
    <t>GL-1240</t>
  </si>
  <si>
    <t>Sales for Invoice AR-INV-7310</t>
  </si>
  <si>
    <t>GL-1241</t>
  </si>
  <si>
    <t>COGS for Invoice AP-INV-5311</t>
  </si>
  <si>
    <t>GL-1242</t>
  </si>
  <si>
    <t>AP for Invoice AP-INV-5311</t>
  </si>
  <si>
    <t>GL-1243</t>
  </si>
  <si>
    <t>AR for Invoice AR-INV-7311</t>
  </si>
  <si>
    <t>GL-1244</t>
  </si>
  <si>
    <t>Sales for Invoice AR-INV-7311</t>
  </si>
  <si>
    <t>GL-1245</t>
  </si>
  <si>
    <t>COGS for Invoice AP-INV-5312</t>
  </si>
  <si>
    <t>GL-1246</t>
  </si>
  <si>
    <t>AP for Invoice AP-INV-5312</t>
  </si>
  <si>
    <t>GL-1247</t>
  </si>
  <si>
    <t>AR for Invoice AR-INV-7312</t>
  </si>
  <si>
    <t>GL-1248</t>
  </si>
  <si>
    <t>Sales for Invoice AR-INV-7312</t>
  </si>
  <si>
    <t>GL-1249</t>
  </si>
  <si>
    <t>COGS for Invoice AP-INV-5313</t>
  </si>
  <si>
    <t>GL-1250</t>
  </si>
  <si>
    <t>AP for Invoice AP-INV-5313</t>
  </si>
  <si>
    <t>GL-1251</t>
  </si>
  <si>
    <t>AR for Invoice AR-INV-7313</t>
  </si>
  <si>
    <t>GL-1252</t>
  </si>
  <si>
    <t>Sales for Invoice AR-INV-7313</t>
  </si>
  <si>
    <t>GL-1253</t>
  </si>
  <si>
    <t>COGS for Invoice AP-INV-5314</t>
  </si>
  <si>
    <t>GL-1254</t>
  </si>
  <si>
    <t>AP for Invoice AP-INV-5314</t>
  </si>
  <si>
    <t>GL-1255</t>
  </si>
  <si>
    <t>AR for Invoice AR-INV-7314</t>
  </si>
  <si>
    <t>GL-1256</t>
  </si>
  <si>
    <t>Sales for Invoice AR-INV-7314</t>
  </si>
  <si>
    <t>GL-1257</t>
  </si>
  <si>
    <t>COGS for Invoice AP-INV-5315</t>
  </si>
  <si>
    <t>GL-1258</t>
  </si>
  <si>
    <t>AP for Invoice AP-INV-5315</t>
  </si>
  <si>
    <t>GL-1259</t>
  </si>
  <si>
    <t>AR for Invoice AR-INV-7315</t>
  </si>
  <si>
    <t>GL-1260</t>
  </si>
  <si>
    <t>Sales for Invoice AR-INV-7315</t>
  </si>
  <si>
    <t>GL-1261</t>
  </si>
  <si>
    <t>COGS for Invoice AP-INV-5316</t>
  </si>
  <si>
    <t>GL-1262</t>
  </si>
  <si>
    <t>AP for Invoice AP-INV-5316</t>
  </si>
  <si>
    <t>GL-1263</t>
  </si>
  <si>
    <t>AR for Invoice AR-INV-7316</t>
  </si>
  <si>
    <t>GL-1264</t>
  </si>
  <si>
    <t>Sales for Invoice AR-INV-7316</t>
  </si>
  <si>
    <t>GL-1265</t>
  </si>
  <si>
    <t>COGS for Invoice AP-INV-5317</t>
  </si>
  <si>
    <t>GL-1266</t>
  </si>
  <si>
    <t>AP for Invoice AP-INV-5317</t>
  </si>
  <si>
    <t>GL-1267</t>
  </si>
  <si>
    <t>AR for Invoice AR-INV-7317</t>
  </si>
  <si>
    <t>GL-1268</t>
  </si>
  <si>
    <t>Sales for Invoice AR-INV-7317</t>
  </si>
  <si>
    <t>GL-1269</t>
  </si>
  <si>
    <t>COGS for Invoice AP-INV-5318</t>
  </si>
  <si>
    <t>GL-1270</t>
  </si>
  <si>
    <t>AP for Invoice AP-INV-5318</t>
  </si>
  <si>
    <t>GL-1271</t>
  </si>
  <si>
    <t>AR for Invoice AR-INV-7318</t>
  </si>
  <si>
    <t>GL-1272</t>
  </si>
  <si>
    <t>Sales for Invoice AR-INV-7318</t>
  </si>
  <si>
    <t>GL-1273</t>
  </si>
  <si>
    <t>COGS for Invoice AP-INV-5319</t>
  </si>
  <si>
    <t>GL-1274</t>
  </si>
  <si>
    <t>AP for Invoice AP-INV-5319</t>
  </si>
  <si>
    <t>GL-1275</t>
  </si>
  <si>
    <t>AR for Invoice AR-INV-7319</t>
  </si>
  <si>
    <t>GL-1276</t>
  </si>
  <si>
    <t>Sales for Invoice AR-INV-7319</t>
  </si>
  <si>
    <t>GL-1277</t>
  </si>
  <si>
    <t>COGS for Invoice AP-INV-5320</t>
  </si>
  <si>
    <t>GL-1278</t>
  </si>
  <si>
    <t>AP for Invoice AP-INV-5320</t>
  </si>
  <si>
    <t>GL-1279</t>
  </si>
  <si>
    <t>AR for Invoice AR-INV-7320</t>
  </si>
  <si>
    <t>GL-1280</t>
  </si>
  <si>
    <t>Sales for Invoice AR-INV-7320</t>
  </si>
  <si>
    <t>GL-1281</t>
  </si>
  <si>
    <t>COGS for Invoice AP-INV-5321</t>
  </si>
  <si>
    <t>GL-1282</t>
  </si>
  <si>
    <t>AP for Invoice AP-INV-5321</t>
  </si>
  <si>
    <t>GL-1283</t>
  </si>
  <si>
    <t>AR for Invoice AR-INV-7321</t>
  </si>
  <si>
    <t>GL-1284</t>
  </si>
  <si>
    <t>Sales for Invoice AR-INV-7321</t>
  </si>
  <si>
    <t>GL-1285</t>
  </si>
  <si>
    <t>COGS for Invoice AP-INV-5322</t>
  </si>
  <si>
    <t>GL-1286</t>
  </si>
  <si>
    <t>AP for Invoice AP-INV-5322</t>
  </si>
  <si>
    <t>GL-1287</t>
  </si>
  <si>
    <t>AR for Invoice AR-INV-7322</t>
  </si>
  <si>
    <t>GL-1288</t>
  </si>
  <si>
    <t>Sales for Invoice AR-INV-7322</t>
  </si>
  <si>
    <t>GL-1289</t>
  </si>
  <si>
    <t>COGS for Invoice AP-INV-5323</t>
  </si>
  <si>
    <t>GL-1290</t>
  </si>
  <si>
    <t>AP for Invoice AP-INV-5323</t>
  </si>
  <si>
    <t>GL-1291</t>
  </si>
  <si>
    <t>AR for Invoice AR-INV-7323</t>
  </si>
  <si>
    <t>GL-1292</t>
  </si>
  <si>
    <t>Sales for Invoice AR-INV-7323</t>
  </si>
  <si>
    <t>GL-1293</t>
  </si>
  <si>
    <t>COGS for Invoice AP-INV-5324</t>
  </si>
  <si>
    <t>GL-1294</t>
  </si>
  <si>
    <t>AP for Invoice AP-INV-5324</t>
  </si>
  <si>
    <t>GL-1295</t>
  </si>
  <si>
    <t>AR for Invoice AR-INV-7324</t>
  </si>
  <si>
    <t>GL-1296</t>
  </si>
  <si>
    <t>Sales for Invoice AR-INV-7324</t>
  </si>
  <si>
    <t>GL-1297</t>
  </si>
  <si>
    <t>COGS for Invoice AP-INV-5325</t>
  </si>
  <si>
    <t>GL-1298</t>
  </si>
  <si>
    <t>AP for Invoice AP-INV-5325</t>
  </si>
  <si>
    <t>GL-1299</t>
  </si>
  <si>
    <t>AR for Invoice AR-INV-7325</t>
  </si>
  <si>
    <t>GL-1300</t>
  </si>
  <si>
    <t>Sales for Invoice AR-INV-7325</t>
  </si>
  <si>
    <t>GL-1301</t>
  </si>
  <si>
    <t>COGS for Invoice AP-INV-5326</t>
  </si>
  <si>
    <t>GL-1302</t>
  </si>
  <si>
    <t>AP for Invoice AP-INV-5326</t>
  </si>
  <si>
    <t>GL-1303</t>
  </si>
  <si>
    <t>AR for Invoice AR-INV-7326</t>
  </si>
  <si>
    <t>GL-1304</t>
  </si>
  <si>
    <t>Sales for Invoice AR-INV-7326</t>
  </si>
  <si>
    <t>GL-1305</t>
  </si>
  <si>
    <t>COGS for Invoice AP-INV-5327</t>
  </si>
  <si>
    <t>GL-1306</t>
  </si>
  <si>
    <t>AP for Invoice AP-INV-5327</t>
  </si>
  <si>
    <t>GL-1307</t>
  </si>
  <si>
    <t>AR for Invoice AR-INV-7327</t>
  </si>
  <si>
    <t>GL-1308</t>
  </si>
  <si>
    <t>Sales for Invoice AR-INV-7327</t>
  </si>
  <si>
    <t>GL-1309</t>
  </si>
  <si>
    <t>COGS for Invoice AP-INV-5328</t>
  </si>
  <si>
    <t>GL-1310</t>
  </si>
  <si>
    <t>AP for Invoice AP-INV-5328</t>
  </si>
  <si>
    <t>GL-1311</t>
  </si>
  <si>
    <t>AR for Invoice AR-INV-7328</t>
  </si>
  <si>
    <t>GL-1312</t>
  </si>
  <si>
    <t>Sales for Invoice AR-INV-7328</t>
  </si>
  <si>
    <t>GL-1313</t>
  </si>
  <si>
    <t>COGS for Invoice AP-INV-5329</t>
  </si>
  <si>
    <t>GL-1314</t>
  </si>
  <si>
    <t>AP for Invoice AP-INV-5329</t>
  </si>
  <si>
    <t>GL-1315</t>
  </si>
  <si>
    <t>AR for Invoice AR-INV-7329</t>
  </si>
  <si>
    <t>GL-1316</t>
  </si>
  <si>
    <t>Sales for Invoice AR-INV-7329</t>
  </si>
  <si>
    <t>GL-1317</t>
  </si>
  <si>
    <t>COGS for Invoice AP-INV-5330</t>
  </si>
  <si>
    <t>GL-1318</t>
  </si>
  <si>
    <t>AP for Invoice AP-INV-5330</t>
  </si>
  <si>
    <t>GL-1319</t>
  </si>
  <si>
    <t>AR for Invoice AR-INV-7330</t>
  </si>
  <si>
    <t>GL-1320</t>
  </si>
  <si>
    <t>Sales for Invoice AR-INV-7330</t>
  </si>
  <si>
    <t>GL-1321</t>
  </si>
  <si>
    <t>COGS for Invoice AP-INV-5331</t>
  </si>
  <si>
    <t>GL-1322</t>
  </si>
  <si>
    <t>AP for Invoice AP-INV-5331</t>
  </si>
  <si>
    <t>GL-1323</t>
  </si>
  <si>
    <t>AR for Invoice AR-INV-7331</t>
  </si>
  <si>
    <t>GL-1324</t>
  </si>
  <si>
    <t>Sales for Invoice AR-INV-7331</t>
  </si>
  <si>
    <t>GL-1325</t>
  </si>
  <si>
    <t>COGS for Invoice AP-INV-5332</t>
  </si>
  <si>
    <t>GL-1326</t>
  </si>
  <si>
    <t>AP for Invoice AP-INV-5332</t>
  </si>
  <si>
    <t>GL-1327</t>
  </si>
  <si>
    <t>AR for Invoice AR-INV-7332</t>
  </si>
  <si>
    <t>GL-1328</t>
  </si>
  <si>
    <t>Sales for Invoice AR-INV-7332</t>
  </si>
  <si>
    <t>GL-1329</t>
  </si>
  <si>
    <t>COGS for Invoice AP-INV-5333</t>
  </si>
  <si>
    <t>GL-1330</t>
  </si>
  <si>
    <t>AP for Invoice AP-INV-5333</t>
  </si>
  <si>
    <t>GL-1331</t>
  </si>
  <si>
    <t>AR for Invoice AR-INV-7333</t>
  </si>
  <si>
    <t>GL-1332</t>
  </si>
  <si>
    <t>Sales for Invoice AR-INV-7333</t>
  </si>
  <si>
    <t>GL-1333</t>
  </si>
  <si>
    <t>COGS for Invoice AP-INV-5334</t>
  </si>
  <si>
    <t>GL-1334</t>
  </si>
  <si>
    <t>AP for Invoice AP-INV-5334</t>
  </si>
  <si>
    <t>GL-1335</t>
  </si>
  <si>
    <t>AR for Invoice AR-INV-7334</t>
  </si>
  <si>
    <t>GL-1336</t>
  </si>
  <si>
    <t>Sales for Invoice AR-INV-7334</t>
  </si>
  <si>
    <t>GL-1337</t>
  </si>
  <si>
    <t>COGS for Invoice AP-INV-5335</t>
  </si>
  <si>
    <t>GL-1338</t>
  </si>
  <si>
    <t>AP for Invoice AP-INV-5335</t>
  </si>
  <si>
    <t>GL-1339</t>
  </si>
  <si>
    <t>AR for Invoice AR-INV-7335</t>
  </si>
  <si>
    <t>GL-1340</t>
  </si>
  <si>
    <t>Sales for Invoice AR-INV-7335</t>
  </si>
  <si>
    <t>GL-1341</t>
  </si>
  <si>
    <t>COGS for Invoice AP-INV-5336</t>
  </si>
  <si>
    <t>GL-1342</t>
  </si>
  <si>
    <t>AP for Invoice AP-INV-5336</t>
  </si>
  <si>
    <t>GL-1343</t>
  </si>
  <si>
    <t>AR for Invoice AR-INV-7336</t>
  </si>
  <si>
    <t>GL-1344</t>
  </si>
  <si>
    <t>Sales for Invoice AR-INV-7336</t>
  </si>
  <si>
    <t>GL-1345</t>
  </si>
  <si>
    <t>COGS for Invoice AP-INV-5337</t>
  </si>
  <si>
    <t>GL-1346</t>
  </si>
  <si>
    <t>AP for Invoice AP-INV-5337</t>
  </si>
  <si>
    <t>GL-1347</t>
  </si>
  <si>
    <t>AR for Invoice AR-INV-7337</t>
  </si>
  <si>
    <t>GL-1348</t>
  </si>
  <si>
    <t>Sales for Invoice AR-INV-7337</t>
  </si>
  <si>
    <t>GL-1349</t>
  </si>
  <si>
    <t>COGS for Invoice AP-INV-5338</t>
  </si>
  <si>
    <t>GL-1350</t>
  </si>
  <si>
    <t>AP for Invoice AP-INV-5338</t>
  </si>
  <si>
    <t>GL-1351</t>
  </si>
  <si>
    <t>AR for Invoice AR-INV-7338</t>
  </si>
  <si>
    <t>GL-1352</t>
  </si>
  <si>
    <t>Sales for Invoice AR-INV-7338</t>
  </si>
  <si>
    <t>GL-1353</t>
  </si>
  <si>
    <t>COGS for Invoice AP-INV-5339</t>
  </si>
  <si>
    <t>GL-1354</t>
  </si>
  <si>
    <t>AP for Invoice AP-INV-5339</t>
  </si>
  <si>
    <t>GL-1355</t>
  </si>
  <si>
    <t>AR for Invoice AR-INV-7339</t>
  </si>
  <si>
    <t>GL-1356</t>
  </si>
  <si>
    <t>Sales for Invoice AR-INV-7339</t>
  </si>
  <si>
    <t>GL-1357</t>
  </si>
  <si>
    <t>COGS for Invoice AP-INV-5340</t>
  </si>
  <si>
    <t>GL-1358</t>
  </si>
  <si>
    <t>AP for Invoice AP-INV-5340</t>
  </si>
  <si>
    <t>GL-1359</t>
  </si>
  <si>
    <t>AR for Invoice AR-INV-7340</t>
  </si>
  <si>
    <t>GL-1360</t>
  </si>
  <si>
    <t>Sales for Invoice AR-INV-7340</t>
  </si>
  <si>
    <t>GL-1361</t>
  </si>
  <si>
    <t>COGS for Invoice AP-INV-5341</t>
  </si>
  <si>
    <t>GL-1362</t>
  </si>
  <si>
    <t>AP for Invoice AP-INV-5341</t>
  </si>
  <si>
    <t>GL-1363</t>
  </si>
  <si>
    <t>AR for Invoice AR-INV-7341</t>
  </si>
  <si>
    <t>GL-1364</t>
  </si>
  <si>
    <t>Sales for Invoice AR-INV-7341</t>
  </si>
  <si>
    <t>GL-1365</t>
  </si>
  <si>
    <t>COGS for Invoice AP-INV-5342</t>
  </si>
  <si>
    <t>GL-1366</t>
  </si>
  <si>
    <t>AP for Invoice AP-INV-5342</t>
  </si>
  <si>
    <t>GL-1367</t>
  </si>
  <si>
    <t>AR for Invoice AR-INV-7342</t>
  </si>
  <si>
    <t>GL-1368</t>
  </si>
  <si>
    <t>Sales for Invoice AR-INV-7342</t>
  </si>
  <si>
    <t>GL-1369</t>
  </si>
  <si>
    <t>COGS for Invoice AP-INV-5343</t>
  </si>
  <si>
    <t>GL-1370</t>
  </si>
  <si>
    <t>AP for Invoice AP-INV-5343</t>
  </si>
  <si>
    <t>GL-1371</t>
  </si>
  <si>
    <t>AR for Invoice AR-INV-7343</t>
  </si>
  <si>
    <t>GL-1372</t>
  </si>
  <si>
    <t>Sales for Invoice AR-INV-7343</t>
  </si>
  <si>
    <t>GL-1373</t>
  </si>
  <si>
    <t>COGS for Invoice AP-INV-5344</t>
  </si>
  <si>
    <t>GL-1374</t>
  </si>
  <si>
    <t>AP for Invoice AP-INV-5344</t>
  </si>
  <si>
    <t>GL-1375</t>
  </si>
  <si>
    <t>AR for Invoice AR-INV-7344</t>
  </si>
  <si>
    <t>GL-1376</t>
  </si>
  <si>
    <t>Sales for Invoice AR-INV-7344</t>
  </si>
  <si>
    <t>GL-1377</t>
  </si>
  <si>
    <t>COGS for Invoice AP-INV-5345</t>
  </si>
  <si>
    <t>GL-1378</t>
  </si>
  <si>
    <t>AP for Invoice AP-INV-5345</t>
  </si>
  <si>
    <t>GL-1379</t>
  </si>
  <si>
    <t>AR for Invoice AR-INV-7345</t>
  </si>
  <si>
    <t>GL-1380</t>
  </si>
  <si>
    <t>Sales for Invoice AR-INV-7345</t>
  </si>
  <si>
    <t>GL-1381</t>
  </si>
  <si>
    <t>COGS for Invoice AP-INV-5346</t>
  </si>
  <si>
    <t>GL-1382</t>
  </si>
  <si>
    <t>AP for Invoice AP-INV-5346</t>
  </si>
  <si>
    <t>GL-1383</t>
  </si>
  <si>
    <t>AR for Invoice AR-INV-7346</t>
  </si>
  <si>
    <t>GL-1384</t>
  </si>
  <si>
    <t>Sales for Invoice AR-INV-7346</t>
  </si>
  <si>
    <t>GL-1385</t>
  </si>
  <si>
    <t>COGS for Invoice AP-INV-5347</t>
  </si>
  <si>
    <t>GL-1386</t>
  </si>
  <si>
    <t>AP for Invoice AP-INV-5347</t>
  </si>
  <si>
    <t>GL-1387</t>
  </si>
  <si>
    <t>AR for Invoice AR-INV-7347</t>
  </si>
  <si>
    <t>GL-1388</t>
  </si>
  <si>
    <t>Sales for Invoice AR-INV-7347</t>
  </si>
  <si>
    <t>GL-1389</t>
  </si>
  <si>
    <t>COGS for Invoice AP-INV-5348</t>
  </si>
  <si>
    <t>GL-1390</t>
  </si>
  <si>
    <t>AP for Invoice AP-INV-5348</t>
  </si>
  <si>
    <t>GL-1391</t>
  </si>
  <si>
    <t>AR for Invoice AR-INV-7348</t>
  </si>
  <si>
    <t>GL-1392</t>
  </si>
  <si>
    <t>Sales for Invoice AR-INV-7348</t>
  </si>
  <si>
    <t>GL-1393</t>
  </si>
  <si>
    <t>COGS for Invoice AP-INV-5349</t>
  </si>
  <si>
    <t>GL-1394</t>
  </si>
  <si>
    <t>AP for Invoice AP-INV-5349</t>
  </si>
  <si>
    <t>GL-1395</t>
  </si>
  <si>
    <t>AR for Invoice AR-INV-7349</t>
  </si>
  <si>
    <t>GL-1396</t>
  </si>
  <si>
    <t>Sales for Invoice AR-INV-7349</t>
  </si>
  <si>
    <t>GL-1397</t>
  </si>
  <si>
    <t>COGS for Invoice AP-INV-5350</t>
  </si>
  <si>
    <t>GL-1398</t>
  </si>
  <si>
    <t>AP for Invoice AP-INV-5350</t>
  </si>
  <si>
    <t>GL-1399</t>
  </si>
  <si>
    <t>AR for Invoice AR-INV-7350</t>
  </si>
  <si>
    <t>GL-1400</t>
  </si>
  <si>
    <t>Sales for Invoice AR-INV-7350</t>
  </si>
  <si>
    <t>GL-1401</t>
  </si>
  <si>
    <t>COGS for Invoice AP-INV-5351</t>
  </si>
  <si>
    <t>GL-1402</t>
  </si>
  <si>
    <t>AP for Invoice AP-INV-5351</t>
  </si>
  <si>
    <t>GL-1403</t>
  </si>
  <si>
    <t>AR for Invoice AR-INV-7351</t>
  </si>
  <si>
    <t>GL-1404</t>
  </si>
  <si>
    <t>Sales for Invoice AR-INV-7351</t>
  </si>
  <si>
    <t>GL-1405</t>
  </si>
  <si>
    <t>COGS for Invoice AP-INV-5352</t>
  </si>
  <si>
    <t>GL-1406</t>
  </si>
  <si>
    <t>AP for Invoice AP-INV-5352</t>
  </si>
  <si>
    <t>GL-1407</t>
  </si>
  <si>
    <t>AR for Invoice AR-INV-7352</t>
  </si>
  <si>
    <t>GL-1408</t>
  </si>
  <si>
    <t>Sales for Invoice AR-INV-7352</t>
  </si>
  <si>
    <t>GL-1409</t>
  </si>
  <si>
    <t>COGS for Invoice AP-INV-5353</t>
  </si>
  <si>
    <t>GL-1410</t>
  </si>
  <si>
    <t>AP for Invoice AP-INV-5353</t>
  </si>
  <si>
    <t>GL-1411</t>
  </si>
  <si>
    <t>AR for Invoice AR-INV-7353</t>
  </si>
  <si>
    <t>GL-1412</t>
  </si>
  <si>
    <t>Sales for Invoice AR-INV-7353</t>
  </si>
  <si>
    <t>GL-1413</t>
  </si>
  <si>
    <t>COGS for Invoice AP-INV-5354</t>
  </si>
  <si>
    <t>GL-1414</t>
  </si>
  <si>
    <t>AP for Invoice AP-INV-5354</t>
  </si>
  <si>
    <t>GL-1415</t>
  </si>
  <si>
    <t>AR for Invoice AR-INV-7354</t>
  </si>
  <si>
    <t>GL-1416</t>
  </si>
  <si>
    <t>Sales for Invoice AR-INV-7354</t>
  </si>
  <si>
    <t>GL-1417</t>
  </si>
  <si>
    <t>COGS for Invoice AP-INV-5355</t>
  </si>
  <si>
    <t>GL-1418</t>
  </si>
  <si>
    <t>AP for Invoice AP-INV-5355</t>
  </si>
  <si>
    <t>GL-1419</t>
  </si>
  <si>
    <t>AR for Invoice AR-INV-7355</t>
  </si>
  <si>
    <t>GL-1420</t>
  </si>
  <si>
    <t>Sales for Invoice AR-INV-7355</t>
  </si>
  <si>
    <t>GL-1421</t>
  </si>
  <si>
    <t>COGS for Invoice AP-INV-5356</t>
  </si>
  <si>
    <t>GL-1422</t>
  </si>
  <si>
    <t>AP for Invoice AP-INV-5356</t>
  </si>
  <si>
    <t>GL-1423</t>
  </si>
  <si>
    <t>AR for Invoice AR-INV-7356</t>
  </si>
  <si>
    <t>GL-1424</t>
  </si>
  <si>
    <t>Sales for Invoice AR-INV-7356</t>
  </si>
  <si>
    <t>GL-1425</t>
  </si>
  <si>
    <t>COGS for Invoice AP-INV-5357</t>
  </si>
  <si>
    <t>GL-1426</t>
  </si>
  <si>
    <t>AP for Invoice AP-INV-5357</t>
  </si>
  <si>
    <t>GL-1427</t>
  </si>
  <si>
    <t>AR for Invoice AR-INV-7357</t>
  </si>
  <si>
    <t>GL-1428</t>
  </si>
  <si>
    <t>Sales for Invoice AR-INV-7357</t>
  </si>
  <si>
    <t>GL-1429</t>
  </si>
  <si>
    <t>COGS for Invoice AP-INV-5358</t>
  </si>
  <si>
    <t>GL-1430</t>
  </si>
  <si>
    <t>AP for Invoice AP-INV-5358</t>
  </si>
  <si>
    <t>GL-1431</t>
  </si>
  <si>
    <t>AR for Invoice AR-INV-7358</t>
  </si>
  <si>
    <t>GL-1432</t>
  </si>
  <si>
    <t>Sales for Invoice AR-INV-7358</t>
  </si>
  <si>
    <t>GL-1433</t>
  </si>
  <si>
    <t>COGS for Invoice AP-INV-5359</t>
  </si>
  <si>
    <t>GL-1434</t>
  </si>
  <si>
    <t>AP for Invoice AP-INV-5359</t>
  </si>
  <si>
    <t>GL-1435</t>
  </si>
  <si>
    <t>AR for Invoice AR-INV-7359</t>
  </si>
  <si>
    <t>GL-1436</t>
  </si>
  <si>
    <t>Sales for Invoice AR-INV-7359</t>
  </si>
  <si>
    <t>GL-1437</t>
  </si>
  <si>
    <t>COGS for Invoice AP-INV-5360</t>
  </si>
  <si>
    <t>GL-1438</t>
  </si>
  <si>
    <t>AP for Invoice AP-INV-5360</t>
  </si>
  <si>
    <t>GL-1439</t>
  </si>
  <si>
    <t>AR for Invoice AR-INV-7360</t>
  </si>
  <si>
    <t>GL-1440</t>
  </si>
  <si>
    <t>Sales for Invoice AR-INV-7360</t>
  </si>
  <si>
    <t>GL-1441</t>
  </si>
  <si>
    <t>COGS for Invoice AP-INV-5361</t>
  </si>
  <si>
    <t>GL-1442</t>
  </si>
  <si>
    <t>AP for Invoice AP-INV-5361</t>
  </si>
  <si>
    <t>GL-1443</t>
  </si>
  <si>
    <t>AR for Invoice AR-INV-7361</t>
  </si>
  <si>
    <t>GL-1444</t>
  </si>
  <si>
    <t>Sales for Invoice AR-INV-7361</t>
  </si>
  <si>
    <t>GL-1445</t>
  </si>
  <si>
    <t>COGS for Invoice AP-INV-5362</t>
  </si>
  <si>
    <t>GL-1446</t>
  </si>
  <si>
    <t>AP for Invoice AP-INV-5362</t>
  </si>
  <si>
    <t>GL-1447</t>
  </si>
  <si>
    <t>AR for Invoice AR-INV-7362</t>
  </si>
  <si>
    <t>GL-1448</t>
  </si>
  <si>
    <t>Sales for Invoice AR-INV-7362</t>
  </si>
  <si>
    <t>GL-1449</t>
  </si>
  <si>
    <t>COGS for Invoice AP-INV-5363</t>
  </si>
  <si>
    <t>GL-1450</t>
  </si>
  <si>
    <t>AP for Invoice AP-INV-5363</t>
  </si>
  <si>
    <t>GL-1451</t>
  </si>
  <si>
    <t>AR for Invoice AR-INV-7363</t>
  </si>
  <si>
    <t>GL-1452</t>
  </si>
  <si>
    <t>Sales for Invoice AR-INV-7363</t>
  </si>
  <si>
    <t>GL-1453</t>
  </si>
  <si>
    <t>COGS for Invoice AP-INV-5364</t>
  </si>
  <si>
    <t>GL-1454</t>
  </si>
  <si>
    <t>AP for Invoice AP-INV-5364</t>
  </si>
  <si>
    <t>GL-1455</t>
  </si>
  <si>
    <t>AR for Invoice AR-INV-7364</t>
  </si>
  <si>
    <t>GL-1456</t>
  </si>
  <si>
    <t>Sales for Invoice AR-INV-7364</t>
  </si>
  <si>
    <t>GL-1457</t>
  </si>
  <si>
    <t>COGS for Invoice AP-INV-5365</t>
  </si>
  <si>
    <t>GL-1458</t>
  </si>
  <si>
    <t>AP for Invoice AP-INV-5365</t>
  </si>
  <si>
    <t>GL-1459</t>
  </si>
  <si>
    <t>AR for Invoice AR-INV-7365</t>
  </si>
  <si>
    <t>GL-1460</t>
  </si>
  <si>
    <t>Sales for Invoice AR-INV-7365</t>
  </si>
  <si>
    <t>GL-1461</t>
  </si>
  <si>
    <t>COGS for Invoice AP-INV-5366</t>
  </si>
  <si>
    <t>GL-1462</t>
  </si>
  <si>
    <t>AP for Invoice AP-INV-5366</t>
  </si>
  <si>
    <t>GL-1463</t>
  </si>
  <si>
    <t>AR for Invoice AR-INV-7366</t>
  </si>
  <si>
    <t>GL-1464</t>
  </si>
  <si>
    <t>Sales for Invoice AR-INV-7366</t>
  </si>
  <si>
    <t>GL-1465</t>
  </si>
  <si>
    <t>COGS for Invoice AP-INV-5367</t>
  </si>
  <si>
    <t>GL-1466</t>
  </si>
  <si>
    <t>AP for Invoice AP-INV-5367</t>
  </si>
  <si>
    <t>GL-1467</t>
  </si>
  <si>
    <t>AR for Invoice AR-INV-7367</t>
  </si>
  <si>
    <t>GL-1468</t>
  </si>
  <si>
    <t>Sales for Invoice AR-INV-7367</t>
  </si>
  <si>
    <t>GL-1469</t>
  </si>
  <si>
    <t>COGS for Invoice AP-INV-5368</t>
  </si>
  <si>
    <t>GL-1470</t>
  </si>
  <si>
    <t>AP for Invoice AP-INV-5368</t>
  </si>
  <si>
    <t>GL-1471</t>
  </si>
  <si>
    <t>AR for Invoice AR-INV-7368</t>
  </si>
  <si>
    <t>GL-1472</t>
  </si>
  <si>
    <t>Sales for Invoice AR-INV-7368</t>
  </si>
  <si>
    <t>GL-1473</t>
  </si>
  <si>
    <t>COGS for Invoice AP-INV-5369</t>
  </si>
  <si>
    <t>GL-1474</t>
  </si>
  <si>
    <t>AP for Invoice AP-INV-5369</t>
  </si>
  <si>
    <t>GL-1475</t>
  </si>
  <si>
    <t>AR for Invoice AR-INV-7369</t>
  </si>
  <si>
    <t>GL-1476</t>
  </si>
  <si>
    <t>Sales for Invoice AR-INV-7369</t>
  </si>
  <si>
    <t>GL-1477</t>
  </si>
  <si>
    <t>COGS for Invoice AP-INV-5370</t>
  </si>
  <si>
    <t>GL-1478</t>
  </si>
  <si>
    <t>AP for Invoice AP-INV-5370</t>
  </si>
  <si>
    <t>GL-1479</t>
  </si>
  <si>
    <t>AR for Invoice AR-INV-7370</t>
  </si>
  <si>
    <t>GL-1480</t>
  </si>
  <si>
    <t>Sales for Invoice AR-INV-7370</t>
  </si>
  <si>
    <t>GL-1481</t>
  </si>
  <si>
    <t>COGS for Invoice AP-INV-5371</t>
  </si>
  <si>
    <t>GL-1482</t>
  </si>
  <si>
    <t>AP for Invoice AP-INV-5371</t>
  </si>
  <si>
    <t>GL-1483</t>
  </si>
  <si>
    <t>AR for Invoice AR-INV-7371</t>
  </si>
  <si>
    <t>GL-1484</t>
  </si>
  <si>
    <t>Sales for Invoice AR-INV-7371</t>
  </si>
  <si>
    <t>GL-1485</t>
  </si>
  <si>
    <t>COGS for Invoice AP-INV-5372</t>
  </si>
  <si>
    <t>GL-1486</t>
  </si>
  <si>
    <t>AP for Invoice AP-INV-5372</t>
  </si>
  <si>
    <t>GL-1487</t>
  </si>
  <si>
    <t>AR for Invoice AR-INV-7372</t>
  </si>
  <si>
    <t>GL-1488</t>
  </si>
  <si>
    <t>Sales for Invoice AR-INV-7372</t>
  </si>
  <si>
    <t>GL-1489</t>
  </si>
  <si>
    <t>COGS for Invoice AP-INV-5373</t>
  </si>
  <si>
    <t>GL-1490</t>
  </si>
  <si>
    <t>AP for Invoice AP-INV-5373</t>
  </si>
  <si>
    <t>GL-1491</t>
  </si>
  <si>
    <t>AR for Invoice AR-INV-7373</t>
  </si>
  <si>
    <t>GL-1492</t>
  </si>
  <si>
    <t>Sales for Invoice AR-INV-7373</t>
  </si>
  <si>
    <t>GL-1493</t>
  </si>
  <si>
    <t>COGS for Invoice AP-INV-5374</t>
  </si>
  <si>
    <t>GL-1494</t>
  </si>
  <si>
    <t>AP for Invoice AP-INV-5374</t>
  </si>
  <si>
    <t>GL-1495</t>
  </si>
  <si>
    <t>AR for Invoice AR-INV-7374</t>
  </si>
  <si>
    <t>GL-1496</t>
  </si>
  <si>
    <t>Sales for Invoice AR-INV-7374</t>
  </si>
  <si>
    <t>GL-1497</t>
  </si>
  <si>
    <t>COGS for Invoice AP-INV-5375</t>
  </si>
  <si>
    <t>GL-1498</t>
  </si>
  <si>
    <t>AP for Invoice AP-INV-5375</t>
  </si>
  <si>
    <t>GL-1499</t>
  </si>
  <si>
    <t>AR for Invoice AR-INV-7375</t>
  </si>
  <si>
    <t>GL-1500</t>
  </si>
  <si>
    <t>Sales for Invoice AR-INV-7375</t>
  </si>
  <si>
    <t>GL-1501</t>
  </si>
  <si>
    <t>COGS for Invoice AP-INV-5376</t>
  </si>
  <si>
    <t>GL-1502</t>
  </si>
  <si>
    <t>AP for Invoice AP-INV-5376</t>
  </si>
  <si>
    <t>GL-1503</t>
  </si>
  <si>
    <t>AR for Invoice AR-INV-7376</t>
  </si>
  <si>
    <t>GL-1504</t>
  </si>
  <si>
    <t>Sales for Invoice AR-INV-7376</t>
  </si>
  <si>
    <t>GL-1505</t>
  </si>
  <si>
    <t>COGS for Invoice AP-INV-5377</t>
  </si>
  <si>
    <t>GL-1506</t>
  </si>
  <si>
    <t>AP for Invoice AP-INV-5377</t>
  </si>
  <si>
    <t>GL-1507</t>
  </si>
  <si>
    <t>AR for Invoice AR-INV-7377</t>
  </si>
  <si>
    <t>GL-1508</t>
  </si>
  <si>
    <t>Sales for Invoice AR-INV-7377</t>
  </si>
  <si>
    <t>GL-1509</t>
  </si>
  <si>
    <t>COGS for Invoice AP-INV-5378</t>
  </si>
  <si>
    <t>GL-1510</t>
  </si>
  <si>
    <t>AP for Invoice AP-INV-5378</t>
  </si>
  <si>
    <t>GL-1511</t>
  </si>
  <si>
    <t>AR for Invoice AR-INV-7378</t>
  </si>
  <si>
    <t>GL-1512</t>
  </si>
  <si>
    <t>Sales for Invoice AR-INV-7378</t>
  </si>
  <si>
    <t>GL-1513</t>
  </si>
  <si>
    <t>COGS for Invoice AP-INV-5379</t>
  </si>
  <si>
    <t>GL-1514</t>
  </si>
  <si>
    <t>AP for Invoice AP-INV-5379</t>
  </si>
  <si>
    <t>GL-1515</t>
  </si>
  <si>
    <t>AR for Invoice AR-INV-7379</t>
  </si>
  <si>
    <t>GL-1516</t>
  </si>
  <si>
    <t>Sales for Invoice AR-INV-7379</t>
  </si>
  <si>
    <t>GL-1517</t>
  </si>
  <si>
    <t>COGS for Invoice AP-INV-5380</t>
  </si>
  <si>
    <t>GL-1518</t>
  </si>
  <si>
    <t>AP for Invoice AP-INV-5380</t>
  </si>
  <si>
    <t>GL-1519</t>
  </si>
  <si>
    <t>AR for Invoice AR-INV-7380</t>
  </si>
  <si>
    <t>GL-1520</t>
  </si>
  <si>
    <t>Sales for Invoice AR-INV-7380</t>
  </si>
  <si>
    <t>GL-1521</t>
  </si>
  <si>
    <t>COGS for Invoice AP-INV-5381</t>
  </si>
  <si>
    <t>GL-1522</t>
  </si>
  <si>
    <t>AP for Invoice AP-INV-5381</t>
  </si>
  <si>
    <t>GL-1523</t>
  </si>
  <si>
    <t>AR for Invoice AR-INV-7381</t>
  </si>
  <si>
    <t>GL-1524</t>
  </si>
  <si>
    <t>Sales for Invoice AR-INV-7381</t>
  </si>
  <si>
    <t>GL-1525</t>
  </si>
  <si>
    <t>COGS for Invoice AP-INV-5382</t>
  </si>
  <si>
    <t>GL-1526</t>
  </si>
  <si>
    <t>AP for Invoice AP-INV-5382</t>
  </si>
  <si>
    <t>GL-1527</t>
  </si>
  <si>
    <t>AR for Invoice AR-INV-7382</t>
  </si>
  <si>
    <t>GL-1528</t>
  </si>
  <si>
    <t>Sales for Invoice AR-INV-7382</t>
  </si>
  <si>
    <t>GL-1529</t>
  </si>
  <si>
    <t>COGS for Invoice AP-INV-5383</t>
  </si>
  <si>
    <t>GL-1530</t>
  </si>
  <si>
    <t>AP for Invoice AP-INV-5383</t>
  </si>
  <si>
    <t>GL-1531</t>
  </si>
  <si>
    <t>AR for Invoice AR-INV-7383</t>
  </si>
  <si>
    <t>GL-1532</t>
  </si>
  <si>
    <t>Sales for Invoice AR-INV-7383</t>
  </si>
  <si>
    <t>GL-1533</t>
  </si>
  <si>
    <t>COGS for Invoice AP-INV-5384</t>
  </si>
  <si>
    <t>GL-1534</t>
  </si>
  <si>
    <t>AP for Invoice AP-INV-5384</t>
  </si>
  <si>
    <t>GL-1535</t>
  </si>
  <si>
    <t>AR for Invoice AR-INV-7384</t>
  </si>
  <si>
    <t>GL-1536</t>
  </si>
  <si>
    <t>Sales for Invoice AR-INV-7384</t>
  </si>
  <si>
    <t>GL-1537</t>
  </si>
  <si>
    <t>COGS for Invoice AP-INV-5385</t>
  </si>
  <si>
    <t>GL-1538</t>
  </si>
  <si>
    <t>AP for Invoice AP-INV-5385</t>
  </si>
  <si>
    <t>GL-1539</t>
  </si>
  <si>
    <t>AR for Invoice AR-INV-7385</t>
  </si>
  <si>
    <t>GL-1540</t>
  </si>
  <si>
    <t>Sales for Invoice AR-INV-7385</t>
  </si>
  <si>
    <t>GL-1541</t>
  </si>
  <si>
    <t>COGS for Invoice AP-INV-5386</t>
  </si>
  <si>
    <t>GL-1542</t>
  </si>
  <si>
    <t>AP for Invoice AP-INV-5386</t>
  </si>
  <si>
    <t>GL-1543</t>
  </si>
  <si>
    <t>AR for Invoice AR-INV-7386</t>
  </si>
  <si>
    <t>GL-1544</t>
  </si>
  <si>
    <t>Sales for Invoice AR-INV-7386</t>
  </si>
  <si>
    <t>GL-1545</t>
  </si>
  <si>
    <t>COGS for Invoice AP-INV-5387</t>
  </si>
  <si>
    <t>GL-1546</t>
  </si>
  <si>
    <t>AP for Invoice AP-INV-5387</t>
  </si>
  <si>
    <t>GL-1547</t>
  </si>
  <si>
    <t>AR for Invoice AR-INV-7387</t>
  </si>
  <si>
    <t>GL-1548</t>
  </si>
  <si>
    <t>Sales for Invoice AR-INV-7387</t>
  </si>
  <si>
    <t>GL-1549</t>
  </si>
  <si>
    <t>COGS for Invoice AP-INV-5388</t>
  </si>
  <si>
    <t>GL-1550</t>
  </si>
  <si>
    <t>AP for Invoice AP-INV-5388</t>
  </si>
  <si>
    <t>GL-1551</t>
  </si>
  <si>
    <t>AR for Invoice AR-INV-7388</t>
  </si>
  <si>
    <t>GL-1552</t>
  </si>
  <si>
    <t>Sales for Invoice AR-INV-7388</t>
  </si>
  <si>
    <t>GL-1553</t>
  </si>
  <si>
    <t>COGS for Invoice AP-INV-5389</t>
  </si>
  <si>
    <t>GL-1554</t>
  </si>
  <si>
    <t>AP for Invoice AP-INV-5389</t>
  </si>
  <si>
    <t>GL-1555</t>
  </si>
  <si>
    <t>AR for Invoice AR-INV-7389</t>
  </si>
  <si>
    <t>GL-1556</t>
  </si>
  <si>
    <t>Sales for Invoice AR-INV-7389</t>
  </si>
  <si>
    <t>GL-1557</t>
  </si>
  <si>
    <t>COGS for Invoice AP-INV-5390</t>
  </si>
  <si>
    <t>GL-1558</t>
  </si>
  <si>
    <t>AP for Invoice AP-INV-5390</t>
  </si>
  <si>
    <t>GL-1559</t>
  </si>
  <si>
    <t>AR for Invoice AR-INV-7390</t>
  </si>
  <si>
    <t>GL-1560</t>
  </si>
  <si>
    <t>Sales for Invoice AR-INV-7390</t>
  </si>
  <si>
    <t>GL-1561</t>
  </si>
  <si>
    <t>COGS for Invoice AP-INV-5391</t>
  </si>
  <si>
    <t>GL-1562</t>
  </si>
  <si>
    <t>AP for Invoice AP-INV-5391</t>
  </si>
  <si>
    <t>GL-1563</t>
  </si>
  <si>
    <t>AR for Invoice AR-INV-7391</t>
  </si>
  <si>
    <t>GL-1564</t>
  </si>
  <si>
    <t>Sales for Invoice AR-INV-7391</t>
  </si>
  <si>
    <t>GL-1565</t>
  </si>
  <si>
    <t>COGS for Invoice AP-INV-5392</t>
  </si>
  <si>
    <t>GL-1566</t>
  </si>
  <si>
    <t>AP for Invoice AP-INV-5392</t>
  </si>
  <si>
    <t>GL-1567</t>
  </si>
  <si>
    <t>AR for Invoice AR-INV-7392</t>
  </si>
  <si>
    <t>GL-1568</t>
  </si>
  <si>
    <t>Sales for Invoice AR-INV-7392</t>
  </si>
  <si>
    <t>GL-1569</t>
  </si>
  <si>
    <t>COGS for Invoice AP-INV-5393</t>
  </si>
  <si>
    <t>GL-1570</t>
  </si>
  <si>
    <t>AP for Invoice AP-INV-5393</t>
  </si>
  <si>
    <t>GL-1571</t>
  </si>
  <si>
    <t>AR for Invoice AR-INV-7393</t>
  </si>
  <si>
    <t>GL-1572</t>
  </si>
  <si>
    <t>Sales for Invoice AR-INV-7393</t>
  </si>
  <si>
    <t>GL-1573</t>
  </si>
  <si>
    <t>COGS for Invoice AP-INV-5394</t>
  </si>
  <si>
    <t>GL-1574</t>
  </si>
  <si>
    <t>AP for Invoice AP-INV-5394</t>
  </si>
  <si>
    <t>GL-1575</t>
  </si>
  <si>
    <t>AR for Invoice AR-INV-7394</t>
  </si>
  <si>
    <t>GL-1576</t>
  </si>
  <si>
    <t>Sales for Invoice AR-INV-7394</t>
  </si>
  <si>
    <t>GL-1577</t>
  </si>
  <si>
    <t>COGS for Invoice AP-INV-5395</t>
  </si>
  <si>
    <t>GL-1578</t>
  </si>
  <si>
    <t>AP for Invoice AP-INV-5395</t>
  </si>
  <si>
    <t>GL-1579</t>
  </si>
  <si>
    <t>AR for Invoice AR-INV-7395</t>
  </si>
  <si>
    <t>GL-1580</t>
  </si>
  <si>
    <t>Sales for Invoice AR-INV-7395</t>
  </si>
  <si>
    <t>GL-1581</t>
  </si>
  <si>
    <t>COGS for Invoice AP-INV-5396</t>
  </si>
  <si>
    <t>GL-1582</t>
  </si>
  <si>
    <t>AP for Invoice AP-INV-5396</t>
  </si>
  <si>
    <t>GL-1583</t>
  </si>
  <si>
    <t>AR for Invoice AR-INV-7396</t>
  </si>
  <si>
    <t>GL-1584</t>
  </si>
  <si>
    <t>Sales for Invoice AR-INV-7396</t>
  </si>
  <si>
    <t>GL-1585</t>
  </si>
  <si>
    <t>COGS for Invoice AP-INV-5397</t>
  </si>
  <si>
    <t>GL-1586</t>
  </si>
  <si>
    <t>AP for Invoice AP-INV-5397</t>
  </si>
  <si>
    <t>GL-1587</t>
  </si>
  <si>
    <t>AR for Invoice AR-INV-7397</t>
  </si>
  <si>
    <t>GL-1588</t>
  </si>
  <si>
    <t>Sales for Invoice AR-INV-7397</t>
  </si>
  <si>
    <t>GL-1589</t>
  </si>
  <si>
    <t>COGS for Invoice AP-INV-5398</t>
  </si>
  <si>
    <t>GL-1590</t>
  </si>
  <si>
    <t>AP for Invoice AP-INV-5398</t>
  </si>
  <si>
    <t>GL-1591</t>
  </si>
  <si>
    <t>AR for Invoice AR-INV-7398</t>
  </si>
  <si>
    <t>GL-1592</t>
  </si>
  <si>
    <t>Sales for Invoice AR-INV-7398</t>
  </si>
  <si>
    <t>GL-1593</t>
  </si>
  <si>
    <t>COGS for Invoice AP-INV-5399</t>
  </si>
  <si>
    <t>GL-1594</t>
  </si>
  <si>
    <t>AP for Invoice AP-INV-5399</t>
  </si>
  <si>
    <t>GL-1595</t>
  </si>
  <si>
    <t>AR for Invoice AR-INV-7399</t>
  </si>
  <si>
    <t>GL-1596</t>
  </si>
  <si>
    <t>Sales for Invoice AR-INV-7399</t>
  </si>
  <si>
    <t>GL-1597</t>
  </si>
  <si>
    <t>COGS for Invoice AP-INV-5400</t>
  </si>
  <si>
    <t>GL-1598</t>
  </si>
  <si>
    <t>AP for Invoice AP-INV-5400</t>
  </si>
  <si>
    <t>GL-1599</t>
  </si>
  <si>
    <t>AR for Invoice AR-INV-7400</t>
  </si>
  <si>
    <t>GL-1600</t>
  </si>
  <si>
    <t>Sales for Invoice AR-INV-7400</t>
  </si>
  <si>
    <t>GL-1601</t>
  </si>
  <si>
    <t>COGS for Invoice AP-INV-5401</t>
  </si>
  <si>
    <t>GL-1602</t>
  </si>
  <si>
    <t>AP for Invoice AP-INV-5401</t>
  </si>
  <si>
    <t>GL-1603</t>
  </si>
  <si>
    <t>AR for Invoice AR-INV-7401</t>
  </si>
  <si>
    <t>GL-1604</t>
  </si>
  <si>
    <t>Sales for Invoice AR-INV-7401</t>
  </si>
  <si>
    <t>GL-1605</t>
  </si>
  <si>
    <t>COGS for Invoice AP-INV-5402</t>
  </si>
  <si>
    <t>GL-1606</t>
  </si>
  <si>
    <t>AP for Invoice AP-INV-5402</t>
  </si>
  <si>
    <t>GL-1607</t>
  </si>
  <si>
    <t>AR for Invoice AR-INV-7402</t>
  </si>
  <si>
    <t>GL-1608</t>
  </si>
  <si>
    <t>Sales for Invoice AR-INV-7402</t>
  </si>
  <si>
    <t>GL-1609</t>
  </si>
  <si>
    <t>COGS for Invoice AP-INV-5403</t>
  </si>
  <si>
    <t>GL-1610</t>
  </si>
  <si>
    <t>AP for Invoice AP-INV-5403</t>
  </si>
  <si>
    <t>GL-1611</t>
  </si>
  <si>
    <t>AR for Invoice AR-INV-7403</t>
  </si>
  <si>
    <t>GL-1612</t>
  </si>
  <si>
    <t>Sales for Invoice AR-INV-7403</t>
  </si>
  <si>
    <t>GL-1613</t>
  </si>
  <si>
    <t>COGS for Invoice AP-INV-5404</t>
  </si>
  <si>
    <t>GL-1614</t>
  </si>
  <si>
    <t>AP for Invoice AP-INV-5404</t>
  </si>
  <si>
    <t>GL-1615</t>
  </si>
  <si>
    <t>AR for Invoice AR-INV-7404</t>
  </si>
  <si>
    <t>GL-1616</t>
  </si>
  <si>
    <t>Sales for Invoice AR-INV-7404</t>
  </si>
  <si>
    <t>GL-1617</t>
  </si>
  <si>
    <t>COGS for Invoice AP-INV-5405</t>
  </si>
  <si>
    <t>GL-1618</t>
  </si>
  <si>
    <t>AP for Invoice AP-INV-5405</t>
  </si>
  <si>
    <t>GL-1619</t>
  </si>
  <si>
    <t>AR for Invoice AR-INV-7405</t>
  </si>
  <si>
    <t>GL-1620</t>
  </si>
  <si>
    <t>Sales for Invoice AR-INV-7405</t>
  </si>
  <si>
    <t>GL-1621</t>
  </si>
  <si>
    <t>COGS for Invoice AP-INV-5406</t>
  </si>
  <si>
    <t>GL-1622</t>
  </si>
  <si>
    <t>AP for Invoice AP-INV-5406</t>
  </si>
  <si>
    <t>GL-1623</t>
  </si>
  <si>
    <t>AR for Invoice AR-INV-7406</t>
  </si>
  <si>
    <t>GL-1624</t>
  </si>
  <si>
    <t>Sales for Invoice AR-INV-7406</t>
  </si>
  <si>
    <t>GL-1625</t>
  </si>
  <si>
    <t>COGS for Invoice AP-INV-5407</t>
  </si>
  <si>
    <t>GL-1626</t>
  </si>
  <si>
    <t>AP for Invoice AP-INV-5407</t>
  </si>
  <si>
    <t>GL-1627</t>
  </si>
  <si>
    <t>AR for Invoice AR-INV-7407</t>
  </si>
  <si>
    <t>GL-1628</t>
  </si>
  <si>
    <t>Sales for Invoice AR-INV-7407</t>
  </si>
  <si>
    <t>GL-1629</t>
  </si>
  <si>
    <t>COGS for Invoice AP-INV-5408</t>
  </si>
  <si>
    <t>GL-1630</t>
  </si>
  <si>
    <t>AP for Invoice AP-INV-5408</t>
  </si>
  <si>
    <t>GL-1631</t>
  </si>
  <si>
    <t>AR for Invoice AR-INV-7408</t>
  </si>
  <si>
    <t>GL-1632</t>
  </si>
  <si>
    <t>Sales for Invoice AR-INV-7408</t>
  </si>
  <si>
    <t>GL-1633</t>
  </si>
  <si>
    <t>COGS for Invoice AP-INV-5409</t>
  </si>
  <si>
    <t>GL-1634</t>
  </si>
  <si>
    <t>AP for Invoice AP-INV-5409</t>
  </si>
  <si>
    <t>GL-1635</t>
  </si>
  <si>
    <t>AR for Invoice AR-INV-7409</t>
  </si>
  <si>
    <t>GL-1636</t>
  </si>
  <si>
    <t>Sales for Invoice AR-INV-7409</t>
  </si>
  <si>
    <t>GL-1637</t>
  </si>
  <si>
    <t>COGS for Invoice AP-INV-5410</t>
  </si>
  <si>
    <t>GL-1638</t>
  </si>
  <si>
    <t>AP for Invoice AP-INV-5410</t>
  </si>
  <si>
    <t>GL-1639</t>
  </si>
  <si>
    <t>AR for Invoice AR-INV-7410</t>
  </si>
  <si>
    <t>GL-1640</t>
  </si>
  <si>
    <t>Sales for Invoice AR-INV-7410</t>
  </si>
  <si>
    <t>GL-1641</t>
  </si>
  <si>
    <t>COGS for Invoice AP-INV-5411</t>
  </si>
  <si>
    <t>GL-1642</t>
  </si>
  <si>
    <t>AP for Invoice AP-INV-5411</t>
  </si>
  <si>
    <t>GL-1643</t>
  </si>
  <si>
    <t>AR for Invoice AR-INV-7411</t>
  </si>
  <si>
    <t>GL-1644</t>
  </si>
  <si>
    <t>Sales for Invoice AR-INV-7411</t>
  </si>
  <si>
    <t>GL-1645</t>
  </si>
  <si>
    <t>COGS for Invoice AP-INV-5412</t>
  </si>
  <si>
    <t>GL-1646</t>
  </si>
  <si>
    <t>AP for Invoice AP-INV-5412</t>
  </si>
  <si>
    <t>GL-1647</t>
  </si>
  <si>
    <t>AR for Invoice AR-INV-7412</t>
  </si>
  <si>
    <t>GL-1648</t>
  </si>
  <si>
    <t>Sales for Invoice AR-INV-7412</t>
  </si>
  <si>
    <t>GL-1649</t>
  </si>
  <si>
    <t>COGS for Invoice AP-INV-5413</t>
  </si>
  <si>
    <t>GL-1650</t>
  </si>
  <si>
    <t>AP for Invoice AP-INV-5413</t>
  </si>
  <si>
    <t>GL-1651</t>
  </si>
  <si>
    <t>AR for Invoice AR-INV-7413</t>
  </si>
  <si>
    <t>GL-1652</t>
  </si>
  <si>
    <t>Sales for Invoice AR-INV-7413</t>
  </si>
  <si>
    <t>GL-1653</t>
  </si>
  <si>
    <t>COGS for Invoice AP-INV-5414</t>
  </si>
  <si>
    <t>GL-1654</t>
  </si>
  <si>
    <t>AP for Invoice AP-INV-5414</t>
  </si>
  <si>
    <t>GL-1655</t>
  </si>
  <si>
    <t>AR for Invoice AR-INV-7414</t>
  </si>
  <si>
    <t>GL-1656</t>
  </si>
  <si>
    <t>Sales for Invoice AR-INV-7414</t>
  </si>
  <si>
    <t>GL-1657</t>
  </si>
  <si>
    <t>COGS for Invoice AP-INV-5415</t>
  </si>
  <si>
    <t>GL-1658</t>
  </si>
  <si>
    <t>AP for Invoice AP-INV-5415</t>
  </si>
  <si>
    <t>GL-1659</t>
  </si>
  <si>
    <t>AR for Invoice AR-INV-7415</t>
  </si>
  <si>
    <t>GL-1660</t>
  </si>
  <si>
    <t>Sales for Invoice AR-INV-7415</t>
  </si>
  <si>
    <t>GL-1661</t>
  </si>
  <si>
    <t>COGS for Invoice AP-INV-5416</t>
  </si>
  <si>
    <t>GL-1662</t>
  </si>
  <si>
    <t>AP for Invoice AP-INV-5416</t>
  </si>
  <si>
    <t>GL-1663</t>
  </si>
  <si>
    <t>AR for Invoice AR-INV-7416</t>
  </si>
  <si>
    <t>GL-1664</t>
  </si>
  <si>
    <t>Sales for Invoice AR-INV-7416</t>
  </si>
  <si>
    <t>GL-1665</t>
  </si>
  <si>
    <t>COGS for Invoice AP-INV-5417</t>
  </si>
  <si>
    <t>GL-1666</t>
  </si>
  <si>
    <t>AP for Invoice AP-INV-5417</t>
  </si>
  <si>
    <t>GL-1667</t>
  </si>
  <si>
    <t>AR for Invoice AR-INV-7417</t>
  </si>
  <si>
    <t>GL-1668</t>
  </si>
  <si>
    <t>Sales for Invoice AR-INV-7417</t>
  </si>
  <si>
    <t>GL-1669</t>
  </si>
  <si>
    <t>COGS for Invoice AP-INV-5418</t>
  </si>
  <si>
    <t>GL-1670</t>
  </si>
  <si>
    <t>AP for Invoice AP-INV-5418</t>
  </si>
  <si>
    <t>GL-1671</t>
  </si>
  <si>
    <t>AR for Invoice AR-INV-7418</t>
  </si>
  <si>
    <t>GL-1672</t>
  </si>
  <si>
    <t>Sales for Invoice AR-INV-7418</t>
  </si>
  <si>
    <t>GL-1673</t>
  </si>
  <si>
    <t>COGS for Invoice AP-INV-5419</t>
  </si>
  <si>
    <t>GL-1674</t>
  </si>
  <si>
    <t>AP for Invoice AP-INV-5419</t>
  </si>
  <si>
    <t>GL-1675</t>
  </si>
  <si>
    <t>AR for Invoice AR-INV-7419</t>
  </si>
  <si>
    <t>GL-1676</t>
  </si>
  <si>
    <t>Sales for Invoice AR-INV-7419</t>
  </si>
  <si>
    <t>GL-1677</t>
  </si>
  <si>
    <t>COGS for Invoice AP-INV-5420</t>
  </si>
  <si>
    <t>GL-1678</t>
  </si>
  <si>
    <t>AP for Invoice AP-INV-5420</t>
  </si>
  <si>
    <t>GL-1679</t>
  </si>
  <si>
    <t>AR for Invoice AR-INV-7420</t>
  </si>
  <si>
    <t>GL-1680</t>
  </si>
  <si>
    <t>Sales for Invoice AR-INV-7420</t>
  </si>
  <si>
    <t>GL-1681</t>
  </si>
  <si>
    <t>COGS for Invoice AP-INV-5421</t>
  </si>
  <si>
    <t>GL-1682</t>
  </si>
  <si>
    <t>AP for Invoice AP-INV-5421</t>
  </si>
  <si>
    <t>GL-1683</t>
  </si>
  <si>
    <t>AR for Invoice AR-INV-7421</t>
  </si>
  <si>
    <t>GL-1684</t>
  </si>
  <si>
    <t>Sales for Invoice AR-INV-7421</t>
  </si>
  <si>
    <t>GL-1685</t>
  </si>
  <si>
    <t>COGS for Invoice AP-INV-5422</t>
  </si>
  <si>
    <t>GL-1686</t>
  </si>
  <si>
    <t>AP for Invoice AP-INV-5422</t>
  </si>
  <si>
    <t>GL-1687</t>
  </si>
  <si>
    <t>AR for Invoice AR-INV-7422</t>
  </si>
  <si>
    <t>GL-1688</t>
  </si>
  <si>
    <t>Sales for Invoice AR-INV-7422</t>
  </si>
  <si>
    <t>GL-1689</t>
  </si>
  <si>
    <t>COGS for Invoice AP-INV-5423</t>
  </si>
  <si>
    <t>GL-1690</t>
  </si>
  <si>
    <t>AP for Invoice AP-INV-5423</t>
  </si>
  <si>
    <t>GL-1691</t>
  </si>
  <si>
    <t>AR for Invoice AR-INV-7423</t>
  </si>
  <si>
    <t>GL-1692</t>
  </si>
  <si>
    <t>Sales for Invoice AR-INV-7423</t>
  </si>
  <si>
    <t>GL-1693</t>
  </si>
  <si>
    <t>COGS for Invoice AP-INV-5424</t>
  </si>
  <si>
    <t>GL-1694</t>
  </si>
  <si>
    <t>AP for Invoice AP-INV-5424</t>
  </si>
  <si>
    <t>GL-1695</t>
  </si>
  <si>
    <t>AR for Invoice AR-INV-7424</t>
  </si>
  <si>
    <t>GL-1696</t>
  </si>
  <si>
    <t>Sales for Invoice AR-INV-7424</t>
  </si>
  <si>
    <t>GL-1697</t>
  </si>
  <si>
    <t>COGS for Invoice AP-INV-5425</t>
  </si>
  <si>
    <t>GL-1698</t>
  </si>
  <si>
    <t>AP for Invoice AP-INV-5425</t>
  </si>
  <si>
    <t>GL-1699</t>
  </si>
  <si>
    <t>AR for Invoice AR-INV-7425</t>
  </si>
  <si>
    <t>GL-1700</t>
  </si>
  <si>
    <t>Sales for Invoice AR-INV-7425</t>
  </si>
  <si>
    <t>GL-1701</t>
  </si>
  <si>
    <t>COGS for Invoice AP-INV-5426</t>
  </si>
  <si>
    <t>GL-1702</t>
  </si>
  <si>
    <t>AP for Invoice AP-INV-5426</t>
  </si>
  <si>
    <t>GL-1703</t>
  </si>
  <si>
    <t>AR for Invoice AR-INV-7426</t>
  </si>
  <si>
    <t>GL-1704</t>
  </si>
  <si>
    <t>Sales for Invoice AR-INV-7426</t>
  </si>
  <si>
    <t>GL-1705</t>
  </si>
  <si>
    <t>COGS for Invoice AP-INV-5427</t>
  </si>
  <si>
    <t>GL-1706</t>
  </si>
  <si>
    <t>AP for Invoice AP-INV-5427</t>
  </si>
  <si>
    <t>GL-1707</t>
  </si>
  <si>
    <t>AR for Invoice AR-INV-7427</t>
  </si>
  <si>
    <t>GL-1708</t>
  </si>
  <si>
    <t>Sales for Invoice AR-INV-7427</t>
  </si>
  <si>
    <t>GL-1709</t>
  </si>
  <si>
    <t>COGS for Invoice AP-INV-5428</t>
  </si>
  <si>
    <t>GL-1710</t>
  </si>
  <si>
    <t>AP for Invoice AP-INV-5428</t>
  </si>
  <si>
    <t>GL-1711</t>
  </si>
  <si>
    <t>AR for Invoice AR-INV-7428</t>
  </si>
  <si>
    <t>GL-1712</t>
  </si>
  <si>
    <t>Sales for Invoice AR-INV-7428</t>
  </si>
  <si>
    <t>GL-1713</t>
  </si>
  <si>
    <t>COGS for Invoice AP-INV-5429</t>
  </si>
  <si>
    <t>GL-1714</t>
  </si>
  <si>
    <t>AP for Invoice AP-INV-5429</t>
  </si>
  <si>
    <t>GL-1715</t>
  </si>
  <si>
    <t>AR for Invoice AR-INV-7429</t>
  </si>
  <si>
    <t>GL-1716</t>
  </si>
  <si>
    <t>Sales for Invoice AR-INV-7429</t>
  </si>
  <si>
    <t>GL-1717</t>
  </si>
  <si>
    <t>COGS for Invoice AP-INV-5430</t>
  </si>
  <si>
    <t>GL-1718</t>
  </si>
  <si>
    <t>AP for Invoice AP-INV-5430</t>
  </si>
  <si>
    <t>GL-1719</t>
  </si>
  <si>
    <t>AR for Invoice AR-INV-7430</t>
  </si>
  <si>
    <t>GL-1720</t>
  </si>
  <si>
    <t>Sales for Invoice AR-INV-7430</t>
  </si>
  <si>
    <t>GL-1721</t>
  </si>
  <si>
    <t>COGS for Invoice AP-INV-5431</t>
  </si>
  <si>
    <t>GL-1722</t>
  </si>
  <si>
    <t>AP for Invoice AP-INV-5431</t>
  </si>
  <si>
    <t>GL-1723</t>
  </si>
  <si>
    <t>AR for Invoice AR-INV-7431</t>
  </si>
  <si>
    <t>GL-1724</t>
  </si>
  <si>
    <t>Sales for Invoice AR-INV-7431</t>
  </si>
  <si>
    <t>GL-1725</t>
  </si>
  <si>
    <t>COGS for Invoice AP-INV-5432</t>
  </si>
  <si>
    <t>GL-1726</t>
  </si>
  <si>
    <t>AP for Invoice AP-INV-5432</t>
  </si>
  <si>
    <t>GL-1727</t>
  </si>
  <si>
    <t>AR for Invoice AR-INV-7432</t>
  </si>
  <si>
    <t>GL-1728</t>
  </si>
  <si>
    <t>Sales for Invoice AR-INV-7432</t>
  </si>
  <si>
    <t>GL-1729</t>
  </si>
  <si>
    <t>COGS for Invoice AP-INV-5433</t>
  </si>
  <si>
    <t>GL-1730</t>
  </si>
  <si>
    <t>AP for Invoice AP-INV-5433</t>
  </si>
  <si>
    <t>GL-1731</t>
  </si>
  <si>
    <t>AR for Invoice AR-INV-7433</t>
  </si>
  <si>
    <t>GL-1732</t>
  </si>
  <si>
    <t>Sales for Invoice AR-INV-7433</t>
  </si>
  <si>
    <t>GL-1733</t>
  </si>
  <si>
    <t>COGS for Invoice AP-INV-5434</t>
  </si>
  <si>
    <t>GL-1734</t>
  </si>
  <si>
    <t>AP for Invoice AP-INV-5434</t>
  </si>
  <si>
    <t>GL-1735</t>
  </si>
  <si>
    <t>AR for Invoice AR-INV-7434</t>
  </si>
  <si>
    <t>GL-1736</t>
  </si>
  <si>
    <t>Sales for Invoice AR-INV-7434</t>
  </si>
  <si>
    <t>GL-1737</t>
  </si>
  <si>
    <t>COGS for Invoice AP-INV-5435</t>
  </si>
  <si>
    <t>GL-1738</t>
  </si>
  <si>
    <t>AP for Invoice AP-INV-5435</t>
  </si>
  <si>
    <t>GL-1739</t>
  </si>
  <si>
    <t>AR for Invoice AR-INV-7435</t>
  </si>
  <si>
    <t>GL-1740</t>
  </si>
  <si>
    <t>Sales for Invoice AR-INV-7435</t>
  </si>
  <si>
    <t>GL-1741</t>
  </si>
  <si>
    <t>COGS for Invoice AP-INV-5436</t>
  </si>
  <si>
    <t>GL-1742</t>
  </si>
  <si>
    <t>AP for Invoice AP-INV-5436</t>
  </si>
  <si>
    <t>GL-1743</t>
  </si>
  <si>
    <t>AR for Invoice AR-INV-7436</t>
  </si>
  <si>
    <t>GL-1744</t>
  </si>
  <si>
    <t>Sales for Invoice AR-INV-7436</t>
  </si>
  <si>
    <t>GL-1745</t>
  </si>
  <si>
    <t>COGS for Invoice AP-INV-5437</t>
  </si>
  <si>
    <t>GL-1746</t>
  </si>
  <si>
    <t>AP for Invoice AP-INV-5437</t>
  </si>
  <si>
    <t>GL-1747</t>
  </si>
  <si>
    <t>AR for Invoice AR-INV-7437</t>
  </si>
  <si>
    <t>GL-1748</t>
  </si>
  <si>
    <t>Sales for Invoice AR-INV-7437</t>
  </si>
  <si>
    <t>GL-1749</t>
  </si>
  <si>
    <t>COGS for Invoice AP-INV-5438</t>
  </si>
  <si>
    <t>GL-1750</t>
  </si>
  <si>
    <t>AP for Invoice AP-INV-5438</t>
  </si>
  <si>
    <t>GL-1751</t>
  </si>
  <si>
    <t>AR for Invoice AR-INV-7438</t>
  </si>
  <si>
    <t>GL-1752</t>
  </si>
  <si>
    <t>Sales for Invoice AR-INV-7438</t>
  </si>
  <si>
    <t>GL-1753</t>
  </si>
  <si>
    <t>COGS for Invoice AP-INV-5439</t>
  </si>
  <si>
    <t>GL-1754</t>
  </si>
  <si>
    <t>AP for Invoice AP-INV-5439</t>
  </si>
  <si>
    <t>GL-1755</t>
  </si>
  <si>
    <t>AR for Invoice AR-INV-7439</t>
  </si>
  <si>
    <t>GL-1756</t>
  </si>
  <si>
    <t>Sales for Invoice AR-INV-7439</t>
  </si>
  <si>
    <t>GL-1757</t>
  </si>
  <si>
    <t>COGS for Invoice AP-INV-5440</t>
  </si>
  <si>
    <t>GL-1758</t>
  </si>
  <si>
    <t>AP for Invoice AP-INV-5440</t>
  </si>
  <si>
    <t>GL-1759</t>
  </si>
  <si>
    <t>AR for Invoice AR-INV-7440</t>
  </si>
  <si>
    <t>GL-1760</t>
  </si>
  <si>
    <t>Sales for Invoice AR-INV-7440</t>
  </si>
  <si>
    <t>GL-1761</t>
  </si>
  <si>
    <t>COGS for Invoice AP-INV-5441</t>
  </si>
  <si>
    <t>GL-1762</t>
  </si>
  <si>
    <t>AP for Invoice AP-INV-5441</t>
  </si>
  <si>
    <t>GL-1763</t>
  </si>
  <si>
    <t>AR for Invoice AR-INV-7441</t>
  </si>
  <si>
    <t>GL-1764</t>
  </si>
  <si>
    <t>Sales for Invoice AR-INV-7441</t>
  </si>
  <si>
    <t>GL-1765</t>
  </si>
  <si>
    <t>COGS for Invoice AP-INV-5442</t>
  </si>
  <si>
    <t>GL-1766</t>
  </si>
  <si>
    <t>AP for Invoice AP-INV-5442</t>
  </si>
  <si>
    <t>GL-1767</t>
  </si>
  <si>
    <t>AR for Invoice AR-INV-7442</t>
  </si>
  <si>
    <t>GL-1768</t>
  </si>
  <si>
    <t>Sales for Invoice AR-INV-7442</t>
  </si>
  <si>
    <t>GL-1769</t>
  </si>
  <si>
    <t>COGS for Invoice AP-INV-5443</t>
  </si>
  <si>
    <t>GL-1770</t>
  </si>
  <si>
    <t>AP for Invoice AP-INV-5443</t>
  </si>
  <si>
    <t>GL-1771</t>
  </si>
  <si>
    <t>AR for Invoice AR-INV-7443</t>
  </si>
  <si>
    <t>GL-1772</t>
  </si>
  <si>
    <t>Sales for Invoice AR-INV-7443</t>
  </si>
  <si>
    <t>GL-1773</t>
  </si>
  <si>
    <t>COGS for Invoice AP-INV-5444</t>
  </si>
  <si>
    <t>GL-1774</t>
  </si>
  <si>
    <t>AP for Invoice AP-INV-5444</t>
  </si>
  <si>
    <t>GL-1775</t>
  </si>
  <si>
    <t>AR for Invoice AR-INV-7444</t>
  </si>
  <si>
    <t>GL-1776</t>
  </si>
  <si>
    <t>Sales for Invoice AR-INV-7444</t>
  </si>
  <si>
    <t>GL-1777</t>
  </si>
  <si>
    <t>COGS for Invoice AP-INV-5445</t>
  </si>
  <si>
    <t>GL-1778</t>
  </si>
  <si>
    <t>AP for Invoice AP-INV-5445</t>
  </si>
  <si>
    <t>GL-1779</t>
  </si>
  <si>
    <t>AR for Invoice AR-INV-7445</t>
  </si>
  <si>
    <t>GL-1780</t>
  </si>
  <si>
    <t>Sales for Invoice AR-INV-7445</t>
  </si>
  <si>
    <t>GL-1781</t>
  </si>
  <si>
    <t>COGS for Invoice AP-INV-5446</t>
  </si>
  <si>
    <t>GL-1782</t>
  </si>
  <si>
    <t>AP for Invoice AP-INV-5446</t>
  </si>
  <si>
    <t>GL-1783</t>
  </si>
  <si>
    <t>AR for Invoice AR-INV-7446</t>
  </si>
  <si>
    <t>GL-1784</t>
  </si>
  <si>
    <t>Sales for Invoice AR-INV-7446</t>
  </si>
  <si>
    <t>GL-1785</t>
  </si>
  <si>
    <t>COGS for Invoice AP-INV-5447</t>
  </si>
  <si>
    <t>GL-1786</t>
  </si>
  <si>
    <t>AP for Invoice AP-INV-5447</t>
  </si>
  <si>
    <t>GL-1787</t>
  </si>
  <si>
    <t>AR for Invoice AR-INV-7447</t>
  </si>
  <si>
    <t>GL-1788</t>
  </si>
  <si>
    <t>Sales for Invoice AR-INV-7447</t>
  </si>
  <si>
    <t>GL-1789</t>
  </si>
  <si>
    <t>COGS for Invoice AP-INV-5448</t>
  </si>
  <si>
    <t>GL-1790</t>
  </si>
  <si>
    <t>AP for Invoice AP-INV-5448</t>
  </si>
  <si>
    <t>GL-1791</t>
  </si>
  <si>
    <t>AR for Invoice AR-INV-7448</t>
  </si>
  <si>
    <t>GL-1792</t>
  </si>
  <si>
    <t>Sales for Invoice AR-INV-7448</t>
  </si>
  <si>
    <t>GL-1793</t>
  </si>
  <si>
    <t>COGS for Invoice AP-INV-5449</t>
  </si>
  <si>
    <t>GL-1794</t>
  </si>
  <si>
    <t>AP for Invoice AP-INV-5449</t>
  </si>
  <si>
    <t>GL-1795</t>
  </si>
  <si>
    <t>AR for Invoice AR-INV-7449</t>
  </si>
  <si>
    <t>GL-1796</t>
  </si>
  <si>
    <t>Sales for Invoice AR-INV-7449</t>
  </si>
  <si>
    <t>GL-1797</t>
  </si>
  <si>
    <t>COGS for Invoice AP-INV-5450</t>
  </si>
  <si>
    <t>GL-1798</t>
  </si>
  <si>
    <t>AP for Invoice AP-INV-5450</t>
  </si>
  <si>
    <t>GL-1799</t>
  </si>
  <si>
    <t>AR for Invoice AR-INV-7450</t>
  </si>
  <si>
    <t>GL-1800</t>
  </si>
  <si>
    <t>Sales for Invoice AR-INV-7450</t>
  </si>
  <si>
    <t>GL-1801</t>
  </si>
  <si>
    <t>COGS for Invoice AP-INV-5451</t>
  </si>
  <si>
    <t>GL-1802</t>
  </si>
  <si>
    <t>AP for Invoice AP-INV-5451</t>
  </si>
  <si>
    <t>GL-1803</t>
  </si>
  <si>
    <t>AR for Invoice AR-INV-7451</t>
  </si>
  <si>
    <t>GL-1804</t>
  </si>
  <si>
    <t>Sales for Invoice AR-INV-7451</t>
  </si>
  <si>
    <t>GL-1805</t>
  </si>
  <si>
    <t>COGS for Invoice AP-INV-5452</t>
  </si>
  <si>
    <t>GL-1806</t>
  </si>
  <si>
    <t>AP for Invoice AP-INV-5452</t>
  </si>
  <si>
    <t>GL-1807</t>
  </si>
  <si>
    <t>AR for Invoice AR-INV-7452</t>
  </si>
  <si>
    <t>GL-1808</t>
  </si>
  <si>
    <t>Sales for Invoice AR-INV-7452</t>
  </si>
  <si>
    <t>GL-1809</t>
  </si>
  <si>
    <t>COGS for Invoice AP-INV-5453</t>
  </si>
  <si>
    <t>GL-1810</t>
  </si>
  <si>
    <t>AP for Invoice AP-INV-5453</t>
  </si>
  <si>
    <t>GL-1811</t>
  </si>
  <si>
    <t>AR for Invoice AR-INV-7453</t>
  </si>
  <si>
    <t>GL-1812</t>
  </si>
  <si>
    <t>Sales for Invoice AR-INV-7453</t>
  </si>
  <si>
    <t>GL-1813</t>
  </si>
  <si>
    <t>COGS for Invoice AP-INV-5454</t>
  </si>
  <si>
    <t>GL-1814</t>
  </si>
  <si>
    <t>AP for Invoice AP-INV-5454</t>
  </si>
  <si>
    <t>GL-1815</t>
  </si>
  <si>
    <t>AR for Invoice AR-INV-7454</t>
  </si>
  <si>
    <t>GL-1816</t>
  </si>
  <si>
    <t>Sales for Invoice AR-INV-7454</t>
  </si>
  <si>
    <t>GL-1817</t>
  </si>
  <si>
    <t>COGS for Invoice AP-INV-5455</t>
  </si>
  <si>
    <t>GL-1818</t>
  </si>
  <si>
    <t>AP for Invoice AP-INV-5455</t>
  </si>
  <si>
    <t>GL-1819</t>
  </si>
  <si>
    <t>AR for Invoice AR-INV-7455</t>
  </si>
  <si>
    <t>GL-1820</t>
  </si>
  <si>
    <t>Sales for Invoice AR-INV-7455</t>
  </si>
  <si>
    <t>GL-1821</t>
  </si>
  <si>
    <t>COGS for Invoice AP-INV-5456</t>
  </si>
  <si>
    <t>GL-1822</t>
  </si>
  <si>
    <t>AP for Invoice AP-INV-5456</t>
  </si>
  <si>
    <t>GL-1823</t>
  </si>
  <si>
    <t>AR for Invoice AR-INV-7456</t>
  </si>
  <si>
    <t>GL-1824</t>
  </si>
  <si>
    <t>Sales for Invoice AR-INV-7456</t>
  </si>
  <si>
    <t>GL-1825</t>
  </si>
  <si>
    <t>COGS for Invoice AP-INV-5457</t>
  </si>
  <si>
    <t>GL-1826</t>
  </si>
  <si>
    <t>AP for Invoice AP-INV-5457</t>
  </si>
  <si>
    <t>GL-1827</t>
  </si>
  <si>
    <t>AR for Invoice AR-INV-7457</t>
  </si>
  <si>
    <t>GL-1828</t>
  </si>
  <si>
    <t>Sales for Invoice AR-INV-7457</t>
  </si>
  <si>
    <t>GL-1829</t>
  </si>
  <si>
    <t>COGS for Invoice AP-INV-5458</t>
  </si>
  <si>
    <t>GL-1830</t>
  </si>
  <si>
    <t>AP for Invoice AP-INV-5458</t>
  </si>
  <si>
    <t>GL-1831</t>
  </si>
  <si>
    <t>AR for Invoice AR-INV-7458</t>
  </si>
  <si>
    <t>GL-1832</t>
  </si>
  <si>
    <t>Sales for Invoice AR-INV-7458</t>
  </si>
  <si>
    <t>GL-1833</t>
  </si>
  <si>
    <t>COGS for Invoice AP-INV-5459</t>
  </si>
  <si>
    <t>GL-1834</t>
  </si>
  <si>
    <t>AP for Invoice AP-INV-5459</t>
  </si>
  <si>
    <t>GL-1835</t>
  </si>
  <si>
    <t>AR for Invoice AR-INV-7459</t>
  </si>
  <si>
    <t>GL-1836</t>
  </si>
  <si>
    <t>Sales for Invoice AR-INV-7459</t>
  </si>
  <si>
    <t>GL-1837</t>
  </si>
  <si>
    <t>COGS for Invoice AP-INV-5460</t>
  </si>
  <si>
    <t>GL-1838</t>
  </si>
  <si>
    <t>AP for Invoice AP-INV-5460</t>
  </si>
  <si>
    <t>GL-1839</t>
  </si>
  <si>
    <t>AR for Invoice AR-INV-7460</t>
  </si>
  <si>
    <t>GL-1840</t>
  </si>
  <si>
    <t>Sales for Invoice AR-INV-7460</t>
  </si>
  <si>
    <t>GL-1841</t>
  </si>
  <si>
    <t>COGS for Invoice AP-INV-5461</t>
  </si>
  <si>
    <t>GL-1842</t>
  </si>
  <si>
    <t>AP for Invoice AP-INV-5461</t>
  </si>
  <si>
    <t>GL-1843</t>
  </si>
  <si>
    <t>AR for Invoice AR-INV-7461</t>
  </si>
  <si>
    <t>GL-1844</t>
  </si>
  <si>
    <t>Sales for Invoice AR-INV-7461</t>
  </si>
  <si>
    <t>GL-1845</t>
  </si>
  <si>
    <t>COGS for Invoice AP-INV-5462</t>
  </si>
  <si>
    <t>GL-1846</t>
  </si>
  <si>
    <t>AP for Invoice AP-INV-5462</t>
  </si>
  <si>
    <t>GL-1847</t>
  </si>
  <si>
    <t>AR for Invoice AR-INV-7462</t>
  </si>
  <si>
    <t>GL-1848</t>
  </si>
  <si>
    <t>Sales for Invoice AR-INV-7462</t>
  </si>
  <si>
    <t>GL-1849</t>
  </si>
  <si>
    <t>COGS for Invoice AP-INV-5463</t>
  </si>
  <si>
    <t>GL-1850</t>
  </si>
  <si>
    <t>AP for Invoice AP-INV-5463</t>
  </si>
  <si>
    <t>GL-1851</t>
  </si>
  <si>
    <t>AR for Invoice AR-INV-7463</t>
  </si>
  <si>
    <t>GL-1852</t>
  </si>
  <si>
    <t>Sales for Invoice AR-INV-7463</t>
  </si>
  <si>
    <t>GL-1853</t>
  </si>
  <si>
    <t>COGS for Invoice AP-INV-5464</t>
  </si>
  <si>
    <t>GL-1854</t>
  </si>
  <si>
    <t>AP for Invoice AP-INV-5464</t>
  </si>
  <si>
    <t>GL-1855</t>
  </si>
  <si>
    <t>AR for Invoice AR-INV-7464</t>
  </si>
  <si>
    <t>GL-1856</t>
  </si>
  <si>
    <t>Sales for Invoice AR-INV-7464</t>
  </si>
  <si>
    <t>GL-1857</t>
  </si>
  <si>
    <t>COGS for Invoice AP-INV-5465</t>
  </si>
  <si>
    <t>GL-1858</t>
  </si>
  <si>
    <t>AP for Invoice AP-INV-5465</t>
  </si>
  <si>
    <t>GL-1859</t>
  </si>
  <si>
    <t>AR for Invoice AR-INV-7465</t>
  </si>
  <si>
    <t>GL-1860</t>
  </si>
  <si>
    <t>Sales for Invoice AR-INV-7465</t>
  </si>
  <si>
    <t>GL-1861</t>
  </si>
  <si>
    <t>COGS for Invoice AP-INV-5466</t>
  </si>
  <si>
    <t>GL-1862</t>
  </si>
  <si>
    <t>AP for Invoice AP-INV-5466</t>
  </si>
  <si>
    <t>GL-1863</t>
  </si>
  <si>
    <t>AR for Invoice AR-INV-7466</t>
  </si>
  <si>
    <t>GL-1864</t>
  </si>
  <si>
    <t>Sales for Invoice AR-INV-7466</t>
  </si>
  <si>
    <t>GL-1865</t>
  </si>
  <si>
    <t>COGS for Invoice AP-INV-5467</t>
  </si>
  <si>
    <t>GL-1866</t>
  </si>
  <si>
    <t>AP for Invoice AP-INV-5467</t>
  </si>
  <si>
    <t>GL-1867</t>
  </si>
  <si>
    <t>AR for Invoice AR-INV-7467</t>
  </si>
  <si>
    <t>GL-1868</t>
  </si>
  <si>
    <t>Sales for Invoice AR-INV-7467</t>
  </si>
  <si>
    <t>GL-1869</t>
  </si>
  <si>
    <t>COGS for Invoice AP-INV-5468</t>
  </si>
  <si>
    <t>GL-1870</t>
  </si>
  <si>
    <t>AP for Invoice AP-INV-5468</t>
  </si>
  <si>
    <t>GL-1871</t>
  </si>
  <si>
    <t>AR for Invoice AR-INV-7468</t>
  </si>
  <si>
    <t>GL-1872</t>
  </si>
  <si>
    <t>Sales for Invoice AR-INV-7468</t>
  </si>
  <si>
    <t>GL-1873</t>
  </si>
  <si>
    <t>COGS for Invoice AP-INV-5469</t>
  </si>
  <si>
    <t>GL-1874</t>
  </si>
  <si>
    <t>AP for Invoice AP-INV-5469</t>
  </si>
  <si>
    <t>GL-1875</t>
  </si>
  <si>
    <t>AR for Invoice AR-INV-7469</t>
  </si>
  <si>
    <t>GL-1876</t>
  </si>
  <si>
    <t>Sales for Invoice AR-INV-7469</t>
  </si>
  <si>
    <t>GL-1877</t>
  </si>
  <si>
    <t>COGS for Invoice AP-INV-5470</t>
  </si>
  <si>
    <t>GL-1878</t>
  </si>
  <si>
    <t>AP for Invoice AP-INV-5470</t>
  </si>
  <si>
    <t>GL-1879</t>
  </si>
  <si>
    <t>AR for Invoice AR-INV-7470</t>
  </si>
  <si>
    <t>GL-1880</t>
  </si>
  <si>
    <t>Sales for Invoice AR-INV-7470</t>
  </si>
  <si>
    <t>GL-1881</t>
  </si>
  <si>
    <t>COGS for Invoice AP-INV-5471</t>
  </si>
  <si>
    <t>GL-1882</t>
  </si>
  <si>
    <t>AP for Invoice AP-INV-5471</t>
  </si>
  <si>
    <t>GL-1883</t>
  </si>
  <si>
    <t>AR for Invoice AR-INV-7471</t>
  </si>
  <si>
    <t>GL-1884</t>
  </si>
  <si>
    <t>Sales for Invoice AR-INV-7471</t>
  </si>
  <si>
    <t>GL-1885</t>
  </si>
  <si>
    <t>COGS for Invoice AP-INV-5472</t>
  </si>
  <si>
    <t>GL-1886</t>
  </si>
  <si>
    <t>AP for Invoice AP-INV-5472</t>
  </si>
  <si>
    <t>GL-1887</t>
  </si>
  <si>
    <t>AR for Invoice AR-INV-7472</t>
  </si>
  <si>
    <t>GL-1888</t>
  </si>
  <si>
    <t>Sales for Invoice AR-INV-7472</t>
  </si>
  <si>
    <t>GL-1889</t>
  </si>
  <si>
    <t>COGS for Invoice AP-INV-5473</t>
  </si>
  <si>
    <t>GL-1890</t>
  </si>
  <si>
    <t>AP for Invoice AP-INV-5473</t>
  </si>
  <si>
    <t>GL-1891</t>
  </si>
  <si>
    <t>AR for Invoice AR-INV-7473</t>
  </si>
  <si>
    <t>GL-1892</t>
  </si>
  <si>
    <t>Sales for Invoice AR-INV-7473</t>
  </si>
  <si>
    <t>GL-1893</t>
  </si>
  <si>
    <t>COGS for Invoice AP-INV-5474</t>
  </si>
  <si>
    <t>GL-1894</t>
  </si>
  <si>
    <t>AP for Invoice AP-INV-5474</t>
  </si>
  <si>
    <t>GL-1895</t>
  </si>
  <si>
    <t>AR for Invoice AR-INV-7474</t>
  </si>
  <si>
    <t>GL-1896</t>
  </si>
  <si>
    <t>Sales for Invoice AR-INV-7474</t>
  </si>
  <si>
    <t>GL-1897</t>
  </si>
  <si>
    <t>COGS for Invoice AP-INV-5475</t>
  </si>
  <si>
    <t>GL-1898</t>
  </si>
  <si>
    <t>AP for Invoice AP-INV-5475</t>
  </si>
  <si>
    <t>GL-1899</t>
  </si>
  <si>
    <t>AR for Invoice AR-INV-7475</t>
  </si>
  <si>
    <t>GL-1900</t>
  </si>
  <si>
    <t>Sales for Invoice AR-INV-7475</t>
  </si>
  <si>
    <t>GL-1901</t>
  </si>
  <si>
    <t>COGS for Invoice AP-INV-5476</t>
  </si>
  <si>
    <t>GL-1902</t>
  </si>
  <si>
    <t>AP for Invoice AP-INV-5476</t>
  </si>
  <si>
    <t>GL-1903</t>
  </si>
  <si>
    <t>AR for Invoice AR-INV-7476</t>
  </si>
  <si>
    <t>GL-1904</t>
  </si>
  <si>
    <t>Sales for Invoice AR-INV-7476</t>
  </si>
  <si>
    <t>GL-1905</t>
  </si>
  <si>
    <t>COGS for Invoice AP-INV-5477</t>
  </si>
  <si>
    <t>GL-1906</t>
  </si>
  <si>
    <t>AP for Invoice AP-INV-5477</t>
  </si>
  <si>
    <t>GL-1907</t>
  </si>
  <si>
    <t>AR for Invoice AR-INV-7477</t>
  </si>
  <si>
    <t>GL-1908</t>
  </si>
  <si>
    <t>Sales for Invoice AR-INV-7477</t>
  </si>
  <si>
    <t>GL-1909</t>
  </si>
  <si>
    <t>COGS for Invoice AP-INV-5478</t>
  </si>
  <si>
    <t>GL-1910</t>
  </si>
  <si>
    <t>AP for Invoice AP-INV-5478</t>
  </si>
  <si>
    <t>GL-1911</t>
  </si>
  <si>
    <t>AR for Invoice AR-INV-7478</t>
  </si>
  <si>
    <t>GL-1912</t>
  </si>
  <si>
    <t>Sales for Invoice AR-INV-7478</t>
  </si>
  <si>
    <t>GL-1913</t>
  </si>
  <si>
    <t>COGS for Invoice AP-INV-5479</t>
  </si>
  <si>
    <t>GL-1914</t>
  </si>
  <si>
    <t>AP for Invoice AP-INV-5479</t>
  </si>
  <si>
    <t>GL-1915</t>
  </si>
  <si>
    <t>AR for Invoice AR-INV-7479</t>
  </si>
  <si>
    <t>GL-1916</t>
  </si>
  <si>
    <t>Sales for Invoice AR-INV-7479</t>
  </si>
  <si>
    <t>GL-1917</t>
  </si>
  <si>
    <t>COGS for Invoice AP-INV-5480</t>
  </si>
  <si>
    <t>GL-1918</t>
  </si>
  <si>
    <t>AP for Invoice AP-INV-5480</t>
  </si>
  <si>
    <t>GL-1919</t>
  </si>
  <si>
    <t>AR for Invoice AR-INV-7480</t>
  </si>
  <si>
    <t>GL-1920</t>
  </si>
  <si>
    <t>Sales for Invoice AR-INV-7480</t>
  </si>
  <si>
    <t>GL-1921</t>
  </si>
  <si>
    <t>COGS for Invoice AP-INV-5481</t>
  </si>
  <si>
    <t>GL-1922</t>
  </si>
  <si>
    <t>AP for Invoice AP-INV-5481</t>
  </si>
  <si>
    <t>GL-1923</t>
  </si>
  <si>
    <t>AR for Invoice AR-INV-7481</t>
  </si>
  <si>
    <t>GL-1924</t>
  </si>
  <si>
    <t>Sales for Invoice AR-INV-7481</t>
  </si>
  <si>
    <t>GL-1925</t>
  </si>
  <si>
    <t>COGS for Invoice AP-INV-5482</t>
  </si>
  <si>
    <t>GL-1926</t>
  </si>
  <si>
    <t>AP for Invoice AP-INV-5482</t>
  </si>
  <si>
    <t>GL-1927</t>
  </si>
  <si>
    <t>AR for Invoice AR-INV-7482</t>
  </si>
  <si>
    <t>GL-1928</t>
  </si>
  <si>
    <t>Sales for Invoice AR-INV-7482</t>
  </si>
  <si>
    <t>GL-1929</t>
  </si>
  <si>
    <t>COGS for Invoice AP-INV-5483</t>
  </si>
  <si>
    <t>GL-1930</t>
  </si>
  <si>
    <t>AP for Invoice AP-INV-5483</t>
  </si>
  <si>
    <t>GL-1931</t>
  </si>
  <si>
    <t>AR for Invoice AR-INV-7483</t>
  </si>
  <si>
    <t>GL-1932</t>
  </si>
  <si>
    <t>Sales for Invoice AR-INV-7483</t>
  </si>
  <si>
    <t>GL-1933</t>
  </si>
  <si>
    <t>COGS for Invoice AP-INV-5484</t>
  </si>
  <si>
    <t>GL-1934</t>
  </si>
  <si>
    <t>AP for Invoice AP-INV-5484</t>
  </si>
  <si>
    <t>GL-1935</t>
  </si>
  <si>
    <t>AR for Invoice AR-INV-7484</t>
  </si>
  <si>
    <t>GL-1936</t>
  </si>
  <si>
    <t>Sales for Invoice AR-INV-7484</t>
  </si>
  <si>
    <t>GL-1937</t>
  </si>
  <si>
    <t>COGS for Invoice AP-INV-5485</t>
  </si>
  <si>
    <t>GL-1938</t>
  </si>
  <si>
    <t>AP for Invoice AP-INV-5485</t>
  </si>
  <si>
    <t>GL-1939</t>
  </si>
  <si>
    <t>AR for Invoice AR-INV-7485</t>
  </si>
  <si>
    <t>GL-1940</t>
  </si>
  <si>
    <t>Sales for Invoice AR-INV-7485</t>
  </si>
  <si>
    <t>GL-1941</t>
  </si>
  <si>
    <t>COGS for Invoice AP-INV-5486</t>
  </si>
  <si>
    <t>GL-1942</t>
  </si>
  <si>
    <t>AP for Invoice AP-INV-5486</t>
  </si>
  <si>
    <t>GL-1943</t>
  </si>
  <si>
    <t>AR for Invoice AR-INV-7486</t>
  </si>
  <si>
    <t>GL-1944</t>
  </si>
  <si>
    <t>Sales for Invoice AR-INV-7486</t>
  </si>
  <si>
    <t>GL-1945</t>
  </si>
  <si>
    <t>COGS for Invoice AP-INV-5487</t>
  </si>
  <si>
    <t>GL-1946</t>
  </si>
  <si>
    <t>AP for Invoice AP-INV-5487</t>
  </si>
  <si>
    <t>GL-1947</t>
  </si>
  <si>
    <t>AR for Invoice AR-INV-7487</t>
  </si>
  <si>
    <t>GL-1948</t>
  </si>
  <si>
    <t>Sales for Invoice AR-INV-7487</t>
  </si>
  <si>
    <t>GL-1949</t>
  </si>
  <si>
    <t>COGS for Invoice AP-INV-5488</t>
  </si>
  <si>
    <t>GL-1950</t>
  </si>
  <si>
    <t>AP for Invoice AP-INV-5488</t>
  </si>
  <si>
    <t>GL-1951</t>
  </si>
  <si>
    <t>AR for Invoice AR-INV-7488</t>
  </si>
  <si>
    <t>GL-1952</t>
  </si>
  <si>
    <t>Sales for Invoice AR-INV-7488</t>
  </si>
  <si>
    <t>GL-1953</t>
  </si>
  <si>
    <t>COGS for Invoice AP-INV-5489</t>
  </si>
  <si>
    <t>GL-1954</t>
  </si>
  <si>
    <t>AP for Invoice AP-INV-5489</t>
  </si>
  <si>
    <t>GL-1955</t>
  </si>
  <si>
    <t>AR for Invoice AR-INV-7489</t>
  </si>
  <si>
    <t>GL-1956</t>
  </si>
  <si>
    <t>Sales for Invoice AR-INV-7489</t>
  </si>
  <si>
    <t>GL-1957</t>
  </si>
  <si>
    <t>COGS for Invoice AP-INV-5490</t>
  </si>
  <si>
    <t>GL-1958</t>
  </si>
  <si>
    <t>AP for Invoice AP-INV-5490</t>
  </si>
  <si>
    <t>GL-1959</t>
  </si>
  <si>
    <t>AR for Invoice AR-INV-7490</t>
  </si>
  <si>
    <t>GL-1960</t>
  </si>
  <si>
    <t>Sales for Invoice AR-INV-7490</t>
  </si>
  <si>
    <t>GL-1961</t>
  </si>
  <si>
    <t>COGS for Invoice AP-INV-5491</t>
  </si>
  <si>
    <t>GL-1962</t>
  </si>
  <si>
    <t>AP for Invoice AP-INV-5491</t>
  </si>
  <si>
    <t>GL-1963</t>
  </si>
  <si>
    <t>AR for Invoice AR-INV-7491</t>
  </si>
  <si>
    <t>GL-1964</t>
  </si>
  <si>
    <t>Sales for Invoice AR-INV-7491</t>
  </si>
  <si>
    <t>GL-1965</t>
  </si>
  <si>
    <t>COGS for Invoice AP-INV-5492</t>
  </si>
  <si>
    <t>GL-1966</t>
  </si>
  <si>
    <t>AP for Invoice AP-INV-5492</t>
  </si>
  <si>
    <t>GL-1967</t>
  </si>
  <si>
    <t>AR for Invoice AR-INV-7492</t>
  </si>
  <si>
    <t>GL-1968</t>
  </si>
  <si>
    <t>Sales for Invoice AR-INV-7492</t>
  </si>
  <si>
    <t>GL-1969</t>
  </si>
  <si>
    <t>COGS for Invoice AP-INV-5493</t>
  </si>
  <si>
    <t>GL-1970</t>
  </si>
  <si>
    <t>AP for Invoice AP-INV-5493</t>
  </si>
  <si>
    <t>GL-1971</t>
  </si>
  <si>
    <t>AR for Invoice AR-INV-7493</t>
  </si>
  <si>
    <t>GL-1972</t>
  </si>
  <si>
    <t>Sales for Invoice AR-INV-7493</t>
  </si>
  <si>
    <t>GL-1973</t>
  </si>
  <si>
    <t>COGS for Invoice AP-INV-5494</t>
  </si>
  <si>
    <t>GL-1974</t>
  </si>
  <si>
    <t>AP for Invoice AP-INV-5494</t>
  </si>
  <si>
    <t>GL-1975</t>
  </si>
  <si>
    <t>AR for Invoice AR-INV-7494</t>
  </si>
  <si>
    <t>GL-1976</t>
  </si>
  <si>
    <t>Sales for Invoice AR-INV-7494</t>
  </si>
  <si>
    <t>GL-1977</t>
  </si>
  <si>
    <t>COGS for Invoice AP-INV-5495</t>
  </si>
  <si>
    <t>GL-1978</t>
  </si>
  <si>
    <t>AP for Invoice AP-INV-5495</t>
  </si>
  <si>
    <t>GL-1979</t>
  </si>
  <si>
    <t>AR for Invoice AR-INV-7495</t>
  </si>
  <si>
    <t>GL-1980</t>
  </si>
  <si>
    <t>Sales for Invoice AR-INV-7495</t>
  </si>
  <si>
    <t>GL-1981</t>
  </si>
  <si>
    <t>COGS for Invoice AP-INV-5496</t>
  </si>
  <si>
    <t>GL-1982</t>
  </si>
  <si>
    <t>AP for Invoice AP-INV-5496</t>
  </si>
  <si>
    <t>GL-1983</t>
  </si>
  <si>
    <t>AR for Invoice AR-INV-7496</t>
  </si>
  <si>
    <t>GL-1984</t>
  </si>
  <si>
    <t>Sales for Invoice AR-INV-7496</t>
  </si>
  <si>
    <t>GL-1985</t>
  </si>
  <si>
    <t>COGS for Invoice AP-INV-5497</t>
  </si>
  <si>
    <t>GL-1986</t>
  </si>
  <si>
    <t>AP for Invoice AP-INV-5497</t>
  </si>
  <si>
    <t>GL-1987</t>
  </si>
  <si>
    <t>AR for Invoice AR-INV-7497</t>
  </si>
  <si>
    <t>GL-1988</t>
  </si>
  <si>
    <t>Sales for Invoice AR-INV-7497</t>
  </si>
  <si>
    <t>GL-1989</t>
  </si>
  <si>
    <t>COGS for Invoice AP-INV-5498</t>
  </si>
  <si>
    <t>GL-1990</t>
  </si>
  <si>
    <t>AP for Invoice AP-INV-5498</t>
  </si>
  <si>
    <t>GL-1991</t>
  </si>
  <si>
    <t>AR for Invoice AR-INV-7498</t>
  </si>
  <si>
    <t>GL-1992</t>
  </si>
  <si>
    <t>Sales for Invoice AR-INV-7498</t>
  </si>
  <si>
    <t>GL-1993</t>
  </si>
  <si>
    <t>COGS for Invoice AP-INV-5499</t>
  </si>
  <si>
    <t>GL-1994</t>
  </si>
  <si>
    <t>AP for Invoice AP-INV-5499</t>
  </si>
  <si>
    <t>GL-1995</t>
  </si>
  <si>
    <t>AR for Invoice AR-INV-7499</t>
  </si>
  <si>
    <t>GL-1996</t>
  </si>
  <si>
    <t>Sales for Invoice AR-INV-7499</t>
  </si>
  <si>
    <t>GL-1997</t>
  </si>
  <si>
    <t>COGS for Invoice AP-INV-5500</t>
  </si>
  <si>
    <t>GL-1998</t>
  </si>
  <si>
    <t>AP for Invoice AP-INV-5500</t>
  </si>
  <si>
    <t>GL-1999</t>
  </si>
  <si>
    <t>AR for Invoice AR-INV-7500</t>
  </si>
  <si>
    <t>GL-2000</t>
  </si>
  <si>
    <t>Sales for Invoice AR-INV-7500</t>
  </si>
  <si>
    <t>AccountNo</t>
  </si>
  <si>
    <t>AccountName</t>
  </si>
  <si>
    <t>Category</t>
  </si>
  <si>
    <t>Cash</t>
  </si>
  <si>
    <t>Assets</t>
  </si>
  <si>
    <t>Accounts Receivable</t>
  </si>
  <si>
    <t>Inventory</t>
  </si>
  <si>
    <t>Fixed Assets</t>
  </si>
  <si>
    <t>Accounts Payable</t>
  </si>
  <si>
    <t>Liabilities</t>
  </si>
  <si>
    <t>Loans Payable</t>
  </si>
  <si>
    <t>Common Stock</t>
  </si>
  <si>
    <t>Equity</t>
  </si>
  <si>
    <t>Retained Earnings</t>
  </si>
  <si>
    <t>Product Sales</t>
  </si>
  <si>
    <t>Revenue</t>
  </si>
  <si>
    <t>Service Revenue</t>
  </si>
  <si>
    <t>Cost of Goods Sold</t>
  </si>
  <si>
    <t>Expenses</t>
  </si>
  <si>
    <t>Salaries Expense</t>
  </si>
  <si>
    <t>Marketing Expense</t>
  </si>
  <si>
    <t>Rent Expense</t>
  </si>
  <si>
    <t>Depreciation Expense</t>
  </si>
  <si>
    <t>InvoiceID</t>
  </si>
  <si>
    <t>VendorID</t>
  </si>
  <si>
    <t>InvoiceDate</t>
  </si>
  <si>
    <t>DueDate</t>
  </si>
  <si>
    <t>InvoiceAmount</t>
  </si>
  <si>
    <t>Status</t>
  </si>
  <si>
    <t>AP-INV-5001</t>
  </si>
  <si>
    <t>VEN-06</t>
  </si>
  <si>
    <t>Paid</t>
  </si>
  <si>
    <t>AP-INV-5002</t>
  </si>
  <si>
    <t>VEN-03</t>
  </si>
  <si>
    <t>Unpaid</t>
  </si>
  <si>
    <t>AP-INV-5003</t>
  </si>
  <si>
    <t>VEN-01</t>
  </si>
  <si>
    <t>AP-INV-5004</t>
  </si>
  <si>
    <t>AP-INV-5005</t>
  </si>
  <si>
    <t>VEN-05</t>
  </si>
  <si>
    <t>AP-INV-5006</t>
  </si>
  <si>
    <t>VEN-02</t>
  </si>
  <si>
    <t>AP-INV-5007</t>
  </si>
  <si>
    <t>AP-INV-5008</t>
  </si>
  <si>
    <t>AP-INV-5009</t>
  </si>
  <si>
    <t>AP-INV-5010</t>
  </si>
  <si>
    <t>AP-INV-5011</t>
  </si>
  <si>
    <t>AP-INV-5012</t>
  </si>
  <si>
    <t>AP-INV-5013</t>
  </si>
  <si>
    <t>AP-INV-5014</t>
  </si>
  <si>
    <t>AP-INV-5015</t>
  </si>
  <si>
    <t>AP-INV-5016</t>
  </si>
  <si>
    <t>AP-INV-5017</t>
  </si>
  <si>
    <t>AP-INV-5018</t>
  </si>
  <si>
    <t>AP-INV-5019</t>
  </si>
  <si>
    <t>AP-INV-5020</t>
  </si>
  <si>
    <t>VEN-04</t>
  </si>
  <si>
    <t>AP-INV-5021</t>
  </si>
  <si>
    <t>AP-INV-5022</t>
  </si>
  <si>
    <t>AP-INV-5023</t>
  </si>
  <si>
    <t>AP-INV-5024</t>
  </si>
  <si>
    <t>AP-INV-5025</t>
  </si>
  <si>
    <t>AP-INV-5026</t>
  </si>
  <si>
    <t>AP-INV-5027</t>
  </si>
  <si>
    <t>AP-INV-5028</t>
  </si>
  <si>
    <t>AP-INV-5029</t>
  </si>
  <si>
    <t>AP-INV-5030</t>
  </si>
  <si>
    <t>AP-INV-5031</t>
  </si>
  <si>
    <t>AP-INV-5032</t>
  </si>
  <si>
    <t>AP-INV-5033</t>
  </si>
  <si>
    <t>AP-INV-5034</t>
  </si>
  <si>
    <t>AP-INV-5035</t>
  </si>
  <si>
    <t>AP-INV-5036</t>
  </si>
  <si>
    <t>AP-INV-5037</t>
  </si>
  <si>
    <t>AP-INV-5038</t>
  </si>
  <si>
    <t>AP-INV-5039</t>
  </si>
  <si>
    <t>AP-INV-5040</t>
  </si>
  <si>
    <t>AP-INV-5041</t>
  </si>
  <si>
    <t>AP-INV-5042</t>
  </si>
  <si>
    <t>AP-INV-5043</t>
  </si>
  <si>
    <t>AP-INV-5044</t>
  </si>
  <si>
    <t>AP-INV-5045</t>
  </si>
  <si>
    <t>AP-INV-5046</t>
  </si>
  <si>
    <t>AP-INV-5047</t>
  </si>
  <si>
    <t>AP-INV-5048</t>
  </si>
  <si>
    <t>AP-INV-5049</t>
  </si>
  <si>
    <t>AP-INV-5050</t>
  </si>
  <si>
    <t>AP-INV-5051</t>
  </si>
  <si>
    <t>AP-INV-5052</t>
  </si>
  <si>
    <t>AP-INV-5053</t>
  </si>
  <si>
    <t>AP-INV-5054</t>
  </si>
  <si>
    <t>AP-INV-5055</t>
  </si>
  <si>
    <t>AP-INV-5056</t>
  </si>
  <si>
    <t>AP-INV-5057</t>
  </si>
  <si>
    <t>AP-INV-5058</t>
  </si>
  <si>
    <t>AP-INV-5059</t>
  </si>
  <si>
    <t>AP-INV-5060</t>
  </si>
  <si>
    <t>AP-INV-5061</t>
  </si>
  <si>
    <t>AP-INV-5062</t>
  </si>
  <si>
    <t>AP-INV-5063</t>
  </si>
  <si>
    <t>AP-INV-5064</t>
  </si>
  <si>
    <t>AP-INV-5065</t>
  </si>
  <si>
    <t>AP-INV-5066</t>
  </si>
  <si>
    <t>AP-INV-5067</t>
  </si>
  <si>
    <t>AP-INV-5068</t>
  </si>
  <si>
    <t>AP-INV-5069</t>
  </si>
  <si>
    <t>AP-INV-5070</t>
  </si>
  <si>
    <t>AP-INV-5071</t>
  </si>
  <si>
    <t>AP-INV-5072</t>
  </si>
  <si>
    <t>AP-INV-5073</t>
  </si>
  <si>
    <t>AP-INV-5074</t>
  </si>
  <si>
    <t>AP-INV-5075</t>
  </si>
  <si>
    <t>AP-INV-5076</t>
  </si>
  <si>
    <t>AP-INV-5077</t>
  </si>
  <si>
    <t>AP-INV-5078</t>
  </si>
  <si>
    <t>AP-INV-5079</t>
  </si>
  <si>
    <t>AP-INV-5080</t>
  </si>
  <si>
    <t>AP-INV-5081</t>
  </si>
  <si>
    <t>AP-INV-5082</t>
  </si>
  <si>
    <t>AP-INV-5083</t>
  </si>
  <si>
    <t>AP-INV-5084</t>
  </si>
  <si>
    <t>AP-INV-5085</t>
  </si>
  <si>
    <t>AP-INV-5086</t>
  </si>
  <si>
    <t>AP-INV-5087</t>
  </si>
  <si>
    <t>AP-INV-5088</t>
  </si>
  <si>
    <t>AP-INV-5089</t>
  </si>
  <si>
    <t>AP-INV-5090</t>
  </si>
  <si>
    <t>AP-INV-5091</t>
  </si>
  <si>
    <t>AP-INV-5092</t>
  </si>
  <si>
    <t>AP-INV-5093</t>
  </si>
  <si>
    <t>AP-INV-5094</t>
  </si>
  <si>
    <t>AP-INV-5095</t>
  </si>
  <si>
    <t>AP-INV-5096</t>
  </si>
  <si>
    <t>AP-INV-5097</t>
  </si>
  <si>
    <t>AP-INV-5098</t>
  </si>
  <si>
    <t>AP-INV-5099</t>
  </si>
  <si>
    <t>AP-INV-5100</t>
  </si>
  <si>
    <t>AP-INV-5101</t>
  </si>
  <si>
    <t>AP-INV-5102</t>
  </si>
  <si>
    <t>AP-INV-5103</t>
  </si>
  <si>
    <t>AP-INV-5104</t>
  </si>
  <si>
    <t>AP-INV-5105</t>
  </si>
  <si>
    <t>AP-INV-5106</t>
  </si>
  <si>
    <t>AP-INV-5107</t>
  </si>
  <si>
    <t>AP-INV-5108</t>
  </si>
  <si>
    <t>AP-INV-5109</t>
  </si>
  <si>
    <t>AP-INV-5110</t>
  </si>
  <si>
    <t>AP-INV-5111</t>
  </si>
  <si>
    <t>AP-INV-5112</t>
  </si>
  <si>
    <t>AP-INV-5113</t>
  </si>
  <si>
    <t>AP-INV-5114</t>
  </si>
  <si>
    <t>AP-INV-5115</t>
  </si>
  <si>
    <t>AP-INV-5116</t>
  </si>
  <si>
    <t>AP-INV-5117</t>
  </si>
  <si>
    <t>AP-INV-5118</t>
  </si>
  <si>
    <t>AP-INV-5119</t>
  </si>
  <si>
    <t>AP-INV-5120</t>
  </si>
  <si>
    <t>AP-INV-5121</t>
  </si>
  <si>
    <t>AP-INV-5122</t>
  </si>
  <si>
    <t>AP-INV-5123</t>
  </si>
  <si>
    <t>AP-INV-5124</t>
  </si>
  <si>
    <t>AP-INV-5125</t>
  </si>
  <si>
    <t>AP-INV-5126</t>
  </si>
  <si>
    <t>AP-INV-5127</t>
  </si>
  <si>
    <t>AP-INV-5128</t>
  </si>
  <si>
    <t>AP-INV-5129</t>
  </si>
  <si>
    <t>AP-INV-5130</t>
  </si>
  <si>
    <t>AP-INV-5131</t>
  </si>
  <si>
    <t>AP-INV-5132</t>
  </si>
  <si>
    <t>AP-INV-5133</t>
  </si>
  <si>
    <t>AP-INV-5134</t>
  </si>
  <si>
    <t>AP-INV-5135</t>
  </si>
  <si>
    <t>AP-INV-5136</t>
  </si>
  <si>
    <t>AP-INV-5137</t>
  </si>
  <si>
    <t>AP-INV-5138</t>
  </si>
  <si>
    <t>AP-INV-5139</t>
  </si>
  <si>
    <t>AP-INV-5140</t>
  </si>
  <si>
    <t>AP-INV-5141</t>
  </si>
  <si>
    <t>AP-INV-5142</t>
  </si>
  <si>
    <t>AP-INV-5143</t>
  </si>
  <si>
    <t>AP-INV-5144</t>
  </si>
  <si>
    <t>AP-INV-5145</t>
  </si>
  <si>
    <t>AP-INV-5146</t>
  </si>
  <si>
    <t>AP-INV-5147</t>
  </si>
  <si>
    <t>AP-INV-5148</t>
  </si>
  <si>
    <t>AP-INV-5149</t>
  </si>
  <si>
    <t>AP-INV-5150</t>
  </si>
  <si>
    <t>AP-INV-5151</t>
  </si>
  <si>
    <t>AP-INV-5152</t>
  </si>
  <si>
    <t>AP-INV-5153</t>
  </si>
  <si>
    <t>AP-INV-5154</t>
  </si>
  <si>
    <t>AP-INV-5155</t>
  </si>
  <si>
    <t>AP-INV-5156</t>
  </si>
  <si>
    <t>AP-INV-5157</t>
  </si>
  <si>
    <t>AP-INV-5158</t>
  </si>
  <si>
    <t>AP-INV-5159</t>
  </si>
  <si>
    <t>AP-INV-5160</t>
  </si>
  <si>
    <t>AP-INV-5161</t>
  </si>
  <si>
    <t>AP-INV-5162</t>
  </si>
  <si>
    <t>AP-INV-5163</t>
  </si>
  <si>
    <t>AP-INV-5164</t>
  </si>
  <si>
    <t>AP-INV-5165</t>
  </si>
  <si>
    <t>AP-INV-5166</t>
  </si>
  <si>
    <t>AP-INV-5167</t>
  </si>
  <si>
    <t>AP-INV-5168</t>
  </si>
  <si>
    <t>AP-INV-5169</t>
  </si>
  <si>
    <t>AP-INV-5170</t>
  </si>
  <si>
    <t>AP-INV-5171</t>
  </si>
  <si>
    <t>AP-INV-5172</t>
  </si>
  <si>
    <t>AP-INV-5173</t>
  </si>
  <si>
    <t>AP-INV-5174</t>
  </si>
  <si>
    <t>AP-INV-5175</t>
  </si>
  <si>
    <t>AP-INV-5176</t>
  </si>
  <si>
    <t>AP-INV-5177</t>
  </si>
  <si>
    <t>AP-INV-5178</t>
  </si>
  <si>
    <t>AP-INV-5179</t>
  </si>
  <si>
    <t>AP-INV-5180</t>
  </si>
  <si>
    <t>AP-INV-5181</t>
  </si>
  <si>
    <t>AP-INV-5182</t>
  </si>
  <si>
    <t>AP-INV-5183</t>
  </si>
  <si>
    <t>AP-INV-5184</t>
  </si>
  <si>
    <t>AP-INV-5185</t>
  </si>
  <si>
    <t>AP-INV-5186</t>
  </si>
  <si>
    <t>AP-INV-5187</t>
  </si>
  <si>
    <t>AP-INV-5188</t>
  </si>
  <si>
    <t>AP-INV-5189</t>
  </si>
  <si>
    <t>AP-INV-5190</t>
  </si>
  <si>
    <t>AP-INV-5191</t>
  </si>
  <si>
    <t>AP-INV-5192</t>
  </si>
  <si>
    <t>AP-INV-5193</t>
  </si>
  <si>
    <t>AP-INV-5194</t>
  </si>
  <si>
    <t>AP-INV-5195</t>
  </si>
  <si>
    <t>AP-INV-5196</t>
  </si>
  <si>
    <t>AP-INV-5197</t>
  </si>
  <si>
    <t>AP-INV-5198</t>
  </si>
  <si>
    <t>AP-INV-5199</t>
  </si>
  <si>
    <t>AP-INV-5200</t>
  </si>
  <si>
    <t>AP-INV-5201</t>
  </si>
  <si>
    <t>AP-INV-5202</t>
  </si>
  <si>
    <t>AP-INV-5203</t>
  </si>
  <si>
    <t>AP-INV-5204</t>
  </si>
  <si>
    <t>AP-INV-5205</t>
  </si>
  <si>
    <t>AP-INV-5206</t>
  </si>
  <si>
    <t>AP-INV-5207</t>
  </si>
  <si>
    <t>AP-INV-5208</t>
  </si>
  <si>
    <t>AP-INV-5209</t>
  </si>
  <si>
    <t>AP-INV-5210</t>
  </si>
  <si>
    <t>AP-INV-5211</t>
  </si>
  <si>
    <t>AP-INV-5212</t>
  </si>
  <si>
    <t>AP-INV-5213</t>
  </si>
  <si>
    <t>AP-INV-5214</t>
  </si>
  <si>
    <t>AP-INV-5215</t>
  </si>
  <si>
    <t>AP-INV-5216</t>
  </si>
  <si>
    <t>AP-INV-5217</t>
  </si>
  <si>
    <t>AP-INV-5218</t>
  </si>
  <si>
    <t>AP-INV-5219</t>
  </si>
  <si>
    <t>AP-INV-5220</t>
  </si>
  <si>
    <t>AP-INV-5221</t>
  </si>
  <si>
    <t>AP-INV-5222</t>
  </si>
  <si>
    <t>AP-INV-5223</t>
  </si>
  <si>
    <t>AP-INV-5224</t>
  </si>
  <si>
    <t>AP-INV-5225</t>
  </si>
  <si>
    <t>AP-INV-5226</t>
  </si>
  <si>
    <t>AP-INV-5227</t>
  </si>
  <si>
    <t>AP-INV-5228</t>
  </si>
  <si>
    <t>AP-INV-5229</t>
  </si>
  <si>
    <t>AP-INV-5230</t>
  </si>
  <si>
    <t>AP-INV-5231</t>
  </si>
  <si>
    <t>AP-INV-5232</t>
  </si>
  <si>
    <t>AP-INV-5233</t>
  </si>
  <si>
    <t>AP-INV-5234</t>
  </si>
  <si>
    <t>AP-INV-5235</t>
  </si>
  <si>
    <t>AP-INV-5236</t>
  </si>
  <si>
    <t>AP-INV-5237</t>
  </si>
  <si>
    <t>AP-INV-5238</t>
  </si>
  <si>
    <t>AP-INV-5239</t>
  </si>
  <si>
    <t>AP-INV-5240</t>
  </si>
  <si>
    <t>AP-INV-5241</t>
  </si>
  <si>
    <t>AP-INV-5242</t>
  </si>
  <si>
    <t>AP-INV-5243</t>
  </si>
  <si>
    <t>AP-INV-5244</t>
  </si>
  <si>
    <t>AP-INV-5245</t>
  </si>
  <si>
    <t>AP-INV-5246</t>
  </si>
  <si>
    <t>AP-INV-5247</t>
  </si>
  <si>
    <t>AP-INV-5248</t>
  </si>
  <si>
    <t>AP-INV-5249</t>
  </si>
  <si>
    <t>AP-INV-5250</t>
  </si>
  <si>
    <t>AP-INV-5251</t>
  </si>
  <si>
    <t>AP-INV-5252</t>
  </si>
  <si>
    <t>AP-INV-5253</t>
  </si>
  <si>
    <t>AP-INV-5254</t>
  </si>
  <si>
    <t>AP-INV-5255</t>
  </si>
  <si>
    <t>AP-INV-5256</t>
  </si>
  <si>
    <t>AP-INV-5257</t>
  </si>
  <si>
    <t>AP-INV-5258</t>
  </si>
  <si>
    <t>AP-INV-5259</t>
  </si>
  <si>
    <t>AP-INV-5260</t>
  </si>
  <si>
    <t>AP-INV-5261</t>
  </si>
  <si>
    <t>AP-INV-5262</t>
  </si>
  <si>
    <t>AP-INV-5263</t>
  </si>
  <si>
    <t>AP-INV-5264</t>
  </si>
  <si>
    <t>AP-INV-5265</t>
  </si>
  <si>
    <t>AP-INV-5266</t>
  </si>
  <si>
    <t>AP-INV-5267</t>
  </si>
  <si>
    <t>AP-INV-5268</t>
  </si>
  <si>
    <t>AP-INV-5269</t>
  </si>
  <si>
    <t>AP-INV-5270</t>
  </si>
  <si>
    <t>AP-INV-5271</t>
  </si>
  <si>
    <t>AP-INV-5272</t>
  </si>
  <si>
    <t>AP-INV-5273</t>
  </si>
  <si>
    <t>AP-INV-5274</t>
  </si>
  <si>
    <t>AP-INV-5275</t>
  </si>
  <si>
    <t>AP-INV-5276</t>
  </si>
  <si>
    <t>AP-INV-5277</t>
  </si>
  <si>
    <t>AP-INV-5278</t>
  </si>
  <si>
    <t>AP-INV-5279</t>
  </si>
  <si>
    <t>AP-INV-5280</t>
  </si>
  <si>
    <t>AP-INV-5281</t>
  </si>
  <si>
    <t>AP-INV-5282</t>
  </si>
  <si>
    <t>AP-INV-5283</t>
  </si>
  <si>
    <t>AP-INV-5284</t>
  </si>
  <si>
    <t>AP-INV-5285</t>
  </si>
  <si>
    <t>AP-INV-5286</t>
  </si>
  <si>
    <t>AP-INV-5287</t>
  </si>
  <si>
    <t>AP-INV-5288</t>
  </si>
  <si>
    <t>AP-INV-5289</t>
  </si>
  <si>
    <t>AP-INV-5290</t>
  </si>
  <si>
    <t>AP-INV-5291</t>
  </si>
  <si>
    <t>AP-INV-5292</t>
  </si>
  <si>
    <t>AP-INV-5293</t>
  </si>
  <si>
    <t>AP-INV-5294</t>
  </si>
  <si>
    <t>AP-INV-5295</t>
  </si>
  <si>
    <t>AP-INV-5296</t>
  </si>
  <si>
    <t>AP-INV-5297</t>
  </si>
  <si>
    <t>AP-INV-5298</t>
  </si>
  <si>
    <t>AP-INV-5299</t>
  </si>
  <si>
    <t>AP-INV-5300</t>
  </si>
  <si>
    <t>AP-INV-5301</t>
  </si>
  <si>
    <t>AP-INV-5302</t>
  </si>
  <si>
    <t>AP-INV-5303</t>
  </si>
  <si>
    <t>AP-INV-5304</t>
  </si>
  <si>
    <t>AP-INV-5305</t>
  </si>
  <si>
    <t>AP-INV-5306</t>
  </si>
  <si>
    <t>AP-INV-5307</t>
  </si>
  <si>
    <t>AP-INV-5308</t>
  </si>
  <si>
    <t>AP-INV-5309</t>
  </si>
  <si>
    <t>AP-INV-5310</t>
  </si>
  <si>
    <t>AP-INV-5311</t>
  </si>
  <si>
    <t>AP-INV-5312</t>
  </si>
  <si>
    <t>AP-INV-5313</t>
  </si>
  <si>
    <t>AP-INV-5314</t>
  </si>
  <si>
    <t>AP-INV-5315</t>
  </si>
  <si>
    <t>AP-INV-5316</t>
  </si>
  <si>
    <t>AP-INV-5317</t>
  </si>
  <si>
    <t>AP-INV-5318</t>
  </si>
  <si>
    <t>AP-INV-5319</t>
  </si>
  <si>
    <t>AP-INV-5320</t>
  </si>
  <si>
    <t>AP-INV-5321</t>
  </si>
  <si>
    <t>AP-INV-5322</t>
  </si>
  <si>
    <t>AP-INV-5323</t>
  </si>
  <si>
    <t>AP-INV-5324</t>
  </si>
  <si>
    <t>AP-INV-5325</t>
  </si>
  <si>
    <t>AP-INV-5326</t>
  </si>
  <si>
    <t>AP-INV-5327</t>
  </si>
  <si>
    <t>AP-INV-5328</t>
  </si>
  <si>
    <t>AP-INV-5329</t>
  </si>
  <si>
    <t>AP-INV-5330</t>
  </si>
  <si>
    <t>AP-INV-5331</t>
  </si>
  <si>
    <t>AP-INV-5332</t>
  </si>
  <si>
    <t>AP-INV-5333</t>
  </si>
  <si>
    <t>AP-INV-5334</t>
  </si>
  <si>
    <t>AP-INV-5335</t>
  </si>
  <si>
    <t>AP-INV-5336</t>
  </si>
  <si>
    <t>AP-INV-5337</t>
  </si>
  <si>
    <t>AP-INV-5338</t>
  </si>
  <si>
    <t>AP-INV-5339</t>
  </si>
  <si>
    <t>AP-INV-5340</t>
  </si>
  <si>
    <t>AP-INV-5341</t>
  </si>
  <si>
    <t>AP-INV-5342</t>
  </si>
  <si>
    <t>AP-INV-5343</t>
  </si>
  <si>
    <t>AP-INV-5344</t>
  </si>
  <si>
    <t>AP-INV-5345</t>
  </si>
  <si>
    <t>AP-INV-5346</t>
  </si>
  <si>
    <t>AP-INV-5347</t>
  </si>
  <si>
    <t>AP-INV-5348</t>
  </si>
  <si>
    <t>AP-INV-5349</t>
  </si>
  <si>
    <t>AP-INV-5350</t>
  </si>
  <si>
    <t>AP-INV-5351</t>
  </si>
  <si>
    <t>AP-INV-5352</t>
  </si>
  <si>
    <t>AP-INV-5353</t>
  </si>
  <si>
    <t>AP-INV-5354</t>
  </si>
  <si>
    <t>AP-INV-5355</t>
  </si>
  <si>
    <t>AP-INV-5356</t>
  </si>
  <si>
    <t>AP-INV-5357</t>
  </si>
  <si>
    <t>AP-INV-5358</t>
  </si>
  <si>
    <t>AP-INV-5359</t>
  </si>
  <si>
    <t>AP-INV-5360</t>
  </si>
  <si>
    <t>AP-INV-5361</t>
  </si>
  <si>
    <t>AP-INV-5362</t>
  </si>
  <si>
    <t>AP-INV-5363</t>
  </si>
  <si>
    <t>AP-INV-5364</t>
  </si>
  <si>
    <t>AP-INV-5365</t>
  </si>
  <si>
    <t>AP-INV-5366</t>
  </si>
  <si>
    <t>AP-INV-5367</t>
  </si>
  <si>
    <t>AP-INV-5368</t>
  </si>
  <si>
    <t>AP-INV-5369</t>
  </si>
  <si>
    <t>AP-INV-5370</t>
  </si>
  <si>
    <t>AP-INV-5371</t>
  </si>
  <si>
    <t>AP-INV-5372</t>
  </si>
  <si>
    <t>AP-INV-5373</t>
  </si>
  <si>
    <t>AP-INV-5374</t>
  </si>
  <si>
    <t>AP-INV-5375</t>
  </si>
  <si>
    <t>AP-INV-5376</t>
  </si>
  <si>
    <t>AP-INV-5377</t>
  </si>
  <si>
    <t>AP-INV-5378</t>
  </si>
  <si>
    <t>AP-INV-5379</t>
  </si>
  <si>
    <t>AP-INV-5380</t>
  </si>
  <si>
    <t>AP-INV-5381</t>
  </si>
  <si>
    <t>AP-INV-5382</t>
  </si>
  <si>
    <t>AP-INV-5383</t>
  </si>
  <si>
    <t>AP-INV-5384</t>
  </si>
  <si>
    <t>AP-INV-5385</t>
  </si>
  <si>
    <t>AP-INV-5386</t>
  </si>
  <si>
    <t>AP-INV-5387</t>
  </si>
  <si>
    <t>AP-INV-5388</t>
  </si>
  <si>
    <t>AP-INV-5389</t>
  </si>
  <si>
    <t>AP-INV-5390</t>
  </si>
  <si>
    <t>AP-INV-5391</t>
  </si>
  <si>
    <t>AP-INV-5392</t>
  </si>
  <si>
    <t>AP-INV-5393</t>
  </si>
  <si>
    <t>AP-INV-5394</t>
  </si>
  <si>
    <t>AP-INV-5395</t>
  </si>
  <si>
    <t>AP-INV-5396</t>
  </si>
  <si>
    <t>AP-INV-5397</t>
  </si>
  <si>
    <t>AP-INV-5398</t>
  </si>
  <si>
    <t>AP-INV-5399</t>
  </si>
  <si>
    <t>AP-INV-5400</t>
  </si>
  <si>
    <t>AP-INV-5401</t>
  </si>
  <si>
    <t>AP-INV-5402</t>
  </si>
  <si>
    <t>AP-INV-5403</t>
  </si>
  <si>
    <t>AP-INV-5404</t>
  </si>
  <si>
    <t>AP-INV-5405</t>
  </si>
  <si>
    <t>AP-INV-5406</t>
  </si>
  <si>
    <t>AP-INV-5407</t>
  </si>
  <si>
    <t>AP-INV-5408</t>
  </si>
  <si>
    <t>AP-INV-5409</t>
  </si>
  <si>
    <t>AP-INV-5410</t>
  </si>
  <si>
    <t>AP-INV-5411</t>
  </si>
  <si>
    <t>AP-INV-5412</t>
  </si>
  <si>
    <t>AP-INV-5413</t>
  </si>
  <si>
    <t>AP-INV-5414</t>
  </si>
  <si>
    <t>AP-INV-5415</t>
  </si>
  <si>
    <t>AP-INV-5416</t>
  </si>
  <si>
    <t>AP-INV-5417</t>
  </si>
  <si>
    <t>AP-INV-5418</t>
  </si>
  <si>
    <t>AP-INV-5419</t>
  </si>
  <si>
    <t>AP-INV-5420</t>
  </si>
  <si>
    <t>AP-INV-5421</t>
  </si>
  <si>
    <t>AP-INV-5422</t>
  </si>
  <si>
    <t>AP-INV-5423</t>
  </si>
  <si>
    <t>AP-INV-5424</t>
  </si>
  <si>
    <t>AP-INV-5425</t>
  </si>
  <si>
    <t>AP-INV-5426</t>
  </si>
  <si>
    <t>AP-INV-5427</t>
  </si>
  <si>
    <t>AP-INV-5428</t>
  </si>
  <si>
    <t>AP-INV-5429</t>
  </si>
  <si>
    <t>AP-INV-5430</t>
  </si>
  <si>
    <t>AP-INV-5431</t>
  </si>
  <si>
    <t>AP-INV-5432</t>
  </si>
  <si>
    <t>AP-INV-5433</t>
  </si>
  <si>
    <t>AP-INV-5434</t>
  </si>
  <si>
    <t>AP-INV-5435</t>
  </si>
  <si>
    <t>AP-INV-5436</t>
  </si>
  <si>
    <t>AP-INV-5437</t>
  </si>
  <si>
    <t>AP-INV-5438</t>
  </si>
  <si>
    <t>AP-INV-5439</t>
  </si>
  <si>
    <t>AP-INV-5440</t>
  </si>
  <si>
    <t>AP-INV-5441</t>
  </si>
  <si>
    <t>AP-INV-5442</t>
  </si>
  <si>
    <t>AP-INV-5443</t>
  </si>
  <si>
    <t>AP-INV-5444</t>
  </si>
  <si>
    <t>AP-INV-5445</t>
  </si>
  <si>
    <t>AP-INV-5446</t>
  </si>
  <si>
    <t>AP-INV-5447</t>
  </si>
  <si>
    <t>AP-INV-5448</t>
  </si>
  <si>
    <t>AP-INV-5449</t>
  </si>
  <si>
    <t>AP-INV-5450</t>
  </si>
  <si>
    <t>AP-INV-5451</t>
  </si>
  <si>
    <t>AP-INV-5452</t>
  </si>
  <si>
    <t>AP-INV-5453</t>
  </si>
  <si>
    <t>AP-INV-5454</t>
  </si>
  <si>
    <t>AP-INV-5455</t>
  </si>
  <si>
    <t>AP-INV-5456</t>
  </si>
  <si>
    <t>AP-INV-5457</t>
  </si>
  <si>
    <t>AP-INV-5458</t>
  </si>
  <si>
    <t>AP-INV-5459</t>
  </si>
  <si>
    <t>AP-INV-5460</t>
  </si>
  <si>
    <t>AP-INV-5461</t>
  </si>
  <si>
    <t>AP-INV-5462</t>
  </si>
  <si>
    <t>AP-INV-5463</t>
  </si>
  <si>
    <t>AP-INV-5464</t>
  </si>
  <si>
    <t>AP-INV-5465</t>
  </si>
  <si>
    <t>AP-INV-5466</t>
  </si>
  <si>
    <t>AP-INV-5467</t>
  </si>
  <si>
    <t>AP-INV-5468</t>
  </si>
  <si>
    <t>AP-INV-5469</t>
  </si>
  <si>
    <t>AP-INV-5470</t>
  </si>
  <si>
    <t>AP-INV-5471</t>
  </si>
  <si>
    <t>AP-INV-5472</t>
  </si>
  <si>
    <t>AP-INV-5473</t>
  </si>
  <si>
    <t>AP-INV-5474</t>
  </si>
  <si>
    <t>AP-INV-5475</t>
  </si>
  <si>
    <t>AP-INV-5476</t>
  </si>
  <si>
    <t>AP-INV-5477</t>
  </si>
  <si>
    <t>AP-INV-5478</t>
  </si>
  <si>
    <t>AP-INV-5479</t>
  </si>
  <si>
    <t>AP-INV-5480</t>
  </si>
  <si>
    <t>AP-INV-5481</t>
  </si>
  <si>
    <t>AP-INV-5482</t>
  </si>
  <si>
    <t>AP-INV-5483</t>
  </si>
  <si>
    <t>AP-INV-5484</t>
  </si>
  <si>
    <t>AP-INV-5485</t>
  </si>
  <si>
    <t>AP-INV-5486</t>
  </si>
  <si>
    <t>AP-INV-5487</t>
  </si>
  <si>
    <t>AP-INV-5488</t>
  </si>
  <si>
    <t>AP-INV-5489</t>
  </si>
  <si>
    <t>AP-INV-5490</t>
  </si>
  <si>
    <t>AP-INV-5491</t>
  </si>
  <si>
    <t>AP-INV-5492</t>
  </si>
  <si>
    <t>AP-INV-5493</t>
  </si>
  <si>
    <t>AP-INV-5494</t>
  </si>
  <si>
    <t>AP-INV-5495</t>
  </si>
  <si>
    <t>AP-INV-5496</t>
  </si>
  <si>
    <t>AP-INV-5497</t>
  </si>
  <si>
    <t>AP-INV-5498</t>
  </si>
  <si>
    <t>AP-INV-5499</t>
  </si>
  <si>
    <t>AP-INV-5500</t>
  </si>
  <si>
    <t>VendorName</t>
  </si>
  <si>
    <t>Cocoa World Inc.</t>
  </si>
  <si>
    <t>Global Sweeteners</t>
  </si>
  <si>
    <t>Dairy Farms United</t>
  </si>
  <si>
    <t>Packaging Pros</t>
  </si>
  <si>
    <t>Office Supplies Co.</t>
  </si>
  <si>
    <t>Cloud Services LLC</t>
  </si>
  <si>
    <t>CustomerID</t>
  </si>
  <si>
    <t>AR-INV-7001</t>
  </si>
  <si>
    <t>CUS-04</t>
  </si>
  <si>
    <t>AR-INV-7002</t>
  </si>
  <si>
    <t>AR-INV-7003</t>
  </si>
  <si>
    <t>CUS-03</t>
  </si>
  <si>
    <t>AR-INV-7004</t>
  </si>
  <si>
    <t>AR-INV-7005</t>
  </si>
  <si>
    <t>AR-INV-7006</t>
  </si>
  <si>
    <t>CUS-05</t>
  </si>
  <si>
    <t>AR-INV-7007</t>
  </si>
  <si>
    <t>CUS-01</t>
  </si>
  <si>
    <t>AR-INV-7008</t>
  </si>
  <si>
    <t>CUS-02</t>
  </si>
  <si>
    <t>AR-INV-7009</t>
  </si>
  <si>
    <t>AR-INV-7010</t>
  </si>
  <si>
    <t>AR-INV-7011</t>
  </si>
  <si>
    <t>AR-INV-7012</t>
  </si>
  <si>
    <t>AR-INV-7013</t>
  </si>
  <si>
    <t>AR-INV-7014</t>
  </si>
  <si>
    <t>AR-INV-7015</t>
  </si>
  <si>
    <t>AR-INV-7016</t>
  </si>
  <si>
    <t>AR-INV-7017</t>
  </si>
  <si>
    <t>AR-INV-7018</t>
  </si>
  <si>
    <t>AR-INV-7019</t>
  </si>
  <si>
    <t>AR-INV-7020</t>
  </si>
  <si>
    <t>AR-INV-7021</t>
  </si>
  <si>
    <t>AR-INV-7022</t>
  </si>
  <si>
    <t>AR-INV-7023</t>
  </si>
  <si>
    <t>AR-INV-7024</t>
  </si>
  <si>
    <t>AR-INV-7025</t>
  </si>
  <si>
    <t>AR-INV-7026</t>
  </si>
  <si>
    <t>AR-INV-7027</t>
  </si>
  <si>
    <t>AR-INV-7028</t>
  </si>
  <si>
    <t>AR-INV-7029</t>
  </si>
  <si>
    <t>AR-INV-7030</t>
  </si>
  <si>
    <t>AR-INV-7031</t>
  </si>
  <si>
    <t>AR-INV-7032</t>
  </si>
  <si>
    <t>AR-INV-7033</t>
  </si>
  <si>
    <t>AR-INV-7034</t>
  </si>
  <si>
    <t>AR-INV-7035</t>
  </si>
  <si>
    <t>AR-INV-7036</t>
  </si>
  <si>
    <t>AR-INV-7037</t>
  </si>
  <si>
    <t>AR-INV-7038</t>
  </si>
  <si>
    <t>AR-INV-7039</t>
  </si>
  <si>
    <t>AR-INV-7040</t>
  </si>
  <si>
    <t>AR-INV-7041</t>
  </si>
  <si>
    <t>AR-INV-7042</t>
  </si>
  <si>
    <t>AR-INV-7043</t>
  </si>
  <si>
    <t>AR-INV-7044</t>
  </si>
  <si>
    <t>AR-INV-7045</t>
  </si>
  <si>
    <t>AR-INV-7046</t>
  </si>
  <si>
    <t>AR-INV-7047</t>
  </si>
  <si>
    <t>AR-INV-7048</t>
  </si>
  <si>
    <t>AR-INV-7049</t>
  </si>
  <si>
    <t>AR-INV-7050</t>
  </si>
  <si>
    <t>AR-INV-7051</t>
  </si>
  <si>
    <t>AR-INV-7052</t>
  </si>
  <si>
    <t>AR-INV-7053</t>
  </si>
  <si>
    <t>AR-INV-7054</t>
  </si>
  <si>
    <t>AR-INV-7055</t>
  </si>
  <si>
    <t>AR-INV-7056</t>
  </si>
  <si>
    <t>AR-INV-7057</t>
  </si>
  <si>
    <t>AR-INV-7058</t>
  </si>
  <si>
    <t>AR-INV-7059</t>
  </si>
  <si>
    <t>AR-INV-7060</t>
  </si>
  <si>
    <t>AR-INV-7061</t>
  </si>
  <si>
    <t>AR-INV-7062</t>
  </si>
  <si>
    <t>AR-INV-7063</t>
  </si>
  <si>
    <t>AR-INV-7064</t>
  </si>
  <si>
    <t>AR-INV-7065</t>
  </si>
  <si>
    <t>AR-INV-7066</t>
  </si>
  <si>
    <t>AR-INV-7067</t>
  </si>
  <si>
    <t>AR-INV-7068</t>
  </si>
  <si>
    <t>AR-INV-7069</t>
  </si>
  <si>
    <t>AR-INV-7070</t>
  </si>
  <si>
    <t>AR-INV-7071</t>
  </si>
  <si>
    <t>AR-INV-7072</t>
  </si>
  <si>
    <t>AR-INV-7073</t>
  </si>
  <si>
    <t>AR-INV-7074</t>
  </si>
  <si>
    <t>AR-INV-7075</t>
  </si>
  <si>
    <t>AR-INV-7076</t>
  </si>
  <si>
    <t>AR-INV-7077</t>
  </si>
  <si>
    <t>AR-INV-7078</t>
  </si>
  <si>
    <t>AR-INV-7079</t>
  </si>
  <si>
    <t>AR-INV-7080</t>
  </si>
  <si>
    <t>AR-INV-7081</t>
  </si>
  <si>
    <t>AR-INV-7082</t>
  </si>
  <si>
    <t>AR-INV-7083</t>
  </si>
  <si>
    <t>AR-INV-7084</t>
  </si>
  <si>
    <t>AR-INV-7085</t>
  </si>
  <si>
    <t>AR-INV-7086</t>
  </si>
  <si>
    <t>AR-INV-7087</t>
  </si>
  <si>
    <t>AR-INV-7088</t>
  </si>
  <si>
    <t>AR-INV-7089</t>
  </si>
  <si>
    <t>AR-INV-7090</t>
  </si>
  <si>
    <t>AR-INV-7091</t>
  </si>
  <si>
    <t>AR-INV-7092</t>
  </si>
  <si>
    <t>AR-INV-7093</t>
  </si>
  <si>
    <t>AR-INV-7094</t>
  </si>
  <si>
    <t>AR-INV-7095</t>
  </si>
  <si>
    <t>AR-INV-7096</t>
  </si>
  <si>
    <t>AR-INV-7097</t>
  </si>
  <si>
    <t>AR-INV-7098</t>
  </si>
  <si>
    <t>AR-INV-7099</t>
  </si>
  <si>
    <t>AR-INV-7100</t>
  </si>
  <si>
    <t>AR-INV-7101</t>
  </si>
  <si>
    <t>AR-INV-7102</t>
  </si>
  <si>
    <t>AR-INV-7103</t>
  </si>
  <si>
    <t>AR-INV-7104</t>
  </si>
  <si>
    <t>AR-INV-7105</t>
  </si>
  <si>
    <t>AR-INV-7106</t>
  </si>
  <si>
    <t>AR-INV-7107</t>
  </si>
  <si>
    <t>AR-INV-7108</t>
  </si>
  <si>
    <t>AR-INV-7109</t>
  </si>
  <si>
    <t>AR-INV-7110</t>
  </si>
  <si>
    <t>AR-INV-7111</t>
  </si>
  <si>
    <t>AR-INV-7112</t>
  </si>
  <si>
    <t>AR-INV-7113</t>
  </si>
  <si>
    <t>AR-INV-7114</t>
  </si>
  <si>
    <t>AR-INV-7115</t>
  </si>
  <si>
    <t>AR-INV-7116</t>
  </si>
  <si>
    <t>AR-INV-7117</t>
  </si>
  <si>
    <t>AR-INV-7118</t>
  </si>
  <si>
    <t>AR-INV-7119</t>
  </si>
  <si>
    <t>AR-INV-7120</t>
  </si>
  <si>
    <t>AR-INV-7121</t>
  </si>
  <si>
    <t>AR-INV-7122</t>
  </si>
  <si>
    <t>AR-INV-7123</t>
  </si>
  <si>
    <t>AR-INV-7124</t>
  </si>
  <si>
    <t>AR-INV-7125</t>
  </si>
  <si>
    <t>AR-INV-7126</t>
  </si>
  <si>
    <t>AR-INV-7127</t>
  </si>
  <si>
    <t>AR-INV-7128</t>
  </si>
  <si>
    <t>AR-INV-7129</t>
  </si>
  <si>
    <t>AR-INV-7130</t>
  </si>
  <si>
    <t>AR-INV-7131</t>
  </si>
  <si>
    <t>AR-INV-7132</t>
  </si>
  <si>
    <t>AR-INV-7133</t>
  </si>
  <si>
    <t>AR-INV-7134</t>
  </si>
  <si>
    <t>AR-INV-7135</t>
  </si>
  <si>
    <t>AR-INV-7136</t>
  </si>
  <si>
    <t>AR-INV-7137</t>
  </si>
  <si>
    <t>AR-INV-7138</t>
  </si>
  <si>
    <t>AR-INV-7139</t>
  </si>
  <si>
    <t>AR-INV-7140</t>
  </si>
  <si>
    <t>AR-INV-7141</t>
  </si>
  <si>
    <t>AR-INV-7142</t>
  </si>
  <si>
    <t>AR-INV-7143</t>
  </si>
  <si>
    <t>AR-INV-7144</t>
  </si>
  <si>
    <t>AR-INV-7145</t>
  </si>
  <si>
    <t>AR-INV-7146</t>
  </si>
  <si>
    <t>AR-INV-7147</t>
  </si>
  <si>
    <t>AR-INV-7148</t>
  </si>
  <si>
    <t>AR-INV-7149</t>
  </si>
  <si>
    <t>AR-INV-7150</t>
  </si>
  <si>
    <t>AR-INV-7151</t>
  </si>
  <si>
    <t>AR-INV-7152</t>
  </si>
  <si>
    <t>AR-INV-7153</t>
  </si>
  <si>
    <t>AR-INV-7154</t>
  </si>
  <si>
    <t>AR-INV-7155</t>
  </si>
  <si>
    <t>AR-INV-7156</t>
  </si>
  <si>
    <t>AR-INV-7157</t>
  </si>
  <si>
    <t>AR-INV-7158</t>
  </si>
  <si>
    <t>AR-INV-7159</t>
  </si>
  <si>
    <t>AR-INV-7160</t>
  </si>
  <si>
    <t>AR-INV-7161</t>
  </si>
  <si>
    <t>AR-INV-7162</t>
  </si>
  <si>
    <t>AR-INV-7163</t>
  </si>
  <si>
    <t>AR-INV-7164</t>
  </si>
  <si>
    <t>AR-INV-7165</t>
  </si>
  <si>
    <t>AR-INV-7166</t>
  </si>
  <si>
    <t>AR-INV-7167</t>
  </si>
  <si>
    <t>AR-INV-7168</t>
  </si>
  <si>
    <t>AR-INV-7169</t>
  </si>
  <si>
    <t>AR-INV-7170</t>
  </si>
  <si>
    <t>AR-INV-7171</t>
  </si>
  <si>
    <t>AR-INV-7172</t>
  </si>
  <si>
    <t>AR-INV-7173</t>
  </si>
  <si>
    <t>AR-INV-7174</t>
  </si>
  <si>
    <t>AR-INV-7175</t>
  </si>
  <si>
    <t>AR-INV-7176</t>
  </si>
  <si>
    <t>AR-INV-7177</t>
  </si>
  <si>
    <t>AR-INV-7178</t>
  </si>
  <si>
    <t>AR-INV-7179</t>
  </si>
  <si>
    <t>AR-INV-7180</t>
  </si>
  <si>
    <t>AR-INV-7181</t>
  </si>
  <si>
    <t>AR-INV-7182</t>
  </si>
  <si>
    <t>AR-INV-7183</t>
  </si>
  <si>
    <t>AR-INV-7184</t>
  </si>
  <si>
    <t>AR-INV-7185</t>
  </si>
  <si>
    <t>AR-INV-7186</t>
  </si>
  <si>
    <t>AR-INV-7187</t>
  </si>
  <si>
    <t>AR-INV-7188</t>
  </si>
  <si>
    <t>AR-INV-7189</t>
  </si>
  <si>
    <t>AR-INV-7190</t>
  </si>
  <si>
    <t>AR-INV-7191</t>
  </si>
  <si>
    <t>AR-INV-7192</t>
  </si>
  <si>
    <t>AR-INV-7193</t>
  </si>
  <si>
    <t>AR-INV-7194</t>
  </si>
  <si>
    <t>AR-INV-7195</t>
  </si>
  <si>
    <t>AR-INV-7196</t>
  </si>
  <si>
    <t>AR-INV-7197</t>
  </si>
  <si>
    <t>AR-INV-7198</t>
  </si>
  <si>
    <t>AR-INV-7199</t>
  </si>
  <si>
    <t>AR-INV-7200</t>
  </si>
  <si>
    <t>AR-INV-7201</t>
  </si>
  <si>
    <t>AR-INV-7202</t>
  </si>
  <si>
    <t>AR-INV-7203</t>
  </si>
  <si>
    <t>AR-INV-7204</t>
  </si>
  <si>
    <t>AR-INV-7205</t>
  </si>
  <si>
    <t>AR-INV-7206</t>
  </si>
  <si>
    <t>AR-INV-7207</t>
  </si>
  <si>
    <t>AR-INV-7208</t>
  </si>
  <si>
    <t>AR-INV-7209</t>
  </si>
  <si>
    <t>AR-INV-7210</t>
  </si>
  <si>
    <t>AR-INV-7211</t>
  </si>
  <si>
    <t>AR-INV-7212</t>
  </si>
  <si>
    <t>AR-INV-7213</t>
  </si>
  <si>
    <t>AR-INV-7214</t>
  </si>
  <si>
    <t>AR-INV-7215</t>
  </si>
  <si>
    <t>AR-INV-7216</t>
  </si>
  <si>
    <t>AR-INV-7217</t>
  </si>
  <si>
    <t>AR-INV-7218</t>
  </si>
  <si>
    <t>AR-INV-7219</t>
  </si>
  <si>
    <t>AR-INV-7220</t>
  </si>
  <si>
    <t>AR-INV-7221</t>
  </si>
  <si>
    <t>AR-INV-7222</t>
  </si>
  <si>
    <t>AR-INV-7223</t>
  </si>
  <si>
    <t>AR-INV-7224</t>
  </si>
  <si>
    <t>AR-INV-7225</t>
  </si>
  <si>
    <t>AR-INV-7226</t>
  </si>
  <si>
    <t>AR-INV-7227</t>
  </si>
  <si>
    <t>AR-INV-7228</t>
  </si>
  <si>
    <t>AR-INV-7229</t>
  </si>
  <si>
    <t>AR-INV-7230</t>
  </si>
  <si>
    <t>AR-INV-7231</t>
  </si>
  <si>
    <t>AR-INV-7232</t>
  </si>
  <si>
    <t>AR-INV-7233</t>
  </si>
  <si>
    <t>AR-INV-7234</t>
  </si>
  <si>
    <t>AR-INV-7235</t>
  </si>
  <si>
    <t>AR-INV-7236</t>
  </si>
  <si>
    <t>AR-INV-7237</t>
  </si>
  <si>
    <t>AR-INV-7238</t>
  </si>
  <si>
    <t>AR-INV-7239</t>
  </si>
  <si>
    <t>AR-INV-7240</t>
  </si>
  <si>
    <t>AR-INV-7241</t>
  </si>
  <si>
    <t>AR-INV-7242</t>
  </si>
  <si>
    <t>AR-INV-7243</t>
  </si>
  <si>
    <t>AR-INV-7244</t>
  </si>
  <si>
    <t>AR-INV-7245</t>
  </si>
  <si>
    <t>AR-INV-7246</t>
  </si>
  <si>
    <t>AR-INV-7247</t>
  </si>
  <si>
    <t>AR-INV-7248</t>
  </si>
  <si>
    <t>AR-INV-7249</t>
  </si>
  <si>
    <t>AR-INV-7250</t>
  </si>
  <si>
    <t>AR-INV-7251</t>
  </si>
  <si>
    <t>AR-INV-7252</t>
  </si>
  <si>
    <t>AR-INV-7253</t>
  </si>
  <si>
    <t>AR-INV-7254</t>
  </si>
  <si>
    <t>AR-INV-7255</t>
  </si>
  <si>
    <t>AR-INV-7256</t>
  </si>
  <si>
    <t>AR-INV-7257</t>
  </si>
  <si>
    <t>AR-INV-7258</t>
  </si>
  <si>
    <t>AR-INV-7259</t>
  </si>
  <si>
    <t>AR-INV-7260</t>
  </si>
  <si>
    <t>AR-INV-7261</t>
  </si>
  <si>
    <t>AR-INV-7262</t>
  </si>
  <si>
    <t>AR-INV-7263</t>
  </si>
  <si>
    <t>AR-INV-7264</t>
  </si>
  <si>
    <t>AR-INV-7265</t>
  </si>
  <si>
    <t>AR-INV-7266</t>
  </si>
  <si>
    <t>AR-INV-7267</t>
  </si>
  <si>
    <t>AR-INV-7268</t>
  </si>
  <si>
    <t>AR-INV-7269</t>
  </si>
  <si>
    <t>AR-INV-7270</t>
  </si>
  <si>
    <t>AR-INV-7271</t>
  </si>
  <si>
    <t>AR-INV-7272</t>
  </si>
  <si>
    <t>AR-INV-7273</t>
  </si>
  <si>
    <t>AR-INV-7274</t>
  </si>
  <si>
    <t>AR-INV-7275</t>
  </si>
  <si>
    <t>AR-INV-7276</t>
  </si>
  <si>
    <t>AR-INV-7277</t>
  </si>
  <si>
    <t>AR-INV-7278</t>
  </si>
  <si>
    <t>AR-INV-7279</t>
  </si>
  <si>
    <t>AR-INV-7280</t>
  </si>
  <si>
    <t>AR-INV-7281</t>
  </si>
  <si>
    <t>AR-INV-7282</t>
  </si>
  <si>
    <t>AR-INV-7283</t>
  </si>
  <si>
    <t>AR-INV-7284</t>
  </si>
  <si>
    <t>AR-INV-7285</t>
  </si>
  <si>
    <t>AR-INV-7286</t>
  </si>
  <si>
    <t>AR-INV-7287</t>
  </si>
  <si>
    <t>AR-INV-7288</t>
  </si>
  <si>
    <t>AR-INV-7289</t>
  </si>
  <si>
    <t>AR-INV-7290</t>
  </si>
  <si>
    <t>AR-INV-7291</t>
  </si>
  <si>
    <t>AR-INV-7292</t>
  </si>
  <si>
    <t>AR-INV-7293</t>
  </si>
  <si>
    <t>AR-INV-7294</t>
  </si>
  <si>
    <t>AR-INV-7295</t>
  </si>
  <si>
    <t>AR-INV-7296</t>
  </si>
  <si>
    <t>AR-INV-7297</t>
  </si>
  <si>
    <t>AR-INV-7298</t>
  </si>
  <si>
    <t>AR-INV-7299</t>
  </si>
  <si>
    <t>AR-INV-7300</t>
  </si>
  <si>
    <t>AR-INV-7301</t>
  </si>
  <si>
    <t>AR-INV-7302</t>
  </si>
  <si>
    <t>AR-INV-7303</t>
  </si>
  <si>
    <t>AR-INV-7304</t>
  </si>
  <si>
    <t>AR-INV-7305</t>
  </si>
  <si>
    <t>AR-INV-7306</t>
  </si>
  <si>
    <t>AR-INV-7307</t>
  </si>
  <si>
    <t>AR-INV-7308</t>
  </si>
  <si>
    <t>AR-INV-7309</t>
  </si>
  <si>
    <t>AR-INV-7310</t>
  </si>
  <si>
    <t>AR-INV-7311</t>
  </si>
  <si>
    <t>AR-INV-7312</t>
  </si>
  <si>
    <t>AR-INV-7313</t>
  </si>
  <si>
    <t>AR-INV-7314</t>
  </si>
  <si>
    <t>AR-INV-7315</t>
  </si>
  <si>
    <t>AR-INV-7316</t>
  </si>
  <si>
    <t>AR-INV-7317</t>
  </si>
  <si>
    <t>AR-INV-7318</t>
  </si>
  <si>
    <t>AR-INV-7319</t>
  </si>
  <si>
    <t>AR-INV-7320</t>
  </si>
  <si>
    <t>AR-INV-7321</t>
  </si>
  <si>
    <t>AR-INV-7322</t>
  </si>
  <si>
    <t>AR-INV-7323</t>
  </si>
  <si>
    <t>AR-INV-7324</t>
  </si>
  <si>
    <t>AR-INV-7325</t>
  </si>
  <si>
    <t>AR-INV-7326</t>
  </si>
  <si>
    <t>AR-INV-7327</t>
  </si>
  <si>
    <t>AR-INV-7328</t>
  </si>
  <si>
    <t>AR-INV-7329</t>
  </si>
  <si>
    <t>AR-INV-7330</t>
  </si>
  <si>
    <t>AR-INV-7331</t>
  </si>
  <si>
    <t>AR-INV-7332</t>
  </si>
  <si>
    <t>AR-INV-7333</t>
  </si>
  <si>
    <t>AR-INV-7334</t>
  </si>
  <si>
    <t>AR-INV-7335</t>
  </si>
  <si>
    <t>AR-INV-7336</t>
  </si>
  <si>
    <t>AR-INV-7337</t>
  </si>
  <si>
    <t>AR-INV-7338</t>
  </si>
  <si>
    <t>AR-INV-7339</t>
  </si>
  <si>
    <t>AR-INV-7340</t>
  </si>
  <si>
    <t>AR-INV-7341</t>
  </si>
  <si>
    <t>AR-INV-7342</t>
  </si>
  <si>
    <t>AR-INV-7343</t>
  </si>
  <si>
    <t>AR-INV-7344</t>
  </si>
  <si>
    <t>AR-INV-7345</t>
  </si>
  <si>
    <t>AR-INV-7346</t>
  </si>
  <si>
    <t>AR-INV-7347</t>
  </si>
  <si>
    <t>AR-INV-7348</t>
  </si>
  <si>
    <t>AR-INV-7349</t>
  </si>
  <si>
    <t>AR-INV-7350</t>
  </si>
  <si>
    <t>AR-INV-7351</t>
  </si>
  <si>
    <t>AR-INV-7352</t>
  </si>
  <si>
    <t>AR-INV-7353</t>
  </si>
  <si>
    <t>AR-INV-7354</t>
  </si>
  <si>
    <t>AR-INV-7355</t>
  </si>
  <si>
    <t>AR-INV-7356</t>
  </si>
  <si>
    <t>AR-INV-7357</t>
  </si>
  <si>
    <t>AR-INV-7358</t>
  </si>
  <si>
    <t>AR-INV-7359</t>
  </si>
  <si>
    <t>AR-INV-7360</t>
  </si>
  <si>
    <t>AR-INV-7361</t>
  </si>
  <si>
    <t>AR-INV-7362</t>
  </si>
  <si>
    <t>AR-INV-7363</t>
  </si>
  <si>
    <t>AR-INV-7364</t>
  </si>
  <si>
    <t>AR-INV-7365</t>
  </si>
  <si>
    <t>AR-INV-7366</t>
  </si>
  <si>
    <t>AR-INV-7367</t>
  </si>
  <si>
    <t>AR-INV-7368</t>
  </si>
  <si>
    <t>AR-INV-7369</t>
  </si>
  <si>
    <t>AR-INV-7370</t>
  </si>
  <si>
    <t>AR-INV-7371</t>
  </si>
  <si>
    <t>AR-INV-7372</t>
  </si>
  <si>
    <t>AR-INV-7373</t>
  </si>
  <si>
    <t>AR-INV-7374</t>
  </si>
  <si>
    <t>AR-INV-7375</t>
  </si>
  <si>
    <t>AR-INV-7376</t>
  </si>
  <si>
    <t>AR-INV-7377</t>
  </si>
  <si>
    <t>AR-INV-7378</t>
  </si>
  <si>
    <t>AR-INV-7379</t>
  </si>
  <si>
    <t>AR-INV-7380</t>
  </si>
  <si>
    <t>AR-INV-7381</t>
  </si>
  <si>
    <t>AR-INV-7382</t>
  </si>
  <si>
    <t>AR-INV-7383</t>
  </si>
  <si>
    <t>AR-INV-7384</t>
  </si>
  <si>
    <t>AR-INV-7385</t>
  </si>
  <si>
    <t>AR-INV-7386</t>
  </si>
  <si>
    <t>AR-INV-7387</t>
  </si>
  <si>
    <t>AR-INV-7388</t>
  </si>
  <si>
    <t>AR-INV-7389</t>
  </si>
  <si>
    <t>AR-INV-7390</t>
  </si>
  <si>
    <t>AR-INV-7391</t>
  </si>
  <si>
    <t>AR-INV-7392</t>
  </si>
  <si>
    <t>AR-INV-7393</t>
  </si>
  <si>
    <t>AR-INV-7394</t>
  </si>
  <si>
    <t>AR-INV-7395</t>
  </si>
  <si>
    <t>AR-INV-7396</t>
  </si>
  <si>
    <t>AR-INV-7397</t>
  </si>
  <si>
    <t>AR-INV-7398</t>
  </si>
  <si>
    <t>AR-INV-7399</t>
  </si>
  <si>
    <t>AR-INV-7400</t>
  </si>
  <si>
    <t>AR-INV-7401</t>
  </si>
  <si>
    <t>AR-INV-7402</t>
  </si>
  <si>
    <t>AR-INV-7403</t>
  </si>
  <si>
    <t>AR-INV-7404</t>
  </si>
  <si>
    <t>AR-INV-7405</t>
  </si>
  <si>
    <t>AR-INV-7406</t>
  </si>
  <si>
    <t>AR-INV-7407</t>
  </si>
  <si>
    <t>AR-INV-7408</t>
  </si>
  <si>
    <t>AR-INV-7409</t>
  </si>
  <si>
    <t>AR-INV-7410</t>
  </si>
  <si>
    <t>AR-INV-7411</t>
  </si>
  <si>
    <t>AR-INV-7412</t>
  </si>
  <si>
    <t>AR-INV-7413</t>
  </si>
  <si>
    <t>AR-INV-7414</t>
  </si>
  <si>
    <t>AR-INV-7415</t>
  </si>
  <si>
    <t>AR-INV-7416</t>
  </si>
  <si>
    <t>AR-INV-7417</t>
  </si>
  <si>
    <t>AR-INV-7418</t>
  </si>
  <si>
    <t>AR-INV-7419</t>
  </si>
  <si>
    <t>AR-INV-7420</t>
  </si>
  <si>
    <t>AR-INV-7421</t>
  </si>
  <si>
    <t>AR-INV-7422</t>
  </si>
  <si>
    <t>AR-INV-7423</t>
  </si>
  <si>
    <t>AR-INV-7424</t>
  </si>
  <si>
    <t>AR-INV-7425</t>
  </si>
  <si>
    <t>AR-INV-7426</t>
  </si>
  <si>
    <t>AR-INV-7427</t>
  </si>
  <si>
    <t>AR-INV-7428</t>
  </si>
  <si>
    <t>AR-INV-7429</t>
  </si>
  <si>
    <t>AR-INV-7430</t>
  </si>
  <si>
    <t>AR-INV-7431</t>
  </si>
  <si>
    <t>AR-INV-7432</t>
  </si>
  <si>
    <t>AR-INV-7433</t>
  </si>
  <si>
    <t>AR-INV-7434</t>
  </si>
  <si>
    <t>AR-INV-7435</t>
  </si>
  <si>
    <t>AR-INV-7436</t>
  </si>
  <si>
    <t>AR-INV-7437</t>
  </si>
  <si>
    <t>AR-INV-7438</t>
  </si>
  <si>
    <t>AR-INV-7439</t>
  </si>
  <si>
    <t>AR-INV-7440</t>
  </si>
  <si>
    <t>AR-INV-7441</t>
  </si>
  <si>
    <t>AR-INV-7442</t>
  </si>
  <si>
    <t>AR-INV-7443</t>
  </si>
  <si>
    <t>AR-INV-7444</t>
  </si>
  <si>
    <t>AR-INV-7445</t>
  </si>
  <si>
    <t>AR-INV-7446</t>
  </si>
  <si>
    <t>AR-INV-7447</t>
  </si>
  <si>
    <t>AR-INV-7448</t>
  </si>
  <si>
    <t>AR-INV-7449</t>
  </si>
  <si>
    <t>AR-INV-7450</t>
  </si>
  <si>
    <t>AR-INV-7451</t>
  </si>
  <si>
    <t>AR-INV-7452</t>
  </si>
  <si>
    <t>AR-INV-7453</t>
  </si>
  <si>
    <t>AR-INV-7454</t>
  </si>
  <si>
    <t>AR-INV-7455</t>
  </si>
  <si>
    <t>AR-INV-7456</t>
  </si>
  <si>
    <t>AR-INV-7457</t>
  </si>
  <si>
    <t>AR-INV-7458</t>
  </si>
  <si>
    <t>AR-INV-7459</t>
  </si>
  <si>
    <t>AR-INV-7460</t>
  </si>
  <si>
    <t>AR-INV-7461</t>
  </si>
  <si>
    <t>AR-INV-7462</t>
  </si>
  <si>
    <t>AR-INV-7463</t>
  </si>
  <si>
    <t>AR-INV-7464</t>
  </si>
  <si>
    <t>AR-INV-7465</t>
  </si>
  <si>
    <t>AR-INV-7466</t>
  </si>
  <si>
    <t>AR-INV-7467</t>
  </si>
  <si>
    <t>AR-INV-7468</t>
  </si>
  <si>
    <t>AR-INV-7469</t>
  </si>
  <si>
    <t>AR-INV-7470</t>
  </si>
  <si>
    <t>AR-INV-7471</t>
  </si>
  <si>
    <t>AR-INV-7472</t>
  </si>
  <si>
    <t>AR-INV-7473</t>
  </si>
  <si>
    <t>AR-INV-7474</t>
  </si>
  <si>
    <t>AR-INV-7475</t>
  </si>
  <si>
    <t>AR-INV-7476</t>
  </si>
  <si>
    <t>AR-INV-7477</t>
  </si>
  <si>
    <t>AR-INV-7478</t>
  </si>
  <si>
    <t>AR-INV-7479</t>
  </si>
  <si>
    <t>AR-INV-7480</t>
  </si>
  <si>
    <t>AR-INV-7481</t>
  </si>
  <si>
    <t>AR-INV-7482</t>
  </si>
  <si>
    <t>AR-INV-7483</t>
  </si>
  <si>
    <t>AR-INV-7484</t>
  </si>
  <si>
    <t>AR-INV-7485</t>
  </si>
  <si>
    <t>AR-INV-7486</t>
  </si>
  <si>
    <t>AR-INV-7487</t>
  </si>
  <si>
    <t>AR-INV-7488</t>
  </si>
  <si>
    <t>AR-INV-7489</t>
  </si>
  <si>
    <t>AR-INV-7490</t>
  </si>
  <si>
    <t>AR-INV-7491</t>
  </si>
  <si>
    <t>AR-INV-7492</t>
  </si>
  <si>
    <t>AR-INV-7493</t>
  </si>
  <si>
    <t>AR-INV-7494</t>
  </si>
  <si>
    <t>AR-INV-7495</t>
  </si>
  <si>
    <t>AR-INV-7496</t>
  </si>
  <si>
    <t>AR-INV-7497</t>
  </si>
  <si>
    <t>AR-INV-7498</t>
  </si>
  <si>
    <t>AR-INV-7499</t>
  </si>
  <si>
    <t>AR-INV-7500</t>
  </si>
  <si>
    <t>CustomerName</t>
  </si>
  <si>
    <t>Retail Giant A</t>
  </si>
  <si>
    <t>Supermarket Chain B</t>
  </si>
  <si>
    <t>Gourmet Shop C</t>
  </si>
  <si>
    <t>Online Retailer D</t>
  </si>
  <si>
    <t>Hotel Group E</t>
  </si>
  <si>
    <t>BudgetID</t>
  </si>
  <si>
    <t>Department</t>
  </si>
  <si>
    <t>FiscalYear</t>
  </si>
  <si>
    <t>BudgetAmount</t>
  </si>
  <si>
    <t>BUD-1</t>
  </si>
  <si>
    <t>Sales</t>
  </si>
  <si>
    <t>BUD-2</t>
  </si>
  <si>
    <t>Marketing</t>
  </si>
  <si>
    <t>BUD-3</t>
  </si>
  <si>
    <t>Production</t>
  </si>
  <si>
    <t>BUD-4</t>
  </si>
  <si>
    <t>HR</t>
  </si>
  <si>
    <t>BUD-5</t>
  </si>
  <si>
    <t>Finance</t>
  </si>
  <si>
    <t>BUD-6</t>
  </si>
  <si>
    <t>IT</t>
  </si>
  <si>
    <t>ForecastID</t>
  </si>
  <si>
    <t>Q1_Forecast</t>
  </si>
  <si>
    <t>Q2_Forecast</t>
  </si>
  <si>
    <t>Q3_Forecast</t>
  </si>
  <si>
    <t>Q4_Forecast</t>
  </si>
  <si>
    <t>FOR-1</t>
  </si>
  <si>
    <t>FOR-2</t>
  </si>
  <si>
    <t>FOR-3</t>
  </si>
  <si>
    <t>FOR-4</t>
  </si>
  <si>
    <t>FOR-5</t>
  </si>
  <si>
    <t>FOR-6</t>
  </si>
  <si>
    <t>StatementLine</t>
  </si>
  <si>
    <t>Amount</t>
  </si>
  <si>
    <t>Total Revenue</t>
  </si>
  <si>
    <t>Gross Profit</t>
  </si>
  <si>
    <t>AssetID</t>
  </si>
  <si>
    <t>AssetName</t>
  </si>
  <si>
    <t>PurchaseDate</t>
  </si>
  <si>
    <t>Cost</t>
  </si>
  <si>
    <t>UsefulLife_Years</t>
  </si>
  <si>
    <t>ASSET-101</t>
  </si>
  <si>
    <t>Office Furniture 1</t>
  </si>
  <si>
    <t>ASSET-102</t>
  </si>
  <si>
    <t>Computer Equipment 2</t>
  </si>
  <si>
    <t>ASSET-103</t>
  </si>
  <si>
    <t>Computer Equipment 3</t>
  </si>
  <si>
    <t>ASSET-104</t>
  </si>
  <si>
    <t>Vehicles 4</t>
  </si>
  <si>
    <t>ASSET-105</t>
  </si>
  <si>
    <t>Computer Equipment 5</t>
  </si>
  <si>
    <t>ASSET-106</t>
  </si>
  <si>
    <t>Computer Equipment 6</t>
  </si>
  <si>
    <t>ASSET-107</t>
  </si>
  <si>
    <t>Vehicles 7</t>
  </si>
  <si>
    <t>ASSET-108</t>
  </si>
  <si>
    <t>Production Machinery 8</t>
  </si>
  <si>
    <t>ASSET-109</t>
  </si>
  <si>
    <t>Vehicles 9</t>
  </si>
  <si>
    <t>ASSET-110</t>
  </si>
  <si>
    <t>Vehicles 10</t>
  </si>
  <si>
    <t>ASSET-111</t>
  </si>
  <si>
    <t>Office Furniture 11</t>
  </si>
  <si>
    <t>ASSET-112</t>
  </si>
  <si>
    <t>Computer Equipment 12</t>
  </si>
  <si>
    <t>ASSET-113</t>
  </si>
  <si>
    <t>Computer Equipment 13</t>
  </si>
  <si>
    <t>ASSET-114</t>
  </si>
  <si>
    <t>Production Machinery 14</t>
  </si>
  <si>
    <t>ASSET-115</t>
  </si>
  <si>
    <t>Computer Equipment 15</t>
  </si>
  <si>
    <t>ASSET-116</t>
  </si>
  <si>
    <t>Office Furniture 16</t>
  </si>
  <si>
    <t>ASSET-117</t>
  </si>
  <si>
    <t>Office Furniture 17</t>
  </si>
  <si>
    <t>ASSET-118</t>
  </si>
  <si>
    <t>Office Furniture 18</t>
  </si>
  <si>
    <t>ASSET-119</t>
  </si>
  <si>
    <t>Production Machinery 19</t>
  </si>
  <si>
    <t>ASSET-120</t>
  </si>
  <si>
    <t>Computer Equipment 20</t>
  </si>
  <si>
    <t>ASSET-121</t>
  </si>
  <si>
    <t>Computer Equipment 21</t>
  </si>
  <si>
    <t>ASSET-122</t>
  </si>
  <si>
    <t>Production Machinery 22</t>
  </si>
  <si>
    <t>ASSET-123</t>
  </si>
  <si>
    <t>Computer Equipment 23</t>
  </si>
  <si>
    <t>ASSET-124</t>
  </si>
  <si>
    <t>Computer Equipment 24</t>
  </si>
  <si>
    <t>ASSET-125</t>
  </si>
  <si>
    <t>Vehicles 25</t>
  </si>
  <si>
    <t>ASSET-126</t>
  </si>
  <si>
    <t>Vehicles 26</t>
  </si>
  <si>
    <t>ASSET-127</t>
  </si>
  <si>
    <t>Vehicles 27</t>
  </si>
  <si>
    <t>ASSET-128</t>
  </si>
  <si>
    <t>Vehicles 28</t>
  </si>
  <si>
    <t>ASSET-129</t>
  </si>
  <si>
    <t>Office Furniture 29</t>
  </si>
  <si>
    <t>ASSET-130</t>
  </si>
  <si>
    <t>Production Machinery 30</t>
  </si>
  <si>
    <t>ASSET-131</t>
  </si>
  <si>
    <t>Vehicles 31</t>
  </si>
  <si>
    <t>ASSET-132</t>
  </si>
  <si>
    <t>Production Machinery 32</t>
  </si>
  <si>
    <t>ASSET-133</t>
  </si>
  <si>
    <t>Production Machinery 33</t>
  </si>
  <si>
    <t>ASSET-134</t>
  </si>
  <si>
    <t>Production Machinery 34</t>
  </si>
  <si>
    <t>ASSET-135</t>
  </si>
  <si>
    <t>Office Furniture 35</t>
  </si>
  <si>
    <t>ASSET-136</t>
  </si>
  <si>
    <t>Computer Equipment 36</t>
  </si>
  <si>
    <t>ASSET-137</t>
  </si>
  <si>
    <t>Production Machinery 37</t>
  </si>
  <si>
    <t>ASSET-138</t>
  </si>
  <si>
    <t>Vehicles 38</t>
  </si>
  <si>
    <t>ASSET-139</t>
  </si>
  <si>
    <t>Production Machinery 39</t>
  </si>
  <si>
    <t>ASSET-140</t>
  </si>
  <si>
    <t>Computer Equipment 40</t>
  </si>
  <si>
    <t>ASSET-141</t>
  </si>
  <si>
    <t>Vehicles 41</t>
  </si>
  <si>
    <t>ASSET-142</t>
  </si>
  <si>
    <t>Vehicles 42</t>
  </si>
  <si>
    <t>ASSET-143</t>
  </si>
  <si>
    <t>Computer Equipment 43</t>
  </si>
  <si>
    <t>ASSET-144</t>
  </si>
  <si>
    <t>Vehicles 44</t>
  </si>
  <si>
    <t>ASSET-145</t>
  </si>
  <si>
    <t>Computer Equipment 45</t>
  </si>
  <si>
    <t>ASSET-146</t>
  </si>
  <si>
    <t>Production Machinery 46</t>
  </si>
  <si>
    <t>ASSET-147</t>
  </si>
  <si>
    <t>Production Machinery 47</t>
  </si>
  <si>
    <t>ASSET-148</t>
  </si>
  <si>
    <t>Vehicles 48</t>
  </si>
  <si>
    <t>ASSET-149</t>
  </si>
  <si>
    <t>Office Furniture 49</t>
  </si>
  <si>
    <t>ASSET-150</t>
  </si>
  <si>
    <t>Computer Equipment 50</t>
  </si>
  <si>
    <t>DepreciationID</t>
  </si>
  <si>
    <t>Year</t>
  </si>
  <si>
    <t>DepreciationAmount</t>
  </si>
  <si>
    <t>DEP-1</t>
  </si>
  <si>
    <t>DEP-2</t>
  </si>
  <si>
    <t>DEP-3</t>
  </si>
  <si>
    <t>DEP-4</t>
  </si>
  <si>
    <t>DEP-5</t>
  </si>
  <si>
    <t>DEP-6</t>
  </si>
  <si>
    <t>DEP-7</t>
  </si>
  <si>
    <t>DEP-8</t>
  </si>
  <si>
    <t>DEP-9</t>
  </si>
  <si>
    <t>DEP-10</t>
  </si>
  <si>
    <t>DEP-11</t>
  </si>
  <si>
    <t>DEP-12</t>
  </si>
  <si>
    <t>DEP-13</t>
  </si>
  <si>
    <t>DEP-14</t>
  </si>
  <si>
    <t>DEP-15</t>
  </si>
  <si>
    <t>DEP-16</t>
  </si>
  <si>
    <t>DEP-17</t>
  </si>
  <si>
    <t>DEP-18</t>
  </si>
  <si>
    <t>DEP-19</t>
  </si>
  <si>
    <t>DEP-20</t>
  </si>
  <si>
    <t>DEP-21</t>
  </si>
  <si>
    <t>DEP-22</t>
  </si>
  <si>
    <t>DEP-23</t>
  </si>
  <si>
    <t>DEP-24</t>
  </si>
  <si>
    <t>DEP-25</t>
  </si>
  <si>
    <t>DEP-26</t>
  </si>
  <si>
    <t>DEP-27</t>
  </si>
  <si>
    <t>DEP-28</t>
  </si>
  <si>
    <t>DEP-29</t>
  </si>
  <si>
    <t>DEP-30</t>
  </si>
  <si>
    <t>DEP-31</t>
  </si>
  <si>
    <t>DEP-32</t>
  </si>
  <si>
    <t>DEP-33</t>
  </si>
  <si>
    <t>DEP-34</t>
  </si>
  <si>
    <t>DEP-35</t>
  </si>
  <si>
    <t>DEP-36</t>
  </si>
  <si>
    <t>DEP-37</t>
  </si>
  <si>
    <t>DEP-38</t>
  </si>
  <si>
    <t>DEP-39</t>
  </si>
  <si>
    <t>DEP-40</t>
  </si>
  <si>
    <t>DEP-41</t>
  </si>
  <si>
    <t>DEP-42</t>
  </si>
  <si>
    <t>DEP-43</t>
  </si>
  <si>
    <t>DEP-44</t>
  </si>
  <si>
    <t>DEP-45</t>
  </si>
  <si>
    <t>DEP-46</t>
  </si>
  <si>
    <t>DEP-47</t>
  </si>
  <si>
    <t>DEP-48</t>
  </si>
  <si>
    <t>DEP-49</t>
  </si>
  <si>
    <t>DEP-50</t>
  </si>
  <si>
    <t>DEP-51</t>
  </si>
  <si>
    <t>DEP-52</t>
  </si>
  <si>
    <t>DEP-53</t>
  </si>
  <si>
    <t>DEP-54</t>
  </si>
  <si>
    <t>DEP-55</t>
  </si>
  <si>
    <t>DEP-56</t>
  </si>
  <si>
    <t>DEP-57</t>
  </si>
  <si>
    <t>DEP-58</t>
  </si>
  <si>
    <t>DEP-59</t>
  </si>
  <si>
    <t>DEP-60</t>
  </si>
  <si>
    <t>DEP-61</t>
  </si>
  <si>
    <t>DEP-62</t>
  </si>
  <si>
    <t>DEP-63</t>
  </si>
  <si>
    <t>DEP-64</t>
  </si>
  <si>
    <t>DEP-65</t>
  </si>
  <si>
    <t>DEP-66</t>
  </si>
  <si>
    <t>DEP-67</t>
  </si>
  <si>
    <t>DEP-68</t>
  </si>
  <si>
    <t>DEP-69</t>
  </si>
  <si>
    <t>DEP-70</t>
  </si>
  <si>
    <t>DEP-71</t>
  </si>
  <si>
    <t>DEP-72</t>
  </si>
  <si>
    <t>DEP-73</t>
  </si>
  <si>
    <t>DEP-74</t>
  </si>
  <si>
    <t>DEP-75</t>
  </si>
  <si>
    <t>DEP-76</t>
  </si>
  <si>
    <t>DEP-77</t>
  </si>
  <si>
    <t>DEP-78</t>
  </si>
  <si>
    <t>DEP-79</t>
  </si>
  <si>
    <t>DEP-80</t>
  </si>
  <si>
    <t>DEP-81</t>
  </si>
  <si>
    <t>DEP-82</t>
  </si>
  <si>
    <t>DEP-83</t>
  </si>
  <si>
    <t>DEP-84</t>
  </si>
  <si>
    <t>DEP-85</t>
  </si>
  <si>
    <t>DEP-86</t>
  </si>
  <si>
    <t>DEP-87</t>
  </si>
  <si>
    <t>DEP-88</t>
  </si>
  <si>
    <t>DEP-89</t>
  </si>
  <si>
    <t>DEP-90</t>
  </si>
  <si>
    <t>DEP-91</t>
  </si>
  <si>
    <t>DEP-92</t>
  </si>
  <si>
    <t>DEP-93</t>
  </si>
  <si>
    <t>DEP-94</t>
  </si>
  <si>
    <t>DEP-95</t>
  </si>
  <si>
    <t>DEP-96</t>
  </si>
  <si>
    <t>DEP-97</t>
  </si>
  <si>
    <t>DEP-98</t>
  </si>
  <si>
    <t>DEP-99</t>
  </si>
  <si>
    <t>DEP-100</t>
  </si>
  <si>
    <t>DEP-101</t>
  </si>
  <si>
    <t>DEP-102</t>
  </si>
  <si>
    <t>DEP-103</t>
  </si>
  <si>
    <t>DEP-104</t>
  </si>
  <si>
    <t>DEP-105</t>
  </si>
  <si>
    <t>DEP-106</t>
  </si>
  <si>
    <t>DEP-107</t>
  </si>
  <si>
    <t>DEP-108</t>
  </si>
  <si>
    <t>DEP-109</t>
  </si>
  <si>
    <t>DEP-110</t>
  </si>
  <si>
    <t>DEP-111</t>
  </si>
  <si>
    <t>DEP-112</t>
  </si>
  <si>
    <t>DEP-113</t>
  </si>
  <si>
    <t>DEP-114</t>
  </si>
  <si>
    <t>DEP-115</t>
  </si>
  <si>
    <t>DEP-116</t>
  </si>
  <si>
    <t>DEP-117</t>
  </si>
  <si>
    <t>DEP-118</t>
  </si>
  <si>
    <t>DEP-119</t>
  </si>
  <si>
    <t>DEP-120</t>
  </si>
  <si>
    <t>DEP-121</t>
  </si>
  <si>
    <t>DEP-122</t>
  </si>
  <si>
    <t>DEP-123</t>
  </si>
  <si>
    <t>DEP-124</t>
  </si>
  <si>
    <t>DEP-125</t>
  </si>
  <si>
    <t>DEP-126</t>
  </si>
  <si>
    <t>DEP-127</t>
  </si>
  <si>
    <t>DEP-128</t>
  </si>
  <si>
    <t>DEP-129</t>
  </si>
  <si>
    <t>DEP-130</t>
  </si>
  <si>
    <t>DEP-131</t>
  </si>
  <si>
    <t>DEP-132</t>
  </si>
  <si>
    <t>DEP-133</t>
  </si>
  <si>
    <t>DEP-134</t>
  </si>
  <si>
    <t>DEP-135</t>
  </si>
  <si>
    <t>DEP-136</t>
  </si>
  <si>
    <t>DEP-137</t>
  </si>
  <si>
    <t>DEP-138</t>
  </si>
  <si>
    <t>DEP-139</t>
  </si>
  <si>
    <t>DEP-140</t>
  </si>
  <si>
    <t>DEP-141</t>
  </si>
  <si>
    <t>DEP-142</t>
  </si>
  <si>
    <t>DEP-143</t>
  </si>
  <si>
    <t>DEP-144</t>
  </si>
  <si>
    <t>DEP-145</t>
  </si>
  <si>
    <t>DEP-146</t>
  </si>
  <si>
    <t>DEP-147</t>
  </si>
  <si>
    <t>DEP-148</t>
  </si>
  <si>
    <t>DEP-149</t>
  </si>
  <si>
    <t>DEP-150</t>
  </si>
  <si>
    <t>DEP-151</t>
  </si>
  <si>
    <t>DEP-152</t>
  </si>
  <si>
    <t>DEP-153</t>
  </si>
  <si>
    <t>DEP-154</t>
  </si>
  <si>
    <t>DEP-155</t>
  </si>
  <si>
    <t>DEP-156</t>
  </si>
  <si>
    <t>DEP-157</t>
  </si>
  <si>
    <t>DEP-158</t>
  </si>
  <si>
    <t>DEP-159</t>
  </si>
  <si>
    <t>DEP-160</t>
  </si>
  <si>
    <t>DEP-161</t>
  </si>
  <si>
    <t>DEP-162</t>
  </si>
  <si>
    <t>DEP-163</t>
  </si>
  <si>
    <t>DEP-164</t>
  </si>
  <si>
    <t>DEP-165</t>
  </si>
  <si>
    <t>DEP-166</t>
  </si>
  <si>
    <t>DEP-167</t>
  </si>
  <si>
    <t>DEP-168</t>
  </si>
  <si>
    <t>DEP-169</t>
  </si>
  <si>
    <t>DEP-170</t>
  </si>
  <si>
    <t>DEP-171</t>
  </si>
  <si>
    <t>DEP-172</t>
  </si>
  <si>
    <t>DEP-173</t>
  </si>
  <si>
    <t>DEP-174</t>
  </si>
  <si>
    <t>DEP-175</t>
  </si>
  <si>
    <t>DEP-176</t>
  </si>
  <si>
    <t>DEP-177</t>
  </si>
  <si>
    <t>DEP-178</t>
  </si>
  <si>
    <t>DEP-179</t>
  </si>
  <si>
    <t>DEP-180</t>
  </si>
  <si>
    <t>DEP-181</t>
  </si>
  <si>
    <t>DEP-182</t>
  </si>
  <si>
    <t>DEP-183</t>
  </si>
  <si>
    <t>DEP-184</t>
  </si>
  <si>
    <t>DEP-185</t>
  </si>
  <si>
    <t>DEP-186</t>
  </si>
  <si>
    <t>DEP-187</t>
  </si>
  <si>
    <t>DEP-188</t>
  </si>
  <si>
    <t>DEP-189</t>
  </si>
  <si>
    <t>DEP-190</t>
  </si>
  <si>
    <t>DEP-191</t>
  </si>
  <si>
    <t>DEP-192</t>
  </si>
  <si>
    <t>DEP-193</t>
  </si>
  <si>
    <t>DEP-194</t>
  </si>
  <si>
    <t>DEP-195</t>
  </si>
  <si>
    <t>DEP-196</t>
  </si>
  <si>
    <t>DEP-197</t>
  </si>
  <si>
    <t>DEP-198</t>
  </si>
  <si>
    <t>DEP-199</t>
  </si>
  <si>
    <t>DEP-200</t>
  </si>
  <si>
    <t>DEP-201</t>
  </si>
  <si>
    <t>DEP-202</t>
  </si>
  <si>
    <t>DEP-203</t>
  </si>
  <si>
    <t>DEP-204</t>
  </si>
  <si>
    <t>DEP-205</t>
  </si>
  <si>
    <t>DEP-206</t>
  </si>
  <si>
    <t>DEP-207</t>
  </si>
  <si>
    <t>DEP-208</t>
  </si>
  <si>
    <t>DEP-209</t>
  </si>
  <si>
    <t>DEP-210</t>
  </si>
  <si>
    <t>DEP-211</t>
  </si>
  <si>
    <t>DEP-212</t>
  </si>
  <si>
    <t>DEP-213</t>
  </si>
  <si>
    <t>DEP-214</t>
  </si>
  <si>
    <t>DEP-215</t>
  </si>
  <si>
    <t>DEP-216</t>
  </si>
  <si>
    <t>DEP-217</t>
  </si>
  <si>
    <t>DEP-218</t>
  </si>
  <si>
    <t>DEP-219</t>
  </si>
  <si>
    <t>DEP-220</t>
  </si>
  <si>
    <t>DEP-221</t>
  </si>
  <si>
    <t>DEP-222</t>
  </si>
  <si>
    <t>DEP-223</t>
  </si>
  <si>
    <t>DEP-224</t>
  </si>
  <si>
    <t>DEP-225</t>
  </si>
  <si>
    <t>DEP-226</t>
  </si>
  <si>
    <t>DEP-227</t>
  </si>
  <si>
    <t>DEP-228</t>
  </si>
  <si>
    <t>DEP-229</t>
  </si>
  <si>
    <t>DEP-230</t>
  </si>
  <si>
    <t>DEP-231</t>
  </si>
  <si>
    <t>DEP-232</t>
  </si>
  <si>
    <t>DEP-233</t>
  </si>
  <si>
    <t>DEP-234</t>
  </si>
  <si>
    <t>DEP-235</t>
  </si>
  <si>
    <t>DEP-236</t>
  </si>
  <si>
    <t>DEP-237</t>
  </si>
  <si>
    <t>DEP-238</t>
  </si>
  <si>
    <t>DEP-239</t>
  </si>
  <si>
    <t>DEP-240</t>
  </si>
  <si>
    <t>DEP-241</t>
  </si>
  <si>
    <t>DEP-242</t>
  </si>
  <si>
    <t>DEP-243</t>
  </si>
  <si>
    <t>DEP-244</t>
  </si>
  <si>
    <t>DEP-245</t>
  </si>
  <si>
    <t>DEP-246</t>
  </si>
  <si>
    <t>DEP-247</t>
  </si>
  <si>
    <t>DEP-248</t>
  </si>
  <si>
    <t>DEP-249</t>
  </si>
  <si>
    <t>DEP-250</t>
  </si>
  <si>
    <t>DEP-251</t>
  </si>
  <si>
    <t>DEP-252</t>
  </si>
  <si>
    <t>DEP-253</t>
  </si>
  <si>
    <t>DEP-254</t>
  </si>
  <si>
    <t>DEP-255</t>
  </si>
  <si>
    <t>DEP-256</t>
  </si>
  <si>
    <t>DEP-257</t>
  </si>
  <si>
    <t>DEP-258</t>
  </si>
  <si>
    <t>DEP-259</t>
  </si>
  <si>
    <t>DEP-260</t>
  </si>
  <si>
    <t>DEP-261</t>
  </si>
  <si>
    <t>DEP-262</t>
  </si>
  <si>
    <t>DEP-263</t>
  </si>
  <si>
    <t>DEP-264</t>
  </si>
  <si>
    <t>DEP-265</t>
  </si>
  <si>
    <t>DEP-266</t>
  </si>
  <si>
    <t>DEP-267</t>
  </si>
  <si>
    <t>DEP-268</t>
  </si>
  <si>
    <t>DEP-269</t>
  </si>
  <si>
    <t>DEP-270</t>
  </si>
  <si>
    <t>DEP-271</t>
  </si>
  <si>
    <t>DEP-272</t>
  </si>
  <si>
    <t>DEP-273</t>
  </si>
  <si>
    <t>DEP-274</t>
  </si>
  <si>
    <t>DEP-275</t>
  </si>
  <si>
    <t>DEP-276</t>
  </si>
  <si>
    <t>DEP-277</t>
  </si>
  <si>
    <t>DEP-278</t>
  </si>
  <si>
    <t>DEP-279</t>
  </si>
  <si>
    <t>DEP-280</t>
  </si>
  <si>
    <t>DEP-281</t>
  </si>
  <si>
    <t>DEP-282</t>
  </si>
  <si>
    <t>DEP-283</t>
  </si>
  <si>
    <t>DEP-284</t>
  </si>
  <si>
    <t>DEP-285</t>
  </si>
  <si>
    <t>DEP-286</t>
  </si>
  <si>
    <t>DEP-287</t>
  </si>
  <si>
    <t>DEP-288</t>
  </si>
  <si>
    <t>DEP-289</t>
  </si>
  <si>
    <t>DEP-290</t>
  </si>
  <si>
    <t>DEP-291</t>
  </si>
  <si>
    <t>DEP-292</t>
  </si>
  <si>
    <t>DEP-293</t>
  </si>
  <si>
    <t>DEP-294</t>
  </si>
  <si>
    <t>DEP-295</t>
  </si>
  <si>
    <t>DEP-296</t>
  </si>
  <si>
    <t>DEP-297</t>
  </si>
  <si>
    <t>DEP-298</t>
  </si>
  <si>
    <t>DEP-299</t>
  </si>
  <si>
    <t>DEP-300</t>
  </si>
  <si>
    <t>DEP-301</t>
  </si>
  <si>
    <t>DEP-302</t>
  </si>
  <si>
    <t>DEP-303</t>
  </si>
  <si>
    <t>DEP-304</t>
  </si>
  <si>
    <t>DEP-305</t>
  </si>
  <si>
    <t>DEP-306</t>
  </si>
  <si>
    <t>DEP-307</t>
  </si>
  <si>
    <t>DEP-308</t>
  </si>
  <si>
    <t>DEP-309</t>
  </si>
  <si>
    <t>DEP-310</t>
  </si>
  <si>
    <t>DEP-311</t>
  </si>
  <si>
    <t>DEP-312</t>
  </si>
  <si>
    <t>DEP-313</t>
  </si>
  <si>
    <t>DEP-314</t>
  </si>
  <si>
    <t>DEP-315</t>
  </si>
  <si>
    <t>DEP-316</t>
  </si>
  <si>
    <t>DEP-317</t>
  </si>
  <si>
    <t>DEP-318</t>
  </si>
  <si>
    <t>DEP-319</t>
  </si>
  <si>
    <t>DEP-320</t>
  </si>
  <si>
    <t>DEP-321</t>
  </si>
  <si>
    <t>DEP-322</t>
  </si>
  <si>
    <t>DEP-323</t>
  </si>
  <si>
    <t>DEP-324</t>
  </si>
  <si>
    <t>DEP-325</t>
  </si>
  <si>
    <t>DEP-326</t>
  </si>
  <si>
    <t>DEP-327</t>
  </si>
  <si>
    <t>DEP-328</t>
  </si>
  <si>
    <t>DEP-329</t>
  </si>
  <si>
    <t>DEP-330</t>
  </si>
  <si>
    <t>DEP-331</t>
  </si>
  <si>
    <t>DEP-332</t>
  </si>
  <si>
    <t>DEP-333</t>
  </si>
  <si>
    <t>DEP-334</t>
  </si>
  <si>
    <t>DEP-335</t>
  </si>
  <si>
    <t>DEP-336</t>
  </si>
  <si>
    <t>DEP-337</t>
  </si>
  <si>
    <t>DEP-338</t>
  </si>
  <si>
    <t>DEP-339</t>
  </si>
  <si>
    <t>DEP-340</t>
  </si>
  <si>
    <t>DEP-341</t>
  </si>
  <si>
    <t>DEP-342</t>
  </si>
  <si>
    <t>DEP-343</t>
  </si>
  <si>
    <t>DEP-344</t>
  </si>
  <si>
    <t>DEP-345</t>
  </si>
  <si>
    <t>DEP-346</t>
  </si>
  <si>
    <t>DEP-347</t>
  </si>
  <si>
    <t>DEP-348</t>
  </si>
  <si>
    <t>DEP-349</t>
  </si>
  <si>
    <t>DEP-350</t>
  </si>
  <si>
    <t>DEP-351</t>
  </si>
  <si>
    <t>DEP-352</t>
  </si>
  <si>
    <t>DEP-353</t>
  </si>
  <si>
    <t>DEP-354</t>
  </si>
  <si>
    <t>DEP-355</t>
  </si>
  <si>
    <t>DEP-356</t>
  </si>
  <si>
    <t>DEP-357</t>
  </si>
  <si>
    <t>DEP-358</t>
  </si>
  <si>
    <t>DEP-359</t>
  </si>
  <si>
    <t>DEP-360</t>
  </si>
  <si>
    <t>DEP-361</t>
  </si>
  <si>
    <t>DEP-362</t>
  </si>
  <si>
    <t>DEP-363</t>
  </si>
  <si>
    <t>DEP-364</t>
  </si>
  <si>
    <t>DEP-365</t>
  </si>
  <si>
    <t>DEP-366</t>
  </si>
  <si>
    <t>DEP-367</t>
  </si>
  <si>
    <t>DEP-368</t>
  </si>
  <si>
    <t>DEP-369</t>
  </si>
  <si>
    <t>DEP-370</t>
  </si>
  <si>
    <t>DEP-371</t>
  </si>
  <si>
    <t>DEP-372</t>
  </si>
  <si>
    <t>EmployeeID</t>
  </si>
  <si>
    <t>PayDate</t>
  </si>
  <si>
    <t>GrossPay</t>
  </si>
  <si>
    <t>Taxes</t>
  </si>
  <si>
    <t>NetPay</t>
  </si>
  <si>
    <t>PNR-1001</t>
  </si>
  <si>
    <t>PNR-1002</t>
  </si>
  <si>
    <t>PNR-1003</t>
  </si>
  <si>
    <t>PNR-1004</t>
  </si>
  <si>
    <t>PNR-1005</t>
  </si>
  <si>
    <t>PNR-1006</t>
  </si>
  <si>
    <t>PNR-1007</t>
  </si>
  <si>
    <t>PNR-1008</t>
  </si>
  <si>
    <t>PNR-1009</t>
  </si>
  <si>
    <t>PNR-1010</t>
  </si>
  <si>
    <t>PNR-1011</t>
  </si>
  <si>
    <t>PNR-1012</t>
  </si>
  <si>
    <t>PNR-1013</t>
  </si>
  <si>
    <t>PNR-1014</t>
  </si>
  <si>
    <t>PNR-1015</t>
  </si>
  <si>
    <t>PNR-1016</t>
  </si>
  <si>
    <t>PNR-1017</t>
  </si>
  <si>
    <t>PNR-1018</t>
  </si>
  <si>
    <t>PNR-1019</t>
  </si>
  <si>
    <t>PNR-1020</t>
  </si>
  <si>
    <t>PNR-1021</t>
  </si>
  <si>
    <t>PNR-1022</t>
  </si>
  <si>
    <t>PNR-1023</t>
  </si>
  <si>
    <t>PNR-1024</t>
  </si>
  <si>
    <t>PNR-1025</t>
  </si>
  <si>
    <t>PNR-1026</t>
  </si>
  <si>
    <t>PNR-1027</t>
  </si>
  <si>
    <t>PNR-1028</t>
  </si>
  <si>
    <t>PNR-1029</t>
  </si>
  <si>
    <t>PNR-1030</t>
  </si>
  <si>
    <t>PNR-1031</t>
  </si>
  <si>
    <t>PNR-1032</t>
  </si>
  <si>
    <t>PNR-1033</t>
  </si>
  <si>
    <t>PNR-1034</t>
  </si>
  <si>
    <t>PNR-1035</t>
  </si>
  <si>
    <t>PNR-1036</t>
  </si>
  <si>
    <t>PNR-1037</t>
  </si>
  <si>
    <t>PNR-1038</t>
  </si>
  <si>
    <t>PNR-1039</t>
  </si>
  <si>
    <t>PNR-1040</t>
  </si>
  <si>
    <t>PNR-1041</t>
  </si>
  <si>
    <t>PNR-1042</t>
  </si>
  <si>
    <t>PNR-1043</t>
  </si>
  <si>
    <t>PNR-1044</t>
  </si>
  <si>
    <t>PNR-1045</t>
  </si>
  <si>
    <t>PNR-1046</t>
  </si>
  <si>
    <t>PNR-1047</t>
  </si>
  <si>
    <t>PNR-1048</t>
  </si>
  <si>
    <t>PNR-1049</t>
  </si>
  <si>
    <t>PNR-1050</t>
  </si>
  <si>
    <t>PNR-1051</t>
  </si>
  <si>
    <t>PNR-1052</t>
  </si>
  <si>
    <t>PNR-1053</t>
  </si>
  <si>
    <t>PNR-1054</t>
  </si>
  <si>
    <t>PNR-1055</t>
  </si>
  <si>
    <t>PNR-1056</t>
  </si>
  <si>
    <t>PNR-1057</t>
  </si>
  <si>
    <t>PNR-1058</t>
  </si>
  <si>
    <t>PNR-1059</t>
  </si>
  <si>
    <t>PNR-1060</t>
  </si>
  <si>
    <t>PNR-1061</t>
  </si>
  <si>
    <t>PNR-1062</t>
  </si>
  <si>
    <t>PNR-1063</t>
  </si>
  <si>
    <t>PNR-1064</t>
  </si>
  <si>
    <t>PNR-1065</t>
  </si>
  <si>
    <t>PNR-1066</t>
  </si>
  <si>
    <t>PNR-1067</t>
  </si>
  <si>
    <t>PNR-1068</t>
  </si>
  <si>
    <t>PNR-1069</t>
  </si>
  <si>
    <t>PNR-1070</t>
  </si>
  <si>
    <t>PNR-1071</t>
  </si>
  <si>
    <t>PNR-1072</t>
  </si>
  <si>
    <t>PNR-1073</t>
  </si>
  <si>
    <t>PNR-1074</t>
  </si>
  <si>
    <t>PNR-1075</t>
  </si>
  <si>
    <t>PNR-1076</t>
  </si>
  <si>
    <t>PNR-1077</t>
  </si>
  <si>
    <t>PNR-1078</t>
  </si>
  <si>
    <t>PNR-1079</t>
  </si>
  <si>
    <t>PNR-1080</t>
  </si>
  <si>
    <t>PNR-1081</t>
  </si>
  <si>
    <t>PNR-1082</t>
  </si>
  <si>
    <t>PNR-1083</t>
  </si>
  <si>
    <t>PNR-1084</t>
  </si>
  <si>
    <t>PNR-1085</t>
  </si>
  <si>
    <t>PNR-1086</t>
  </si>
  <si>
    <t>PNR-1087</t>
  </si>
  <si>
    <t>PNR-1088</t>
  </si>
  <si>
    <t>PNR-1089</t>
  </si>
  <si>
    <t>PNR-1090</t>
  </si>
  <si>
    <t>PNR-1091</t>
  </si>
  <si>
    <t>PNR-1092</t>
  </si>
  <si>
    <t>PNR-1093</t>
  </si>
  <si>
    <t>PNR-1094</t>
  </si>
  <si>
    <t>PNR-1095</t>
  </si>
  <si>
    <t>PNR-1096</t>
  </si>
  <si>
    <t>PNR-1097</t>
  </si>
  <si>
    <t>PNR-1098</t>
  </si>
  <si>
    <t>PNR-1099</t>
  </si>
  <si>
    <t>PNR-1100</t>
  </si>
  <si>
    <t>NetAmount</t>
  </si>
  <si>
    <t>Month</t>
  </si>
  <si>
    <t>DaysToDue</t>
  </si>
  <si>
    <t>OutstandingAmount</t>
  </si>
  <si>
    <t>DueStatus</t>
  </si>
  <si>
    <t>TotalForecast</t>
  </si>
  <si>
    <t>AnnualBudget</t>
  </si>
  <si>
    <t>Variance</t>
  </si>
  <si>
    <t>VariancePct</t>
  </si>
  <si>
    <t>AnnualDepreciation</t>
  </si>
  <si>
    <t>EndOfUsefulLife</t>
  </si>
  <si>
    <t>AssetStatus</t>
  </si>
  <si>
    <t>EffectiveTaxRate</t>
  </si>
  <si>
    <t>Grand Total</t>
  </si>
  <si>
    <t>Sum of NetAmount</t>
  </si>
  <si>
    <t>Open</t>
  </si>
  <si>
    <t>Overdue</t>
  </si>
  <si>
    <t>Sum of OutstandingAmount</t>
  </si>
  <si>
    <t>Cleaned Data Summary</t>
  </si>
  <si>
    <t>Ledger balance by account and fiscal year</t>
  </si>
  <si>
    <t>Outstanding payables by vendor and due status</t>
  </si>
  <si>
    <t>Outstanding receivables by customer and due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</si>
</sst>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mmm\ yyyy"/>
  </numFmts>
  <fonts count="3" x14ac:knownFonts="1">
    <font>
      <sz val="12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17365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40" fontId="0" fillId="0" borderId="0" xfId="0" applyNumberFormat="1"/>
    <xf numFmtId="166" fontId="0" fillId="0" borderId="0" xfId="0" applyNumberFormat="1"/>
    <xf numFmtId="0" fontId="0" fillId="0" borderId="0" xfId="0" pivotButton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5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8" formatCode="#,##0.00;[Red]\-#,##0.00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165" formatCode="yyyy\-mm\-dd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165" formatCode="yyyy\-mm\-dd"/>
    </dxf>
    <dxf>
      <numFmt numFmtId="4" formatCode="#,##0.00"/>
    </dxf>
    <dxf>
      <numFmt numFmtId="4" formatCode="#,##0.00"/>
    </dxf>
    <dxf>
      <numFmt numFmtId="165" formatCode="yyyy\-mm\-dd"/>
    </dxf>
    <dxf>
      <font>
        <color rgb="FF595959"/>
      </font>
      <fill>
        <patternFill patternType="solid">
          <fgColor indexed="64"/>
          <bgColor rgb="FFE7E6E6"/>
        </patternFill>
      </fill>
    </dxf>
    <dxf>
      <numFmt numFmtId="4" formatCode="#,##0.00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375623"/>
      </font>
      <fill>
        <patternFill patternType="solid">
          <fgColor indexed="64"/>
          <bgColor rgb="FFE2F0D9"/>
        </patternFill>
      </fill>
    </dxf>
    <dxf>
      <font>
        <color rgb="FF9C0006"/>
      </font>
      <fill>
        <patternFill patternType="solid">
          <fgColor indexed="64"/>
          <bgColor rgb="FFFCE8E6"/>
        </patternFill>
      </fill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4" formatCode="#,##0.00"/>
    </dxf>
    <dxf>
      <numFmt numFmtId="165" formatCode="yyyy\-mm\-dd"/>
    </dxf>
    <dxf>
      <numFmt numFmtId="165" formatCode="yyyy\-mm\-dd"/>
    </dxf>
    <dxf>
      <font>
        <color rgb="FF7F6000"/>
      </font>
      <fill>
        <patternFill patternType="solid">
          <fgColor indexed="64"/>
          <bgColor rgb="FFFFF4CE"/>
        </patternFill>
      </fill>
    </dxf>
    <dxf>
      <font>
        <color rgb="FF9C0006"/>
      </font>
      <fill>
        <patternFill patternType="solid">
          <fgColor indexed="64"/>
          <bgColor rgb="FFFCE8E6"/>
        </patternFill>
      </fill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4" formatCode="#,##0.00"/>
    </dxf>
    <dxf>
      <numFmt numFmtId="165" formatCode="yyyy\-mm\-dd"/>
    </dxf>
    <dxf>
      <numFmt numFmtId="165" formatCode="yyyy\-mm\-dd"/>
    </dxf>
    <dxf>
      <font>
        <color rgb="FF7F6000"/>
      </font>
      <fill>
        <patternFill patternType="solid">
          <fgColor indexed="64"/>
          <bgColor rgb="FFFFF4CE"/>
        </patternFill>
      </fill>
    </dxf>
    <dxf>
      <font>
        <color rgb="FF9C0006"/>
      </font>
      <fill>
        <patternFill patternType="solid">
          <fgColor indexed="64"/>
          <bgColor rgb="FFFCE8E6"/>
        </patternFill>
      </fill>
    </dxf>
    <dxf>
      <numFmt numFmtId="166" formatCode="mmm\ yyyy"/>
    </dxf>
    <dxf>
      <numFmt numFmtId="0" formatCode="General"/>
    </dxf>
    <dxf>
      <numFmt numFmtId="8" formatCode="#,##0.00;[Red]\-#,##0.00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165" formatCode="yyyy\-mm\-dd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303.585485185184" createdVersion="8" refreshedVersion="8" minRefreshableVersion="3" recordCount="500" xr:uid="{07DB9467-B49E-4105-A2C4-5F2510760E92}">
  <cacheSource type="worksheet">
    <worksheetSource name="tblAR"/>
  </cacheSource>
  <cacheFields count="10">
    <cacheField name="InvoiceID" numFmtId="0">
      <sharedItems/>
    </cacheField>
    <cacheField name="CustomerID" numFmtId="0">
      <sharedItems/>
    </cacheField>
    <cacheField name="InvoiceDate" numFmtId="0">
      <sharedItems containsSemiMixedTypes="0" containsDate="1" containsString="0" containsMixedTypes="1" minDate="1900-01-10T03:50:04" maxDate="2026-10-06T00:00:00"/>
    </cacheField>
    <cacheField name="DueDate" numFmtId="0">
      <sharedItems containsSemiMixedTypes="0" containsDate="1" containsString="0" containsMixedTypes="1" minDate="1900-01-10T06:50:04" maxDate="2026-11-05T00:00:00"/>
    </cacheField>
    <cacheField name="InvoiceAmount" numFmtId="0">
      <sharedItems containsSemiMixedTypes="0" containsString="0" containsNumber="1" minValue="1139.28" maxValue="49913.63"/>
    </cacheField>
    <cacheField name="Status" numFmtId="0">
      <sharedItems/>
    </cacheField>
    <cacheField name="CustomerName" numFmtId="0">
      <sharedItems count="6">
        <s v="Online Retailer D"/>
        <s v="Hotel Group E"/>
        <s v="Retail Giant A"/>
        <s v="Gourmet Shop C"/>
        <s v="Supermarket Chain B"/>
        <s v="CustomerName" u="1"/>
      </sharedItems>
    </cacheField>
    <cacheField name="DaysToDue" numFmtId="0">
      <sharedItems containsSemiMixedTypes="0" containsString="0" containsNumber="1" containsInteger="1" minValue="30" maxValue="30"/>
    </cacheField>
    <cacheField name="OutstandingAmount" numFmtId="4">
      <sharedItems containsSemiMixedTypes="0" containsString="0" containsNumber="1" minValue="0" maxValue="49705.04"/>
    </cacheField>
    <cacheField name="DueStatus" numFmtId="0">
      <sharedItems count="4">
        <s v="Paid"/>
        <s v="Overdue"/>
        <s v="Open"/>
        <s v="DueStatu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303.585498611108" createdVersion="8" refreshedVersion="8" minRefreshableVersion="3" recordCount="500" xr:uid="{DA5C29AC-282E-4B94-9E07-FC0F83316D71}">
  <cacheSource type="worksheet">
    <worksheetSource name="tblAP"/>
  </cacheSource>
  <cacheFields count="10">
    <cacheField name="InvoiceID" numFmtId="0">
      <sharedItems/>
    </cacheField>
    <cacheField name="VendorID" numFmtId="0">
      <sharedItems/>
    </cacheField>
    <cacheField name="InvoiceDate" numFmtId="0">
      <sharedItems containsSemiMixedTypes="0" containsDate="1" containsString="0" containsMixedTypes="1" minDate="1900-01-10T02:50:04" maxDate="2026-10-06T00:00:00"/>
    </cacheField>
    <cacheField name="DueDate" numFmtId="0">
      <sharedItems containsSemiMixedTypes="0" containsDate="1" containsString="0" containsMixedTypes="1" minDate="1900-01-10T06:50:04" maxDate="2026-11-05T00:00:00"/>
    </cacheField>
    <cacheField name="InvoiceAmount" numFmtId="0">
      <sharedItems containsSemiMixedTypes="0" containsString="0" containsNumber="1" minValue="615.78" maxValue="19938.39"/>
    </cacheField>
    <cacheField name="Status" numFmtId="0">
      <sharedItems/>
    </cacheField>
    <cacheField name="VendorName" numFmtId="0">
      <sharedItems count="7">
        <s v="Cloud Services LLC"/>
        <s v="Packaging Pros"/>
        <s v="Office Supplies Co."/>
        <s v="Global Sweeteners"/>
        <s v="Dairy Farms United"/>
        <s v="Cocoa World Inc."/>
        <s v="VendorName" u="1"/>
      </sharedItems>
    </cacheField>
    <cacheField name="DaysToDue" numFmtId="0">
      <sharedItems containsSemiMixedTypes="0" containsString="0" containsNumber="1" containsInteger="1" minValue="30" maxValue="30"/>
    </cacheField>
    <cacheField name="OutstandingAmount" numFmtId="4">
      <sharedItems containsSemiMixedTypes="0" containsString="0" containsNumber="1" minValue="0" maxValue="19367.54"/>
    </cacheField>
    <cacheField name="DueStatus" numFmtId="0">
      <sharedItems count="4">
        <s v="Paid"/>
        <s v="Overdue"/>
        <s v="Open"/>
        <s v="DueStatu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303.585510300923" createdVersion="8" refreshedVersion="8" minRefreshableVersion="3" recordCount="2000" xr:uid="{F5416F16-F092-4385-8681-98313D16EFC7}">
  <cacheSource type="worksheet">
    <worksheetSource name="tblGL"/>
  </cacheSource>
  <cacheFields count="11">
    <cacheField name="JournalID" numFmtId="0">
      <sharedItems/>
    </cacheField>
    <cacheField name="Date" numFmtId="0">
      <sharedItems containsSemiMixedTypes="0" containsDate="1" containsString="0" containsMixedTypes="1" minDate="1900-01-10T02:50:04" maxDate="2026-10-06T00:00:00"/>
    </cacheField>
    <cacheField name="Account" numFmtId="0">
      <sharedItems containsSemiMixedTypes="0" containsString="0" containsNumber="1" containsInteger="1" minValue="1200" maxValue="5010"/>
    </cacheField>
    <cacheField name="Debit" numFmtId="0">
      <sharedItems containsSemiMixedTypes="0" containsString="0" containsNumber="1" minValue="0" maxValue="49913.63"/>
    </cacheField>
    <cacheField name="Credit" numFmtId="0">
      <sharedItems containsSemiMixedTypes="0" containsString="0" containsNumber="1" minValue="0" maxValue="49913.63"/>
    </cacheField>
    <cacheField name="Description" numFmtId="0">
      <sharedItems/>
    </cacheField>
    <cacheField name="AccountName" numFmtId="0">
      <sharedItems count="5">
        <s v="Cost of Goods Sold"/>
        <s v="Accounts Payable"/>
        <s v="Accounts Receivable"/>
        <s v="Product Sales"/>
        <s v="AccountName" u="1"/>
      </sharedItems>
    </cacheField>
    <cacheField name="Category" numFmtId="0">
      <sharedItems/>
    </cacheField>
    <cacheField name="NetAmount" numFmtId="0">
      <sharedItems containsSemiMixedTypes="0" containsString="0" containsNumber="1" minValue="-49913.63" maxValue="49913.63"/>
    </cacheField>
    <cacheField name="FiscalYear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Month" numFmtId="0">
      <sharedItems containsSemiMixedTypes="0" containsNonDate="0" containsDate="1" containsString="0" minDate="2023-01-01T00:00:00" maxDate="2026-10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R-INV-7354"/>
    <s v="CUS-04"/>
    <n v="44929"/>
    <n v="44959"/>
    <n v="21065.42"/>
    <s v="Paid"/>
    <x v="0"/>
    <n v="30"/>
    <n v="0"/>
    <x v="0"/>
  </r>
  <r>
    <s v="AR-INV-7351"/>
    <s v="CUS-05"/>
    <d v="2023-01-08T00:00:00"/>
    <d v="2023-02-07T00:00:00"/>
    <n v="30481.4"/>
    <s v="Paid"/>
    <x v="1"/>
    <n v="30"/>
    <n v="0"/>
    <x v="0"/>
  </r>
  <r>
    <s v="AR-INV-7100"/>
    <s v="CUS-04"/>
    <d v="2023-01-14T00:00:00"/>
    <d v="2023-02-13T00:00:00"/>
    <n v="7656.71"/>
    <s v="Paid"/>
    <x v="0"/>
    <n v="30"/>
    <n v="0"/>
    <x v="0"/>
  </r>
  <r>
    <s v="AR-INV-7344"/>
    <s v="CUS-01"/>
    <d v="2023-01-17T00:00:00"/>
    <d v="2023-02-16T00:00:00"/>
    <n v="17667.78"/>
    <s v="Paid"/>
    <x v="2"/>
    <n v="30"/>
    <n v="0"/>
    <x v="0"/>
  </r>
  <r>
    <s v="AR-INV-7002"/>
    <s v="CUS-04"/>
    <d v="2023-01-21T00:00:00"/>
    <d v="2023-02-20T00:00:00"/>
    <n v="28680.04"/>
    <s v="Paid"/>
    <x v="0"/>
    <n v="30"/>
    <n v="0"/>
    <x v="0"/>
  </r>
  <r>
    <s v="AR-INV-7207"/>
    <s v="CUS-04"/>
    <d v="2023-01-24T00:00:00"/>
    <d v="2023-02-23T00:00:00"/>
    <n v="36291.51"/>
    <s v="Unpaid"/>
    <x v="0"/>
    <n v="30"/>
    <n v="36291.51"/>
    <x v="1"/>
  </r>
  <r>
    <s v="AR-INV-7177"/>
    <s v="CUS-03"/>
    <d v="2023-01-26T00:00:00"/>
    <d v="2023-02-25T00:00:00"/>
    <n v="25665.01"/>
    <s v="Paid"/>
    <x v="3"/>
    <n v="30"/>
    <n v="0"/>
    <x v="0"/>
  </r>
  <r>
    <s v="AR-INV-7303"/>
    <s v="CUS-01"/>
    <d v="2023-01-27T00:00:00"/>
    <d v="2023-02-26T00:00:00"/>
    <n v="39798.97"/>
    <s v="Paid"/>
    <x v="2"/>
    <n v="30"/>
    <n v="0"/>
    <x v="0"/>
  </r>
  <r>
    <s v="AR-INV-7023"/>
    <s v="CUS-03"/>
    <d v="2023-01-29T00:00:00"/>
    <d v="2023-02-28T00:00:00"/>
    <n v="17826.97"/>
    <s v="Unpaid"/>
    <x v="3"/>
    <n v="30"/>
    <n v="17826.97"/>
    <x v="1"/>
  </r>
  <r>
    <s v="AR-INV-7187"/>
    <s v="CUS-03"/>
    <d v="2023-02-05T00:00:00"/>
    <d v="2023-03-07T00:00:00"/>
    <n v="33727.589999999997"/>
    <s v="Paid"/>
    <x v="3"/>
    <n v="30"/>
    <n v="0"/>
    <x v="0"/>
  </r>
  <r>
    <s v="AR-INV-7059"/>
    <s v="CUS-02"/>
    <d v="2023-02-08T00:00:00"/>
    <d v="2023-03-10T00:00:00"/>
    <n v="32901.919999999998"/>
    <s v="Paid"/>
    <x v="4"/>
    <n v="30"/>
    <n v="0"/>
    <x v="0"/>
  </r>
  <r>
    <s v="AR-INV-7366"/>
    <s v="CUS-03"/>
    <d v="2023-02-08T00:00:00"/>
    <d v="2023-03-10T00:00:00"/>
    <n v="2970.39"/>
    <s v="Paid"/>
    <x v="3"/>
    <n v="30"/>
    <n v="0"/>
    <x v="0"/>
  </r>
  <r>
    <s v="AR-INV-7362"/>
    <s v="CUS-04"/>
    <d v="2023-02-14T00:00:00"/>
    <d v="2023-03-16T00:00:00"/>
    <n v="25020.080000000002"/>
    <s v="Paid"/>
    <x v="0"/>
    <n v="30"/>
    <n v="0"/>
    <x v="0"/>
  </r>
  <r>
    <s v="AR-INV-7496"/>
    <s v="CUS-04"/>
    <d v="2023-02-14T00:00:00"/>
    <d v="2023-03-16T00:00:00"/>
    <n v="48874.99"/>
    <s v="Paid"/>
    <x v="0"/>
    <n v="30"/>
    <n v="0"/>
    <x v="0"/>
  </r>
  <r>
    <s v="AR-INV-7349"/>
    <s v="CUS-04"/>
    <d v="2023-02-17T00:00:00"/>
    <d v="2023-03-19T00:00:00"/>
    <n v="32589.05"/>
    <s v="Paid"/>
    <x v="0"/>
    <n v="30"/>
    <n v="0"/>
    <x v="0"/>
  </r>
  <r>
    <s v="AR-INV-7479"/>
    <s v="CUS-05"/>
    <d v="2023-02-17T00:00:00"/>
    <d v="2023-03-19T00:00:00"/>
    <n v="39239.949999999997"/>
    <s v="Paid"/>
    <x v="1"/>
    <n v="30"/>
    <n v="0"/>
    <x v="0"/>
  </r>
  <r>
    <s v="AR-INV-7031"/>
    <s v="CUS-01"/>
    <d v="2023-02-19T00:00:00"/>
    <d v="2023-03-21T00:00:00"/>
    <n v="13820.52"/>
    <s v="Paid"/>
    <x v="2"/>
    <n v="30"/>
    <n v="0"/>
    <x v="0"/>
  </r>
  <r>
    <s v="AR-INV-7003"/>
    <s v="CUS-03"/>
    <d v="2023-02-28T00:00:00"/>
    <d v="2023-03-30T00:00:00"/>
    <n v="32543.62"/>
    <s v="Unpaid"/>
    <x v="3"/>
    <n v="30"/>
    <n v="32543.62"/>
    <x v="1"/>
  </r>
  <r>
    <s v="AR-INV-7133"/>
    <s v="CUS-05"/>
    <d v="2023-03-01T00:00:00"/>
    <d v="2023-03-31T00:00:00"/>
    <n v="43506.96"/>
    <s v="Paid"/>
    <x v="1"/>
    <n v="30"/>
    <n v="0"/>
    <x v="0"/>
  </r>
  <r>
    <s v="AR-INV-7469"/>
    <s v="CUS-05"/>
    <d v="2023-03-01T00:00:00"/>
    <d v="2023-03-31T00:00:00"/>
    <n v="39400.120000000003"/>
    <s v="Paid"/>
    <x v="1"/>
    <n v="30"/>
    <n v="0"/>
    <x v="0"/>
  </r>
  <r>
    <s v="AR-INV-7137"/>
    <s v="CUS-01"/>
    <d v="2023-03-05T00:00:00"/>
    <d v="2023-04-04T00:00:00"/>
    <n v="34959.199999999997"/>
    <s v="Unpaid"/>
    <x v="2"/>
    <n v="30"/>
    <n v="34959.199999999997"/>
    <x v="1"/>
  </r>
  <r>
    <s v="AR-INV-7237"/>
    <s v="CUS-04"/>
    <d v="2023-03-12T00:00:00"/>
    <d v="2023-04-11T00:00:00"/>
    <n v="27547.72"/>
    <s v="Paid"/>
    <x v="0"/>
    <n v="30"/>
    <n v="0"/>
    <x v="0"/>
  </r>
  <r>
    <s v="AR-INV-7178"/>
    <s v="CUS-03"/>
    <d v="2023-03-13T00:00:00"/>
    <d v="2023-04-12T00:00:00"/>
    <n v="4141.92"/>
    <s v="Paid"/>
    <x v="3"/>
    <n v="30"/>
    <n v="0"/>
    <x v="0"/>
  </r>
  <r>
    <s v="AR-INV-7232"/>
    <s v="CUS-05"/>
    <d v="2023-03-15T00:00:00"/>
    <d v="2023-04-14T00:00:00"/>
    <n v="27457.45"/>
    <s v="Paid"/>
    <x v="1"/>
    <n v="30"/>
    <n v="0"/>
    <x v="0"/>
  </r>
  <r>
    <s v="AR-INV-7228"/>
    <s v="CUS-03"/>
    <d v="2023-03-18T00:00:00"/>
    <d v="2023-04-17T00:00:00"/>
    <n v="17196.240000000002"/>
    <s v="Paid"/>
    <x v="3"/>
    <n v="30"/>
    <n v="0"/>
    <x v="0"/>
  </r>
  <r>
    <s v="AR-INV-7294"/>
    <s v="CUS-05"/>
    <d v="2023-03-22T00:00:00"/>
    <d v="2023-04-21T00:00:00"/>
    <n v="8473.19"/>
    <s v="Paid"/>
    <x v="1"/>
    <n v="30"/>
    <n v="0"/>
    <x v="0"/>
  </r>
  <r>
    <s v="AR-INV-7262"/>
    <s v="CUS-02"/>
    <d v="2023-03-26T00:00:00"/>
    <d v="2023-04-25T00:00:00"/>
    <n v="44130.22"/>
    <s v="Paid"/>
    <x v="4"/>
    <n v="30"/>
    <n v="0"/>
    <x v="0"/>
  </r>
  <r>
    <s v="AR-INV-7153"/>
    <s v="CUS-04"/>
    <d v="2023-03-29T00:00:00"/>
    <d v="2023-04-28T00:00:00"/>
    <n v="44717.3"/>
    <s v="Paid"/>
    <x v="0"/>
    <n v="30"/>
    <n v="0"/>
    <x v="0"/>
  </r>
  <r>
    <s v="AR-INV-7157"/>
    <s v="CUS-03"/>
    <d v="2023-03-29T00:00:00"/>
    <d v="2023-04-28T00:00:00"/>
    <n v="30466.240000000002"/>
    <s v="Paid"/>
    <x v="3"/>
    <n v="30"/>
    <n v="0"/>
    <x v="0"/>
  </r>
  <r>
    <s v="AR-INV-7196"/>
    <s v="CUS-01"/>
    <d v="2023-03-29T00:00:00"/>
    <d v="2023-04-28T00:00:00"/>
    <n v="49427.8"/>
    <s v="Paid"/>
    <x v="2"/>
    <n v="30"/>
    <n v="0"/>
    <x v="0"/>
  </r>
  <r>
    <s v="AR-INV-7331"/>
    <s v="CUS-01"/>
    <d v="2023-03-29T00:00:00"/>
    <d v="2023-04-28T00:00:00"/>
    <n v="23642.79"/>
    <s v="Unpaid"/>
    <x v="2"/>
    <n v="30"/>
    <n v="23642.79"/>
    <x v="1"/>
  </r>
  <r>
    <s v="AR-INV-7101"/>
    <s v="CUS-02"/>
    <d v="2023-04-02T00:00:00"/>
    <d v="2023-05-02T00:00:00"/>
    <n v="11444.83"/>
    <s v="Paid"/>
    <x v="4"/>
    <n v="30"/>
    <n v="0"/>
    <x v="0"/>
  </r>
  <r>
    <s v="AR-INV-7038"/>
    <s v="CUS-02"/>
    <d v="2023-04-07T00:00:00"/>
    <d v="2023-05-07T00:00:00"/>
    <n v="35570.080000000002"/>
    <s v="Paid"/>
    <x v="4"/>
    <n v="30"/>
    <n v="0"/>
    <x v="0"/>
  </r>
  <r>
    <s v="AR-INV-7460"/>
    <s v="CUS-05"/>
    <d v="2023-04-08T00:00:00"/>
    <d v="2023-05-08T00:00:00"/>
    <n v="5485.81"/>
    <s v="Unpaid"/>
    <x v="1"/>
    <n v="30"/>
    <n v="5485.81"/>
    <x v="1"/>
  </r>
  <r>
    <s v="AR-INV-7280"/>
    <s v="CUS-01"/>
    <d v="2023-04-10T00:00:00"/>
    <d v="2023-05-10T00:00:00"/>
    <n v="49913.63"/>
    <s v="Paid"/>
    <x v="2"/>
    <n v="30"/>
    <n v="0"/>
    <x v="0"/>
  </r>
  <r>
    <s v="AR-INV-7499"/>
    <s v="CUS-04"/>
    <d v="2023-04-10T00:00:00"/>
    <d v="2023-05-10T00:00:00"/>
    <n v="6997.88"/>
    <s v="Unpaid"/>
    <x v="0"/>
    <n v="30"/>
    <n v="6997.88"/>
    <x v="1"/>
  </r>
  <r>
    <s v="AR-INV-7111"/>
    <s v="CUS-01"/>
    <d v="2023-04-19T00:00:00"/>
    <d v="2023-05-19T00:00:00"/>
    <n v="21490.33"/>
    <s v="Paid"/>
    <x v="2"/>
    <n v="30"/>
    <n v="0"/>
    <x v="0"/>
  </r>
  <r>
    <s v="AR-INV-7114"/>
    <s v="CUS-05"/>
    <d v="2023-04-19T00:00:00"/>
    <d v="2023-05-19T00:00:00"/>
    <n v="32663.05"/>
    <s v="Paid"/>
    <x v="1"/>
    <n v="30"/>
    <n v="0"/>
    <x v="0"/>
  </r>
  <r>
    <s v="AR-INV-7065"/>
    <s v="CUS-02"/>
    <d v="2023-04-23T00:00:00"/>
    <d v="2023-05-23T00:00:00"/>
    <n v="44143.97"/>
    <s v="Paid"/>
    <x v="4"/>
    <n v="30"/>
    <n v="0"/>
    <x v="0"/>
  </r>
  <r>
    <s v="AR-INV-7370"/>
    <s v="CUS-05"/>
    <d v="2023-04-25T00:00:00"/>
    <d v="2023-05-25T00:00:00"/>
    <n v="16248.82"/>
    <s v="Paid"/>
    <x v="1"/>
    <n v="30"/>
    <n v="0"/>
    <x v="0"/>
  </r>
  <r>
    <s v="AR-INV-7061"/>
    <s v="CUS-04"/>
    <d v="2023-04-26T00:00:00"/>
    <d v="2023-05-26T00:00:00"/>
    <n v="23705.17"/>
    <s v="Unpaid"/>
    <x v="0"/>
    <n v="30"/>
    <n v="23705.17"/>
    <x v="1"/>
  </r>
  <r>
    <s v="AR-INV-7108"/>
    <s v="CUS-04"/>
    <d v="2023-04-28T00:00:00"/>
    <d v="2023-05-28T00:00:00"/>
    <n v="49419.46"/>
    <s v="Paid"/>
    <x v="0"/>
    <n v="30"/>
    <n v="0"/>
    <x v="0"/>
  </r>
  <r>
    <s v="AR-INV-7265"/>
    <s v="CUS-02"/>
    <d v="2023-05-03T00:00:00"/>
    <d v="2023-06-02T00:00:00"/>
    <n v="21989.21"/>
    <s v="Paid"/>
    <x v="4"/>
    <n v="30"/>
    <n v="0"/>
    <x v="0"/>
  </r>
  <r>
    <s v="AR-INV-7415"/>
    <s v="CUS-02"/>
    <d v="2023-05-04T00:00:00"/>
    <d v="2023-06-03T00:00:00"/>
    <n v="4244.24"/>
    <s v="Unpaid"/>
    <x v="4"/>
    <n v="30"/>
    <n v="4244.24"/>
    <x v="1"/>
  </r>
  <r>
    <s v="AR-INV-7472"/>
    <s v="CUS-05"/>
    <d v="2023-05-09T00:00:00"/>
    <d v="2023-06-08T00:00:00"/>
    <n v="44155.08"/>
    <s v="Unpaid"/>
    <x v="1"/>
    <n v="30"/>
    <n v="44155.08"/>
    <x v="1"/>
  </r>
  <r>
    <s v="AR-INV-7463"/>
    <s v="CUS-03"/>
    <d v="2023-05-20T00:00:00"/>
    <d v="2023-06-19T00:00:00"/>
    <n v="2187.13"/>
    <s v="Paid"/>
    <x v="3"/>
    <n v="30"/>
    <n v="0"/>
    <x v="0"/>
  </r>
  <r>
    <s v="AR-INV-7116"/>
    <s v="CUS-02"/>
    <d v="2023-05-22T00:00:00"/>
    <d v="2023-06-21T00:00:00"/>
    <n v="34285.81"/>
    <s v="Paid"/>
    <x v="4"/>
    <n v="30"/>
    <n v="0"/>
    <x v="0"/>
  </r>
  <r>
    <s v="AR-INV-7345"/>
    <s v="CUS-02"/>
    <d v="2023-05-23T00:00:00"/>
    <d v="2023-06-22T00:00:00"/>
    <n v="36452.82"/>
    <s v="Paid"/>
    <x v="4"/>
    <n v="30"/>
    <n v="0"/>
    <x v="0"/>
  </r>
  <r>
    <s v="AR-INV-7336"/>
    <s v="CUS-02"/>
    <d v="2023-05-25T00:00:00"/>
    <d v="2023-06-24T00:00:00"/>
    <n v="43439.31"/>
    <s v="Paid"/>
    <x v="4"/>
    <n v="30"/>
    <n v="0"/>
    <x v="0"/>
  </r>
  <r>
    <s v="AR-INV-7500"/>
    <s v="CUS-02"/>
    <d v="2023-05-27T00:00:00"/>
    <d v="2023-06-26T00:00:00"/>
    <n v="16505.47"/>
    <s v="Paid"/>
    <x v="4"/>
    <n v="30"/>
    <n v="0"/>
    <x v="0"/>
  </r>
  <r>
    <s v="AR-INV-7127"/>
    <s v="CUS-04"/>
    <d v="2023-05-29T00:00:00"/>
    <d v="2023-06-28T00:00:00"/>
    <n v="43472.82"/>
    <s v="Paid"/>
    <x v="0"/>
    <n v="30"/>
    <n v="0"/>
    <x v="0"/>
  </r>
  <r>
    <s v="AR-INV-7109"/>
    <s v="CUS-04"/>
    <d v="2023-05-31T00:00:00"/>
    <d v="2023-06-30T00:00:00"/>
    <n v="17471.96"/>
    <s v="Paid"/>
    <x v="0"/>
    <n v="30"/>
    <n v="0"/>
    <x v="0"/>
  </r>
  <r>
    <s v="AR-INV-7395"/>
    <s v="CUS-03"/>
    <d v="2023-06-02T00:00:00"/>
    <d v="2023-07-02T00:00:00"/>
    <n v="31069.57"/>
    <s v="Unpaid"/>
    <x v="3"/>
    <n v="30"/>
    <n v="31069.57"/>
    <x v="1"/>
  </r>
  <r>
    <s v="AR-INV-7450"/>
    <s v="CUS-01"/>
    <d v="2023-06-03T00:00:00"/>
    <d v="2023-07-03T00:00:00"/>
    <n v="21343.87"/>
    <s v="Paid"/>
    <x v="2"/>
    <n v="30"/>
    <n v="0"/>
    <x v="0"/>
  </r>
  <r>
    <s v="AR-INV-7060"/>
    <s v="CUS-05"/>
    <d v="2023-06-12T00:00:00"/>
    <d v="2023-07-12T00:00:00"/>
    <n v="20272.490000000002"/>
    <s v="Paid"/>
    <x v="1"/>
    <n v="30"/>
    <n v="0"/>
    <x v="0"/>
  </r>
  <r>
    <s v="AR-INV-7151"/>
    <s v="CUS-01"/>
    <d v="2023-06-15T00:00:00"/>
    <d v="2023-07-15T00:00:00"/>
    <n v="46629.33"/>
    <s v="Paid"/>
    <x v="2"/>
    <n v="30"/>
    <n v="0"/>
    <x v="0"/>
  </r>
  <r>
    <s v="AR-INV-7489"/>
    <s v="CUS-02"/>
    <d v="2023-06-15T00:00:00"/>
    <d v="2023-07-15T00:00:00"/>
    <n v="3895.22"/>
    <s v="Paid"/>
    <x v="4"/>
    <n v="30"/>
    <n v="0"/>
    <x v="0"/>
  </r>
  <r>
    <s v="AR-INV-7216"/>
    <s v="CUS-01"/>
    <d v="2023-06-16T00:00:00"/>
    <d v="2023-07-16T00:00:00"/>
    <n v="2630.91"/>
    <s v="Paid"/>
    <x v="2"/>
    <n v="30"/>
    <n v="0"/>
    <x v="0"/>
  </r>
  <r>
    <s v="AR-INV-7318"/>
    <s v="CUS-02"/>
    <d v="2023-06-20T00:00:00"/>
    <d v="2023-07-20T00:00:00"/>
    <n v="3381.35"/>
    <s v="Paid"/>
    <x v="4"/>
    <n v="30"/>
    <n v="0"/>
    <x v="0"/>
  </r>
  <r>
    <s v="AR-INV-7018"/>
    <s v="CUS-04"/>
    <d v="2023-06-26T00:00:00"/>
    <d v="2023-07-26T00:00:00"/>
    <n v="13913.03"/>
    <s v="Paid"/>
    <x v="0"/>
    <n v="30"/>
    <n v="0"/>
    <x v="0"/>
  </r>
  <r>
    <s v="AR-INV-7139"/>
    <s v="CUS-03"/>
    <d v="2023-06-27T00:00:00"/>
    <d v="2023-07-27T00:00:00"/>
    <n v="43753.87"/>
    <s v="Paid"/>
    <x v="3"/>
    <n v="30"/>
    <n v="0"/>
    <x v="0"/>
  </r>
  <r>
    <s v="AR-INV-7449"/>
    <s v="CUS-02"/>
    <d v="2023-06-27T00:00:00"/>
    <d v="2023-07-27T00:00:00"/>
    <n v="1552.77"/>
    <s v="Unpaid"/>
    <x v="4"/>
    <n v="30"/>
    <n v="1552.77"/>
    <x v="1"/>
  </r>
  <r>
    <s v="AR-INV-7369"/>
    <s v="CUS-03"/>
    <d v="2023-06-28T00:00:00"/>
    <d v="2023-07-28T00:00:00"/>
    <n v="22247.79"/>
    <s v="Paid"/>
    <x v="3"/>
    <n v="30"/>
    <n v="0"/>
    <x v="0"/>
  </r>
  <r>
    <s v="AR-INV-7363"/>
    <s v="CUS-04"/>
    <d v="2023-07-04T00:00:00"/>
    <d v="2023-08-03T00:00:00"/>
    <n v="25935.33"/>
    <s v="Paid"/>
    <x v="0"/>
    <n v="30"/>
    <n v="0"/>
    <x v="0"/>
  </r>
  <r>
    <s v="AR-INV-7148"/>
    <s v="CUS-04"/>
    <d v="2023-07-11T00:00:00"/>
    <d v="2023-08-10T00:00:00"/>
    <n v="40197.879999999997"/>
    <s v="Paid"/>
    <x v="0"/>
    <n v="30"/>
    <n v="0"/>
    <x v="0"/>
  </r>
  <r>
    <s v="AR-INV-7312"/>
    <s v="CUS-02"/>
    <d v="2023-07-12T00:00:00"/>
    <d v="2023-08-11T00:00:00"/>
    <n v="31259.23"/>
    <s v="Paid"/>
    <x v="4"/>
    <n v="30"/>
    <n v="0"/>
    <x v="0"/>
  </r>
  <r>
    <s v="AR-INV-7200"/>
    <s v="CUS-04"/>
    <d v="2023-07-18T00:00:00"/>
    <d v="2023-08-17T00:00:00"/>
    <n v="32778.620000000003"/>
    <s v="Paid"/>
    <x v="0"/>
    <n v="30"/>
    <n v="0"/>
    <x v="0"/>
  </r>
  <r>
    <s v="AR-INV-7027"/>
    <s v="CUS-05"/>
    <d v="2023-07-23T00:00:00"/>
    <d v="2023-08-22T00:00:00"/>
    <n v="2491.5500000000002"/>
    <s v="Unpaid"/>
    <x v="1"/>
    <n v="30"/>
    <n v="2491.5500000000002"/>
    <x v="1"/>
  </r>
  <r>
    <s v="AR-INV-7459"/>
    <s v="CUS-04"/>
    <d v="2023-07-23T00:00:00"/>
    <d v="2023-08-22T00:00:00"/>
    <n v="9418.32"/>
    <s v="Paid"/>
    <x v="0"/>
    <n v="30"/>
    <n v="0"/>
    <x v="0"/>
  </r>
  <r>
    <s v="AR-INV-7325"/>
    <s v="CUS-01"/>
    <d v="2023-07-24T00:00:00"/>
    <d v="2023-08-23T00:00:00"/>
    <n v="28312.17"/>
    <s v="Unpaid"/>
    <x v="2"/>
    <n v="30"/>
    <n v="28312.17"/>
    <x v="1"/>
  </r>
  <r>
    <s v="AR-INV-7210"/>
    <s v="CUS-05"/>
    <d v="2023-07-27T00:00:00"/>
    <d v="2023-08-26T00:00:00"/>
    <n v="9487.06"/>
    <s v="Paid"/>
    <x v="1"/>
    <n v="30"/>
    <n v="0"/>
    <x v="0"/>
  </r>
  <r>
    <s v="AR-INV-7446"/>
    <s v="CUS-02"/>
    <d v="2023-07-30T00:00:00"/>
    <d v="2023-08-29T00:00:00"/>
    <n v="34054.79"/>
    <s v="Paid"/>
    <x v="4"/>
    <n v="30"/>
    <n v="0"/>
    <x v="0"/>
  </r>
  <r>
    <s v="AR-INV-7311"/>
    <s v="CUS-04"/>
    <d v="2023-08-01T00:00:00"/>
    <d v="2023-08-31T00:00:00"/>
    <n v="26124.46"/>
    <s v="Paid"/>
    <x v="0"/>
    <n v="30"/>
    <n v="0"/>
    <x v="0"/>
  </r>
  <r>
    <s v="AR-INV-7474"/>
    <s v="CUS-01"/>
    <d v="2023-08-03T00:00:00"/>
    <d v="2023-09-02T00:00:00"/>
    <n v="31131.79"/>
    <s v="Paid"/>
    <x v="2"/>
    <n v="30"/>
    <n v="0"/>
    <x v="0"/>
  </r>
  <r>
    <s v="AR-INV-7158"/>
    <s v="CUS-01"/>
    <d v="2023-08-05T00:00:00"/>
    <d v="2023-09-04T00:00:00"/>
    <n v="23431.64"/>
    <s v="Paid"/>
    <x v="2"/>
    <n v="30"/>
    <n v="0"/>
    <x v="0"/>
  </r>
  <r>
    <s v="AR-INV-7180"/>
    <s v="CUS-04"/>
    <d v="2023-08-08T00:00:00"/>
    <d v="2023-09-07T00:00:00"/>
    <n v="16137.97"/>
    <s v="Unpaid"/>
    <x v="0"/>
    <n v="30"/>
    <n v="16137.97"/>
    <x v="1"/>
  </r>
  <r>
    <s v="AR-INV-7135"/>
    <s v="CUS-03"/>
    <d v="2023-08-09T00:00:00"/>
    <d v="2023-09-08T00:00:00"/>
    <n v="40595.43"/>
    <s v="Paid"/>
    <x v="3"/>
    <n v="30"/>
    <n v="0"/>
    <x v="0"/>
  </r>
  <r>
    <s v="AR-INV-7198"/>
    <s v="CUS-05"/>
    <d v="2023-08-09T00:00:00"/>
    <d v="2023-09-08T00:00:00"/>
    <n v="34239.449999999997"/>
    <s v="Paid"/>
    <x v="1"/>
    <n v="30"/>
    <n v="0"/>
    <x v="0"/>
  </r>
  <r>
    <s v="AR-INV-7492"/>
    <s v="CUS-04"/>
    <d v="2023-08-12T00:00:00"/>
    <d v="2023-09-11T00:00:00"/>
    <n v="31055.99"/>
    <s v="Paid"/>
    <x v="0"/>
    <n v="30"/>
    <n v="0"/>
    <x v="0"/>
  </r>
  <r>
    <s v="AR-INV-7409"/>
    <s v="CUS-02"/>
    <d v="2023-08-17T00:00:00"/>
    <d v="2023-09-16T00:00:00"/>
    <n v="39605.120000000003"/>
    <s v="Paid"/>
    <x v="4"/>
    <n v="30"/>
    <n v="0"/>
    <x v="0"/>
  </r>
  <r>
    <s v="AR-INV-7040"/>
    <s v="CUS-04"/>
    <d v="2023-08-21T00:00:00"/>
    <d v="2023-09-20T00:00:00"/>
    <n v="32868.78"/>
    <s v="Paid"/>
    <x v="0"/>
    <n v="30"/>
    <n v="0"/>
    <x v="0"/>
  </r>
  <r>
    <s v="AR-INV-7468"/>
    <s v="CUS-03"/>
    <d v="2023-08-22T00:00:00"/>
    <d v="2023-09-21T00:00:00"/>
    <n v="38895.620000000003"/>
    <s v="Paid"/>
    <x v="3"/>
    <n v="30"/>
    <n v="0"/>
    <x v="0"/>
  </r>
  <r>
    <s v="AR-INV-7179"/>
    <s v="CUS-05"/>
    <d v="2023-08-31T00:00:00"/>
    <d v="2023-09-30T00:00:00"/>
    <n v="14296.93"/>
    <s v="Paid"/>
    <x v="1"/>
    <n v="30"/>
    <n v="0"/>
    <x v="0"/>
  </r>
  <r>
    <s v="AR-INV-7221"/>
    <s v="CUS-04"/>
    <d v="2023-09-06T00:00:00"/>
    <d v="2023-10-06T00:00:00"/>
    <n v="2086.15"/>
    <s v="Paid"/>
    <x v="0"/>
    <n v="30"/>
    <n v="0"/>
    <x v="0"/>
  </r>
  <r>
    <s v="AR-INV-7332"/>
    <s v="CUS-01"/>
    <d v="2023-09-16T00:00:00"/>
    <d v="2023-10-16T00:00:00"/>
    <n v="15507.6"/>
    <s v="Paid"/>
    <x v="2"/>
    <n v="30"/>
    <n v="0"/>
    <x v="0"/>
  </r>
  <r>
    <s v="AR-INV-7298"/>
    <s v="CUS-02"/>
    <d v="2023-09-20T00:00:00"/>
    <d v="2023-10-20T00:00:00"/>
    <n v="43471.31"/>
    <s v="Paid"/>
    <x v="4"/>
    <n v="30"/>
    <n v="0"/>
    <x v="0"/>
  </r>
  <r>
    <s v="AR-INV-7195"/>
    <s v="CUS-05"/>
    <d v="2023-09-21T00:00:00"/>
    <d v="2023-10-21T00:00:00"/>
    <n v="32160.57"/>
    <s v="Paid"/>
    <x v="1"/>
    <n v="30"/>
    <n v="0"/>
    <x v="0"/>
  </r>
  <r>
    <s v="AR-INV-7452"/>
    <s v="CUS-03"/>
    <d v="2023-09-22T00:00:00"/>
    <d v="2023-10-22T00:00:00"/>
    <n v="24197.49"/>
    <s v="Paid"/>
    <x v="3"/>
    <n v="30"/>
    <n v="0"/>
    <x v="0"/>
  </r>
  <r>
    <s v="AR-INV-7372"/>
    <s v="CUS-05"/>
    <d v="2023-09-23T00:00:00"/>
    <d v="2023-10-23T00:00:00"/>
    <n v="35830.18"/>
    <s v="Paid"/>
    <x v="1"/>
    <n v="30"/>
    <n v="0"/>
    <x v="0"/>
  </r>
  <r>
    <s v="AR-INV-7451"/>
    <s v="CUS-02"/>
    <d v="2023-10-05T00:00:00"/>
    <d v="2023-11-04T00:00:00"/>
    <n v="25656.69"/>
    <s v="Paid"/>
    <x v="4"/>
    <n v="30"/>
    <n v="0"/>
    <x v="0"/>
  </r>
  <r>
    <s v="AR-INV-7234"/>
    <s v="CUS-04"/>
    <d v="2023-10-10T00:00:00"/>
    <d v="2023-11-09T00:00:00"/>
    <n v="46192.7"/>
    <s v="Paid"/>
    <x v="0"/>
    <n v="30"/>
    <n v="0"/>
    <x v="0"/>
  </r>
  <r>
    <s v="AR-INV-7131"/>
    <s v="CUS-03"/>
    <d v="2023-10-11T00:00:00"/>
    <d v="2023-11-10T00:00:00"/>
    <n v="3710.29"/>
    <s v="Unpaid"/>
    <x v="3"/>
    <n v="30"/>
    <n v="3710.29"/>
    <x v="1"/>
  </r>
  <r>
    <s v="AR-INV-7219"/>
    <s v="CUS-04"/>
    <d v="2023-10-15T00:00:00"/>
    <d v="2023-11-14T00:00:00"/>
    <n v="18658.650000000001"/>
    <s v="Paid"/>
    <x v="0"/>
    <n v="30"/>
    <n v="0"/>
    <x v="0"/>
  </r>
  <r>
    <s v="AR-INV-7251"/>
    <s v="CUS-05"/>
    <d v="2023-10-19T00:00:00"/>
    <d v="2023-11-18T00:00:00"/>
    <n v="10975.35"/>
    <s v="Paid"/>
    <x v="1"/>
    <n v="30"/>
    <n v="0"/>
    <x v="0"/>
  </r>
  <r>
    <s v="AR-INV-7423"/>
    <s v="CUS-04"/>
    <d v="2023-10-19T00:00:00"/>
    <d v="2023-11-18T00:00:00"/>
    <n v="9274.36"/>
    <s v="Unpaid"/>
    <x v="0"/>
    <n v="30"/>
    <n v="9274.36"/>
    <x v="1"/>
  </r>
  <r>
    <s v="AR-INV-7160"/>
    <s v="CUS-04"/>
    <d v="2023-10-27T00:00:00"/>
    <d v="2023-11-26T00:00:00"/>
    <n v="44286.400000000001"/>
    <s v="Paid"/>
    <x v="0"/>
    <n v="30"/>
    <n v="0"/>
    <x v="0"/>
  </r>
  <r>
    <s v="AR-INV-7164"/>
    <s v="CUS-05"/>
    <d v="2023-10-27T00:00:00"/>
    <d v="2023-11-26T00:00:00"/>
    <n v="10880.11"/>
    <s v="Unpaid"/>
    <x v="1"/>
    <n v="30"/>
    <n v="10880.11"/>
    <x v="1"/>
  </r>
  <r>
    <s v="AR-INV-7098"/>
    <s v="CUS-01"/>
    <d v="2023-10-28T00:00:00"/>
    <d v="2023-11-27T00:00:00"/>
    <n v="48993.99"/>
    <s v="Paid"/>
    <x v="2"/>
    <n v="30"/>
    <n v="0"/>
    <x v="0"/>
  </r>
  <r>
    <s v="AR-INV-7249"/>
    <s v="CUS-02"/>
    <d v="2023-10-31T00:00:00"/>
    <d v="2023-11-30T00:00:00"/>
    <n v="23437.93"/>
    <s v="Paid"/>
    <x v="4"/>
    <n v="30"/>
    <n v="0"/>
    <x v="0"/>
  </r>
  <r>
    <s v="AR-INV-7063"/>
    <s v="CUS-02"/>
    <d v="2023-11-01T00:00:00"/>
    <d v="2023-12-01T00:00:00"/>
    <n v="13577.65"/>
    <s v="Paid"/>
    <x v="4"/>
    <n v="30"/>
    <n v="0"/>
    <x v="0"/>
  </r>
  <r>
    <s v="AR-INV-7115"/>
    <s v="CUS-04"/>
    <d v="2023-11-01T00:00:00"/>
    <d v="2023-12-01T00:00:00"/>
    <n v="47433.67"/>
    <s v="Paid"/>
    <x v="0"/>
    <n v="30"/>
    <n v="0"/>
    <x v="0"/>
  </r>
  <r>
    <s v="AR-INV-7032"/>
    <s v="CUS-01"/>
    <d v="2023-11-02T00:00:00"/>
    <d v="2023-12-02T00:00:00"/>
    <n v="13540.9"/>
    <s v="Paid"/>
    <x v="2"/>
    <n v="30"/>
    <n v="0"/>
    <x v="0"/>
  </r>
  <r>
    <s v="AR-INV-7494"/>
    <s v="CUS-04"/>
    <d v="2023-11-02T00:00:00"/>
    <d v="2023-12-02T00:00:00"/>
    <n v="42686.33"/>
    <s v="Paid"/>
    <x v="0"/>
    <n v="30"/>
    <n v="0"/>
    <x v="0"/>
  </r>
  <r>
    <s v="AR-INV-7313"/>
    <s v="CUS-04"/>
    <d v="2023-11-04T00:00:00"/>
    <d v="2023-12-04T00:00:00"/>
    <n v="42557.74"/>
    <s v="Paid"/>
    <x v="0"/>
    <n v="30"/>
    <n v="0"/>
    <x v="0"/>
  </r>
  <r>
    <s v="AR-INV-7374"/>
    <s v="CUS-02"/>
    <d v="2023-11-10T00:00:00"/>
    <d v="2023-12-10T00:00:00"/>
    <n v="48893.53"/>
    <s v="Paid"/>
    <x v="4"/>
    <n v="30"/>
    <n v="0"/>
    <x v="0"/>
  </r>
  <r>
    <s v="AR-INV-7074"/>
    <s v="CUS-02"/>
    <d v="2023-11-17T00:00:00"/>
    <d v="2023-12-17T00:00:00"/>
    <n v="48278.400000000001"/>
    <s v="Paid"/>
    <x v="4"/>
    <n v="30"/>
    <n v="0"/>
    <x v="0"/>
  </r>
  <r>
    <s v="AR-INV-7292"/>
    <s v="CUS-01"/>
    <d v="2023-11-18T00:00:00"/>
    <d v="2023-12-18T00:00:00"/>
    <n v="33836.480000000003"/>
    <s v="Paid"/>
    <x v="2"/>
    <n v="30"/>
    <n v="0"/>
    <x v="0"/>
  </r>
  <r>
    <s v="AR-INV-7036"/>
    <s v="CUS-02"/>
    <d v="2023-11-19T00:00:00"/>
    <d v="2023-12-19T00:00:00"/>
    <n v="38319.32"/>
    <s v="Paid"/>
    <x v="4"/>
    <n v="30"/>
    <n v="0"/>
    <x v="0"/>
  </r>
  <r>
    <s v="AR-INV-7222"/>
    <s v="CUS-01"/>
    <d v="2023-11-19T00:00:00"/>
    <d v="2023-12-19T00:00:00"/>
    <n v="48730.95"/>
    <s v="Paid"/>
    <x v="2"/>
    <n v="30"/>
    <n v="0"/>
    <x v="0"/>
  </r>
  <r>
    <s v="AR-INV-7245"/>
    <s v="CUS-04"/>
    <d v="2023-11-19T00:00:00"/>
    <d v="2023-12-19T00:00:00"/>
    <n v="35185.08"/>
    <s v="Paid"/>
    <x v="0"/>
    <n v="30"/>
    <n v="0"/>
    <x v="0"/>
  </r>
  <r>
    <s v="AR-INV-7286"/>
    <s v="CUS-01"/>
    <d v="2023-11-21T00:00:00"/>
    <d v="2023-12-21T00:00:00"/>
    <n v="17361.939999999999"/>
    <s v="Paid"/>
    <x v="2"/>
    <n v="30"/>
    <n v="0"/>
    <x v="0"/>
  </r>
  <r>
    <s v="AR-INV-7099"/>
    <s v="CUS-03"/>
    <d v="2023-11-22T00:00:00"/>
    <d v="2023-12-22T00:00:00"/>
    <n v="2246.41"/>
    <s v="Paid"/>
    <x v="3"/>
    <n v="30"/>
    <n v="0"/>
    <x v="0"/>
  </r>
  <r>
    <s v="AR-INV-7083"/>
    <s v="CUS-03"/>
    <d v="2023-11-23T00:00:00"/>
    <d v="2023-12-23T00:00:00"/>
    <n v="24439.91"/>
    <s v="Paid"/>
    <x v="3"/>
    <n v="30"/>
    <n v="0"/>
    <x v="0"/>
  </r>
  <r>
    <s v="AR-INV-7339"/>
    <s v="CUS-04"/>
    <d v="2023-11-25T00:00:00"/>
    <d v="2023-12-25T00:00:00"/>
    <n v="41269.49"/>
    <s v="Paid"/>
    <x v="0"/>
    <n v="30"/>
    <n v="0"/>
    <x v="0"/>
  </r>
  <r>
    <s v="AR-INV-7264"/>
    <s v="CUS-02"/>
    <d v="2023-11-26T00:00:00"/>
    <d v="2023-12-26T00:00:00"/>
    <n v="30949.919999999998"/>
    <s v="Paid"/>
    <x v="4"/>
    <n v="30"/>
    <n v="0"/>
    <x v="0"/>
  </r>
  <r>
    <s v="AR-INV-7086"/>
    <s v="CUS-01"/>
    <d v="2023-11-28T00:00:00"/>
    <d v="2023-12-28T00:00:00"/>
    <n v="35929.449999999997"/>
    <s v="Paid"/>
    <x v="2"/>
    <n v="30"/>
    <n v="0"/>
    <x v="0"/>
  </r>
  <r>
    <s v="AR-INV-7024"/>
    <s v="CUS-05"/>
    <d v="2023-11-30T00:00:00"/>
    <d v="2023-12-30T00:00:00"/>
    <n v="18893.400000000001"/>
    <s v="Paid"/>
    <x v="1"/>
    <n v="30"/>
    <n v="0"/>
    <x v="0"/>
  </r>
  <r>
    <s v="AR-INV-7202"/>
    <s v="CUS-01"/>
    <d v="2023-11-30T00:00:00"/>
    <d v="2023-12-30T00:00:00"/>
    <n v="34793.26"/>
    <s v="Paid"/>
    <x v="2"/>
    <n v="30"/>
    <n v="0"/>
    <x v="0"/>
  </r>
  <r>
    <s v="AR-INV-7398"/>
    <s v="CUS-02"/>
    <d v="2023-11-30T00:00:00"/>
    <d v="2023-12-30T00:00:00"/>
    <n v="9583.93"/>
    <s v="Unpaid"/>
    <x v="4"/>
    <n v="30"/>
    <n v="9583.93"/>
    <x v="1"/>
  </r>
  <r>
    <s v="AR-INV-7432"/>
    <s v="CUS-01"/>
    <d v="2023-11-30T00:00:00"/>
    <d v="2023-12-30T00:00:00"/>
    <n v="1580.68"/>
    <s v="Paid"/>
    <x v="2"/>
    <n v="30"/>
    <n v="0"/>
    <x v="0"/>
  </r>
  <r>
    <s v="AR-INV-7437"/>
    <s v="CUS-01"/>
    <d v="2023-12-03T00:00:00"/>
    <d v="2024-01-02T00:00:00"/>
    <n v="46893.43"/>
    <s v="Paid"/>
    <x v="2"/>
    <n v="30"/>
    <n v="0"/>
    <x v="0"/>
  </r>
  <r>
    <s v="AR-INV-7386"/>
    <s v="CUS-01"/>
    <d v="2023-12-07T00:00:00"/>
    <d v="2024-01-06T00:00:00"/>
    <n v="27860.400000000001"/>
    <s v="Paid"/>
    <x v="2"/>
    <n v="30"/>
    <n v="0"/>
    <x v="0"/>
  </r>
  <r>
    <s v="AR-INV-7316"/>
    <s v="CUS-03"/>
    <d v="2023-12-16T00:00:00"/>
    <d v="2024-01-15T00:00:00"/>
    <n v="19534.41"/>
    <s v="Unpaid"/>
    <x v="3"/>
    <n v="30"/>
    <n v="19534.41"/>
    <x v="1"/>
  </r>
  <r>
    <s v="AR-INV-7433"/>
    <s v="CUS-04"/>
    <d v="2023-12-16T00:00:00"/>
    <d v="2024-01-15T00:00:00"/>
    <n v="8303.83"/>
    <s v="Paid"/>
    <x v="0"/>
    <n v="30"/>
    <n v="0"/>
    <x v="0"/>
  </r>
  <r>
    <s v="AR-INV-7473"/>
    <s v="CUS-04"/>
    <d v="2023-12-20T00:00:00"/>
    <d v="2024-01-19T00:00:00"/>
    <n v="19351.080000000002"/>
    <s v="Paid"/>
    <x v="0"/>
    <n v="30"/>
    <n v="0"/>
    <x v="0"/>
  </r>
  <r>
    <s v="AR-INV-7006"/>
    <s v="CUS-05"/>
    <d v="2023-12-22T00:00:00"/>
    <d v="2024-01-21T00:00:00"/>
    <n v="18851.98"/>
    <s v="Paid"/>
    <x v="1"/>
    <n v="30"/>
    <n v="0"/>
    <x v="0"/>
  </r>
  <r>
    <s v="AR-INV-7194"/>
    <s v="CUS-04"/>
    <d v="2023-12-22T00:00:00"/>
    <d v="2024-01-21T00:00:00"/>
    <n v="49219.519999999997"/>
    <s v="Paid"/>
    <x v="0"/>
    <n v="30"/>
    <n v="0"/>
    <x v="0"/>
  </r>
  <r>
    <s v="AR-INV-7106"/>
    <s v="CUS-01"/>
    <d v="2023-12-27T00:00:00"/>
    <d v="2024-01-26T00:00:00"/>
    <n v="26478.07"/>
    <s v="Paid"/>
    <x v="2"/>
    <n v="30"/>
    <n v="0"/>
    <x v="0"/>
  </r>
  <r>
    <s v="AR-INV-7487"/>
    <s v="CUS-04"/>
    <d v="2023-12-29T00:00:00"/>
    <d v="2024-01-28T00:00:00"/>
    <n v="47668.26"/>
    <s v="Paid"/>
    <x v="0"/>
    <n v="30"/>
    <n v="0"/>
    <x v="0"/>
  </r>
  <r>
    <s v="AR-INV-7268"/>
    <s v="CUS-03"/>
    <d v="2024-01-01T00:00:00"/>
    <d v="2024-01-31T00:00:00"/>
    <n v="30428.639999999999"/>
    <s v="Paid"/>
    <x v="3"/>
    <n v="30"/>
    <n v="0"/>
    <x v="0"/>
  </r>
  <r>
    <s v="AR-INV-7426"/>
    <s v="CUS-03"/>
    <d v="2024-01-10T00:00:00"/>
    <d v="2024-02-09T00:00:00"/>
    <n v="34993.660000000003"/>
    <s v="Paid"/>
    <x v="3"/>
    <n v="30"/>
    <n v="0"/>
    <x v="0"/>
  </r>
  <r>
    <s v="AR-INV-7167"/>
    <s v="CUS-05"/>
    <d v="2024-01-13T00:00:00"/>
    <d v="2024-02-12T00:00:00"/>
    <n v="18645.41"/>
    <s v="Paid"/>
    <x v="1"/>
    <n v="30"/>
    <n v="0"/>
    <x v="0"/>
  </r>
  <r>
    <s v="AR-INV-7488"/>
    <s v="CUS-01"/>
    <d v="2024-01-14T00:00:00"/>
    <d v="2024-02-13T00:00:00"/>
    <n v="24095.98"/>
    <s v="Paid"/>
    <x v="2"/>
    <n v="30"/>
    <n v="0"/>
    <x v="0"/>
  </r>
  <r>
    <s v="AR-INV-7149"/>
    <s v="CUS-05"/>
    <d v="2024-01-22T00:00:00"/>
    <d v="2024-02-21T00:00:00"/>
    <n v="46003.74"/>
    <s v="Paid"/>
    <x v="1"/>
    <n v="30"/>
    <n v="0"/>
    <x v="0"/>
  </r>
  <r>
    <s v="AR-INV-7130"/>
    <s v="CUS-01"/>
    <d v="2024-01-27T00:00:00"/>
    <d v="2024-02-26T00:00:00"/>
    <n v="3009.61"/>
    <s v="Paid"/>
    <x v="2"/>
    <n v="30"/>
    <n v="0"/>
    <x v="0"/>
  </r>
  <r>
    <s v="AR-INV-7242"/>
    <s v="CUS-04"/>
    <d v="2024-01-27T00:00:00"/>
    <d v="2024-02-26T00:00:00"/>
    <n v="31795.15"/>
    <s v="Paid"/>
    <x v="0"/>
    <n v="30"/>
    <n v="0"/>
    <x v="0"/>
  </r>
  <r>
    <s v="AR-INV-7498"/>
    <s v="CUS-03"/>
    <d v="2024-01-30T00:00:00"/>
    <d v="2024-02-29T00:00:00"/>
    <n v="18652.27"/>
    <s v="Paid"/>
    <x v="3"/>
    <n v="30"/>
    <n v="0"/>
    <x v="0"/>
  </r>
  <r>
    <s v="AR-INV-7104"/>
    <s v="CUS-05"/>
    <d v="2024-02-01T00:00:00"/>
    <d v="2024-03-02T00:00:00"/>
    <n v="11863.85"/>
    <s v="Paid"/>
    <x v="1"/>
    <n v="30"/>
    <n v="0"/>
    <x v="0"/>
  </r>
  <r>
    <s v="AR-INV-7224"/>
    <s v="CUS-03"/>
    <d v="2024-02-01T00:00:00"/>
    <d v="2024-03-02T00:00:00"/>
    <n v="19818.330000000002"/>
    <s v="Paid"/>
    <x v="3"/>
    <n v="30"/>
    <n v="0"/>
    <x v="0"/>
  </r>
  <r>
    <s v="AR-INV-7401"/>
    <s v="CUS-04"/>
    <d v="2024-02-02T00:00:00"/>
    <d v="2024-03-03T00:00:00"/>
    <n v="13878.4"/>
    <s v="Paid"/>
    <x v="0"/>
    <n v="30"/>
    <n v="0"/>
    <x v="0"/>
  </r>
  <r>
    <s v="AR-INV-7387"/>
    <s v="CUS-02"/>
    <d v="2024-02-03T00:00:00"/>
    <d v="2024-03-04T00:00:00"/>
    <n v="45724.5"/>
    <s v="Paid"/>
    <x v="4"/>
    <n v="30"/>
    <n v="0"/>
    <x v="0"/>
  </r>
  <r>
    <s v="AR-INV-7154"/>
    <s v="CUS-02"/>
    <d v="2024-02-04T00:00:00"/>
    <d v="2024-03-05T00:00:00"/>
    <n v="8998.39"/>
    <s v="Paid"/>
    <x v="4"/>
    <n v="30"/>
    <n v="0"/>
    <x v="0"/>
  </r>
  <r>
    <s v="AR-INV-7454"/>
    <s v="CUS-05"/>
    <d v="2024-02-04T00:00:00"/>
    <d v="2024-03-05T00:00:00"/>
    <n v="15609.87"/>
    <s v="Paid"/>
    <x v="1"/>
    <n v="30"/>
    <n v="0"/>
    <x v="0"/>
  </r>
  <r>
    <s v="AR-INV-7030"/>
    <s v="CUS-02"/>
    <d v="2024-02-05T00:00:00"/>
    <d v="2024-03-06T00:00:00"/>
    <n v="25380.35"/>
    <s v="Paid"/>
    <x v="4"/>
    <n v="30"/>
    <n v="0"/>
    <x v="0"/>
  </r>
  <r>
    <s v="AR-INV-7411"/>
    <s v="CUS-04"/>
    <d v="2024-02-05T00:00:00"/>
    <d v="2024-03-06T00:00:00"/>
    <n v="29061.14"/>
    <s v="Paid"/>
    <x v="0"/>
    <n v="30"/>
    <n v="0"/>
    <x v="0"/>
  </r>
  <r>
    <s v="AR-INV-7319"/>
    <s v="CUS-05"/>
    <d v="2024-02-06T00:00:00"/>
    <d v="2024-03-07T00:00:00"/>
    <n v="22607.88"/>
    <s v="Paid"/>
    <x v="1"/>
    <n v="30"/>
    <n v="0"/>
    <x v="0"/>
  </r>
  <r>
    <s v="AR-INV-7143"/>
    <s v="CUS-01"/>
    <d v="2024-02-08T00:00:00"/>
    <d v="2024-03-09T00:00:00"/>
    <n v="16013.49"/>
    <s v="Paid"/>
    <x v="2"/>
    <n v="30"/>
    <n v="0"/>
    <x v="0"/>
  </r>
  <r>
    <s v="AR-INV-7302"/>
    <s v="CUS-05"/>
    <d v="2024-02-08T00:00:00"/>
    <d v="2024-03-09T00:00:00"/>
    <n v="23380.58"/>
    <s v="Paid"/>
    <x v="1"/>
    <n v="30"/>
    <n v="0"/>
    <x v="0"/>
  </r>
  <r>
    <s v="AR-INV-7044"/>
    <s v="CUS-05"/>
    <d v="2024-02-10T00:00:00"/>
    <d v="2024-03-11T00:00:00"/>
    <n v="29847.360000000001"/>
    <s v="Paid"/>
    <x v="1"/>
    <n v="30"/>
    <n v="0"/>
    <x v="0"/>
  </r>
  <r>
    <s v="AR-INV-7315"/>
    <s v="CUS-03"/>
    <d v="2024-02-11T00:00:00"/>
    <d v="2024-03-12T00:00:00"/>
    <n v="38717.58"/>
    <s v="Unpaid"/>
    <x v="3"/>
    <n v="30"/>
    <n v="38717.58"/>
    <x v="1"/>
  </r>
  <r>
    <s v="AR-INV-7199"/>
    <s v="CUS-03"/>
    <d v="2024-02-17T00:00:00"/>
    <d v="2024-03-18T00:00:00"/>
    <n v="16332.73"/>
    <s v="Unpaid"/>
    <x v="3"/>
    <n v="30"/>
    <n v="16332.73"/>
    <x v="1"/>
  </r>
  <r>
    <s v="AR-INV-7400"/>
    <s v="CUS-04"/>
    <d v="2024-02-18T00:00:00"/>
    <d v="2024-03-19T00:00:00"/>
    <n v="21896.98"/>
    <s v="Paid"/>
    <x v="0"/>
    <n v="30"/>
    <n v="0"/>
    <x v="0"/>
  </r>
  <r>
    <s v="AR-INV-7393"/>
    <s v="CUS-03"/>
    <d v="2024-02-24T00:00:00"/>
    <d v="2024-03-25T00:00:00"/>
    <n v="15434.26"/>
    <s v="Paid"/>
    <x v="3"/>
    <n v="30"/>
    <n v="0"/>
    <x v="0"/>
  </r>
  <r>
    <s v="AR-INV-7360"/>
    <s v="CUS-05"/>
    <d v="2024-02-25T00:00:00"/>
    <d v="2024-03-26T00:00:00"/>
    <n v="15019.57"/>
    <s v="Unpaid"/>
    <x v="1"/>
    <n v="30"/>
    <n v="15019.57"/>
    <x v="1"/>
  </r>
  <r>
    <s v="AR-INV-7093"/>
    <s v="CUS-05"/>
    <d v="2024-03-02T00:00:00"/>
    <d v="2024-04-01T00:00:00"/>
    <n v="34365.879999999997"/>
    <s v="Paid"/>
    <x v="1"/>
    <n v="30"/>
    <n v="0"/>
    <x v="0"/>
  </r>
  <r>
    <s v="AR-INV-7306"/>
    <s v="CUS-05"/>
    <d v="2024-03-03T00:00:00"/>
    <d v="2024-04-02T00:00:00"/>
    <n v="8498.1200000000008"/>
    <s v="Paid"/>
    <x v="1"/>
    <n v="30"/>
    <n v="0"/>
    <x v="0"/>
  </r>
  <r>
    <s v="AR-INV-7174"/>
    <s v="CUS-02"/>
    <d v="2024-03-08T00:00:00"/>
    <d v="2024-04-07T00:00:00"/>
    <n v="8867.57"/>
    <s v="Paid"/>
    <x v="4"/>
    <n v="30"/>
    <n v="0"/>
    <x v="0"/>
  </r>
  <r>
    <s v="AR-INV-7250"/>
    <s v="CUS-04"/>
    <d v="2024-03-13T00:00:00"/>
    <d v="2024-04-12T00:00:00"/>
    <n v="39380.36"/>
    <s v="Paid"/>
    <x v="0"/>
    <n v="30"/>
    <n v="0"/>
    <x v="0"/>
  </r>
  <r>
    <s v="AR-INV-7009"/>
    <s v="CUS-03"/>
    <d v="2024-03-15T00:00:00"/>
    <d v="2024-04-14T00:00:00"/>
    <n v="34496.639999999999"/>
    <s v="Paid"/>
    <x v="3"/>
    <n v="30"/>
    <n v="0"/>
    <x v="0"/>
  </r>
  <r>
    <s v="AR-INV-7094"/>
    <s v="CUS-04"/>
    <d v="2024-03-15T00:00:00"/>
    <d v="2024-04-14T00:00:00"/>
    <n v="21465.67"/>
    <s v="Paid"/>
    <x v="0"/>
    <n v="30"/>
    <n v="0"/>
    <x v="0"/>
  </r>
  <r>
    <s v="AR-INV-7138"/>
    <s v="CUS-02"/>
    <d v="2024-03-15T00:00:00"/>
    <d v="2024-04-14T00:00:00"/>
    <n v="25768.94"/>
    <s v="Paid"/>
    <x v="4"/>
    <n v="30"/>
    <n v="0"/>
    <x v="0"/>
  </r>
  <r>
    <s v="AR-INV-7431"/>
    <s v="CUS-03"/>
    <d v="2024-03-16T00:00:00"/>
    <d v="2024-04-15T00:00:00"/>
    <n v="13980.78"/>
    <s v="Paid"/>
    <x v="3"/>
    <n v="30"/>
    <n v="0"/>
    <x v="0"/>
  </r>
  <r>
    <s v="AR-INV-7191"/>
    <s v="CUS-02"/>
    <d v="2024-03-18T00:00:00"/>
    <d v="2024-04-17T00:00:00"/>
    <n v="39193.660000000003"/>
    <s v="Paid"/>
    <x v="4"/>
    <n v="30"/>
    <n v="0"/>
    <x v="0"/>
  </r>
  <r>
    <s v="AR-INV-7392"/>
    <s v="CUS-01"/>
    <d v="2024-03-19T00:00:00"/>
    <d v="2024-04-18T00:00:00"/>
    <n v="18996.2"/>
    <s v="Paid"/>
    <x v="2"/>
    <n v="30"/>
    <n v="0"/>
    <x v="0"/>
  </r>
  <r>
    <s v="AR-INV-7493"/>
    <s v="CUS-05"/>
    <d v="2024-03-22T00:00:00"/>
    <d v="2024-04-21T00:00:00"/>
    <n v="42327.93"/>
    <s v="Paid"/>
    <x v="1"/>
    <n v="30"/>
    <n v="0"/>
    <x v="0"/>
  </r>
  <r>
    <s v="AR-INV-7028"/>
    <s v="CUS-04"/>
    <d v="2024-03-23T00:00:00"/>
    <d v="2024-04-22T00:00:00"/>
    <n v="19067.45"/>
    <s v="Paid"/>
    <x v="0"/>
    <n v="30"/>
    <n v="0"/>
    <x v="0"/>
  </r>
  <r>
    <s v="AR-INV-7257"/>
    <s v="CUS-04"/>
    <d v="2024-03-26T00:00:00"/>
    <d v="2024-04-25T00:00:00"/>
    <n v="39136.22"/>
    <s v="Paid"/>
    <x v="0"/>
    <n v="30"/>
    <n v="0"/>
    <x v="0"/>
  </r>
  <r>
    <s v="AR-INV-7229"/>
    <s v="CUS-02"/>
    <d v="2024-03-28T00:00:00"/>
    <d v="2024-04-27T00:00:00"/>
    <n v="9269.9599999999991"/>
    <s v="Paid"/>
    <x v="4"/>
    <n v="30"/>
    <n v="0"/>
    <x v="0"/>
  </r>
  <r>
    <s v="AR-INV-7255"/>
    <s v="CUS-03"/>
    <d v="2024-03-30T00:00:00"/>
    <d v="2024-04-29T00:00:00"/>
    <n v="12124.84"/>
    <s v="Paid"/>
    <x v="3"/>
    <n v="30"/>
    <n v="0"/>
    <x v="0"/>
  </r>
  <r>
    <s v="AR-INV-7290"/>
    <s v="CUS-05"/>
    <d v="2024-04-04T00:00:00"/>
    <d v="2024-05-04T00:00:00"/>
    <n v="46477.16"/>
    <s v="Paid"/>
    <x v="1"/>
    <n v="30"/>
    <n v="0"/>
    <x v="0"/>
  </r>
  <r>
    <s v="AR-INV-7010"/>
    <s v="CUS-01"/>
    <d v="2024-04-05T00:00:00"/>
    <d v="2024-05-05T00:00:00"/>
    <n v="46056.76"/>
    <s v="Paid"/>
    <x v="2"/>
    <n v="30"/>
    <n v="0"/>
    <x v="0"/>
  </r>
  <r>
    <s v="AR-INV-7172"/>
    <s v="CUS-04"/>
    <d v="2024-04-10T00:00:00"/>
    <d v="2024-05-10T00:00:00"/>
    <n v="45911.54"/>
    <s v="Paid"/>
    <x v="0"/>
    <n v="30"/>
    <n v="0"/>
    <x v="0"/>
  </r>
  <r>
    <s v="AR-INV-7197"/>
    <s v="CUS-01"/>
    <d v="2024-04-17T00:00:00"/>
    <d v="2024-05-17T00:00:00"/>
    <n v="24256.41"/>
    <s v="Unpaid"/>
    <x v="2"/>
    <n v="30"/>
    <n v="24256.41"/>
    <x v="1"/>
  </r>
  <r>
    <s v="AR-INV-7341"/>
    <s v="CUS-04"/>
    <d v="2024-04-17T00:00:00"/>
    <d v="2024-05-17T00:00:00"/>
    <n v="1139.28"/>
    <s v="Paid"/>
    <x v="0"/>
    <n v="30"/>
    <n v="0"/>
    <x v="0"/>
  </r>
  <r>
    <s v="AR-INV-7483"/>
    <s v="CUS-05"/>
    <d v="2024-04-18T00:00:00"/>
    <d v="2024-05-18T00:00:00"/>
    <n v="38230.620000000003"/>
    <s v="Paid"/>
    <x v="1"/>
    <n v="30"/>
    <n v="0"/>
    <x v="0"/>
  </r>
  <r>
    <s v="AR-INV-7266"/>
    <s v="CUS-02"/>
    <d v="2024-04-23T00:00:00"/>
    <d v="2024-05-23T00:00:00"/>
    <n v="19546.189999999999"/>
    <s v="Paid"/>
    <x v="4"/>
    <n v="30"/>
    <n v="0"/>
    <x v="0"/>
  </r>
  <r>
    <s v="AR-INV-7142"/>
    <s v="CUS-04"/>
    <d v="2024-04-28T00:00:00"/>
    <d v="2024-05-28T00:00:00"/>
    <n v="15916.15"/>
    <s v="Paid"/>
    <x v="0"/>
    <n v="30"/>
    <n v="0"/>
    <x v="0"/>
  </r>
  <r>
    <s v="AR-INV-7405"/>
    <s v="CUS-05"/>
    <d v="2024-05-03T00:00:00"/>
    <d v="2024-06-02T00:00:00"/>
    <n v="36873"/>
    <s v="Paid"/>
    <x v="1"/>
    <n v="30"/>
    <n v="0"/>
    <x v="0"/>
  </r>
  <r>
    <s v="AR-INV-7201"/>
    <s v="CUS-05"/>
    <d v="2024-05-06T00:00:00"/>
    <d v="2024-06-05T00:00:00"/>
    <n v="32953.85"/>
    <s v="Paid"/>
    <x v="1"/>
    <n v="30"/>
    <n v="0"/>
    <x v="0"/>
  </r>
  <r>
    <s v="AR-INV-7434"/>
    <s v="CUS-01"/>
    <d v="2024-05-06T00:00:00"/>
    <d v="2024-06-05T00:00:00"/>
    <n v="2373.2199999999998"/>
    <s v="Paid"/>
    <x v="2"/>
    <n v="30"/>
    <n v="0"/>
    <x v="0"/>
  </r>
  <r>
    <s v="AR-INV-7436"/>
    <s v="CUS-05"/>
    <d v="2024-05-09T00:00:00"/>
    <d v="2024-06-08T00:00:00"/>
    <n v="2431.2600000000002"/>
    <s v="Paid"/>
    <x v="1"/>
    <n v="30"/>
    <n v="0"/>
    <x v="0"/>
  </r>
  <r>
    <s v="AR-INV-7247"/>
    <s v="CUS-04"/>
    <d v="2024-05-19T00:00:00"/>
    <d v="2024-06-18T00:00:00"/>
    <n v="23383.98"/>
    <s v="Paid"/>
    <x v="0"/>
    <n v="30"/>
    <n v="0"/>
    <x v="0"/>
  </r>
  <r>
    <s v="AR-INV-7176"/>
    <s v="CUS-02"/>
    <d v="2024-05-31T00:00:00"/>
    <d v="2024-06-30T00:00:00"/>
    <n v="12831.26"/>
    <s v="Paid"/>
    <x v="4"/>
    <n v="30"/>
    <n v="0"/>
    <x v="0"/>
  </r>
  <r>
    <s v="AR-INV-7112"/>
    <s v="CUS-02"/>
    <d v="2024-06-03T00:00:00"/>
    <d v="2024-07-03T00:00:00"/>
    <n v="1394.59"/>
    <s v="Paid"/>
    <x v="4"/>
    <n v="30"/>
    <n v="0"/>
    <x v="0"/>
  </r>
  <r>
    <s v="AR-INV-7110"/>
    <s v="CUS-01"/>
    <d v="2024-06-06T00:00:00"/>
    <d v="2024-07-06T00:00:00"/>
    <n v="7334.88"/>
    <s v="Paid"/>
    <x v="2"/>
    <n v="30"/>
    <n v="0"/>
    <x v="0"/>
  </r>
  <r>
    <s v="AR-INV-7278"/>
    <s v="CUS-03"/>
    <d v="2024-06-10T00:00:00"/>
    <d v="2024-07-10T00:00:00"/>
    <n v="31127.65"/>
    <s v="Paid"/>
    <x v="3"/>
    <n v="30"/>
    <n v="0"/>
    <x v="0"/>
  </r>
  <r>
    <s v="AR-INV-7328"/>
    <s v="CUS-05"/>
    <d v="2024-06-21T00:00:00"/>
    <d v="2024-07-21T00:00:00"/>
    <n v="47875.88"/>
    <s v="Paid"/>
    <x v="1"/>
    <n v="30"/>
    <n v="0"/>
    <x v="0"/>
  </r>
  <r>
    <s v="AR-INV-7241"/>
    <s v="CUS-01"/>
    <d v="2024-06-30T00:00:00"/>
    <d v="2024-07-30T00:00:00"/>
    <n v="13089.24"/>
    <s v="Unpaid"/>
    <x v="2"/>
    <n v="30"/>
    <n v="13089.24"/>
    <x v="1"/>
  </r>
  <r>
    <s v="AR-INV-7390"/>
    <s v="CUS-03"/>
    <d v="2024-06-30T00:00:00"/>
    <d v="2024-07-30T00:00:00"/>
    <n v="47032.45"/>
    <s v="Paid"/>
    <x v="3"/>
    <n v="30"/>
    <n v="0"/>
    <x v="0"/>
  </r>
  <r>
    <s v="AR-INV-7046"/>
    <s v="CUS-04"/>
    <d v="2024-07-07T00:00:00"/>
    <d v="2024-08-06T00:00:00"/>
    <n v="19908.3"/>
    <s v="Paid"/>
    <x v="0"/>
    <n v="30"/>
    <n v="0"/>
    <x v="0"/>
  </r>
  <r>
    <s v="AR-INV-7464"/>
    <s v="CUS-04"/>
    <d v="2024-07-14T00:00:00"/>
    <d v="2024-08-13T00:00:00"/>
    <n v="35128.050000000003"/>
    <s v="Paid"/>
    <x v="0"/>
    <n v="30"/>
    <n v="0"/>
    <x v="0"/>
  </r>
  <r>
    <s v="AR-INV-7042"/>
    <s v="CUS-05"/>
    <d v="2024-07-23T00:00:00"/>
    <d v="2024-08-22T00:00:00"/>
    <n v="32202.43"/>
    <s v="Paid"/>
    <x v="1"/>
    <n v="30"/>
    <n v="0"/>
    <x v="0"/>
  </r>
  <r>
    <s v="AR-INV-7118"/>
    <s v="CUS-01"/>
    <d v="2024-07-23T00:00:00"/>
    <d v="2024-08-22T00:00:00"/>
    <n v="23549.71"/>
    <s v="Paid"/>
    <x v="2"/>
    <n v="30"/>
    <n v="0"/>
    <x v="0"/>
  </r>
  <r>
    <s v="AR-INV-7259"/>
    <s v="CUS-04"/>
    <d v="2024-07-27T00:00:00"/>
    <d v="2024-08-26T00:00:00"/>
    <n v="17371.830000000002"/>
    <s v="Paid"/>
    <x v="0"/>
    <n v="30"/>
    <n v="0"/>
    <x v="0"/>
  </r>
  <r>
    <s v="AR-INV-7231"/>
    <s v="CUS-04"/>
    <d v="2024-07-31T00:00:00"/>
    <d v="2024-08-30T00:00:00"/>
    <n v="12729.74"/>
    <s v="Paid"/>
    <x v="0"/>
    <n v="30"/>
    <n v="0"/>
    <x v="0"/>
  </r>
  <r>
    <s v="AR-INV-7171"/>
    <s v="CUS-02"/>
    <d v="2024-08-02T00:00:00"/>
    <d v="2024-09-01T00:00:00"/>
    <n v="26456.400000000001"/>
    <s v="Paid"/>
    <x v="4"/>
    <n v="30"/>
    <n v="0"/>
    <x v="0"/>
  </r>
  <r>
    <s v="AR-INV-7062"/>
    <s v="CUS-02"/>
    <d v="2024-08-05T00:00:00"/>
    <d v="2024-09-04T00:00:00"/>
    <n v="48863.27"/>
    <s v="Unpaid"/>
    <x v="4"/>
    <n v="30"/>
    <n v="48863.27"/>
    <x v="1"/>
  </r>
  <r>
    <s v="AR-INV-7253"/>
    <s v="CUS-03"/>
    <d v="2024-08-08T00:00:00"/>
    <d v="2024-09-07T00:00:00"/>
    <n v="36413.5"/>
    <s v="Paid"/>
    <x v="3"/>
    <n v="30"/>
    <n v="0"/>
    <x v="0"/>
  </r>
  <r>
    <s v="AR-INV-7208"/>
    <s v="CUS-05"/>
    <d v="2024-08-12T00:00:00"/>
    <d v="2024-09-11T00:00:00"/>
    <n v="30870.61"/>
    <s v="Unpaid"/>
    <x v="1"/>
    <n v="30"/>
    <n v="30870.61"/>
    <x v="1"/>
  </r>
  <r>
    <s v="AR-INV-7012"/>
    <s v="CUS-04"/>
    <d v="2024-08-13T00:00:00"/>
    <d v="2024-09-12T00:00:00"/>
    <n v="27612.87"/>
    <s v="Unpaid"/>
    <x v="0"/>
    <n v="30"/>
    <n v="27612.87"/>
    <x v="1"/>
  </r>
  <r>
    <s v="AR-INV-7323"/>
    <s v="CUS-02"/>
    <d v="2024-08-13T00:00:00"/>
    <d v="2024-09-12T00:00:00"/>
    <n v="16562.900000000001"/>
    <s v="Paid"/>
    <x v="4"/>
    <n v="30"/>
    <n v="0"/>
    <x v="0"/>
  </r>
  <r>
    <s v="AR-INV-7047"/>
    <s v="CUS-03"/>
    <d v="2024-08-14T00:00:00"/>
    <d v="2024-09-13T00:00:00"/>
    <n v="20740.48"/>
    <s v="Paid"/>
    <x v="3"/>
    <n v="30"/>
    <n v="0"/>
    <x v="0"/>
  </r>
  <r>
    <s v="AR-INV-7347"/>
    <s v="CUS-03"/>
    <d v="2024-08-16T00:00:00"/>
    <d v="2024-09-15T00:00:00"/>
    <n v="19461.96"/>
    <s v="Paid"/>
    <x v="3"/>
    <n v="30"/>
    <n v="0"/>
    <x v="0"/>
  </r>
  <r>
    <s v="AR-INV-7013"/>
    <s v="CUS-04"/>
    <d v="2024-08-19T00:00:00"/>
    <d v="2024-09-18T00:00:00"/>
    <n v="12286.76"/>
    <s v="Paid"/>
    <x v="0"/>
    <n v="30"/>
    <n v="0"/>
    <x v="0"/>
  </r>
  <r>
    <s v="AR-INV-7087"/>
    <s v="CUS-03"/>
    <d v="2024-08-19T00:00:00"/>
    <d v="2024-09-18T00:00:00"/>
    <n v="43725.61"/>
    <s v="Unpaid"/>
    <x v="3"/>
    <n v="30"/>
    <n v="43725.61"/>
    <x v="1"/>
  </r>
  <r>
    <s v="AR-INV-7233"/>
    <s v="CUS-05"/>
    <d v="2024-08-22T00:00:00"/>
    <d v="2024-09-21T00:00:00"/>
    <n v="24031.62"/>
    <s v="Unpaid"/>
    <x v="1"/>
    <n v="30"/>
    <n v="24031.62"/>
    <x v="1"/>
  </r>
  <r>
    <s v="AR-INV-7380"/>
    <s v="CUS-02"/>
    <d v="2024-08-31T00:00:00"/>
    <d v="2024-09-30T00:00:00"/>
    <n v="30529.49"/>
    <s v="Paid"/>
    <x v="4"/>
    <n v="30"/>
    <n v="0"/>
    <x v="0"/>
  </r>
  <r>
    <s v="AR-INV-7322"/>
    <s v="CUS-01"/>
    <d v="2024-09-05T00:00:00"/>
    <d v="2024-10-05T00:00:00"/>
    <n v="4168.7700000000004"/>
    <s v="Paid"/>
    <x v="2"/>
    <n v="30"/>
    <n v="0"/>
    <x v="0"/>
  </r>
  <r>
    <s v="AR-INV-7185"/>
    <s v="CUS-05"/>
    <d v="2024-09-07T00:00:00"/>
    <d v="2024-10-07T00:00:00"/>
    <n v="23821.82"/>
    <s v="Paid"/>
    <x v="1"/>
    <n v="30"/>
    <n v="0"/>
    <x v="0"/>
  </r>
  <r>
    <s v="AR-INV-7368"/>
    <s v="CUS-03"/>
    <d v="2024-09-11T00:00:00"/>
    <d v="2024-10-11T00:00:00"/>
    <n v="33314.22"/>
    <s v="Paid"/>
    <x v="3"/>
    <n v="30"/>
    <n v="0"/>
    <x v="0"/>
  </r>
  <r>
    <s v="AR-INV-7126"/>
    <s v="CUS-05"/>
    <d v="2024-09-17T00:00:00"/>
    <d v="2024-10-17T00:00:00"/>
    <n v="29262.06"/>
    <s v="Paid"/>
    <x v="1"/>
    <n v="30"/>
    <n v="0"/>
    <x v="0"/>
  </r>
  <r>
    <s v="AR-INV-7260"/>
    <s v="CUS-04"/>
    <d v="2024-09-25T00:00:00"/>
    <d v="2024-10-25T00:00:00"/>
    <n v="41345.69"/>
    <s v="Paid"/>
    <x v="0"/>
    <n v="30"/>
    <n v="0"/>
    <x v="0"/>
  </r>
  <r>
    <s v="AR-INV-7438"/>
    <s v="CUS-05"/>
    <d v="2024-09-28T00:00:00"/>
    <d v="2024-10-28T00:00:00"/>
    <n v="25925.45"/>
    <s v="Paid"/>
    <x v="1"/>
    <n v="30"/>
    <n v="0"/>
    <x v="0"/>
  </r>
  <r>
    <s v="AR-INV-7335"/>
    <s v="CUS-01"/>
    <d v="2024-09-29T00:00:00"/>
    <d v="2024-10-29T00:00:00"/>
    <n v="14881.23"/>
    <s v="Paid"/>
    <x v="2"/>
    <n v="30"/>
    <n v="0"/>
    <x v="0"/>
  </r>
  <r>
    <s v="AR-INV-7067"/>
    <s v="CUS-03"/>
    <d v="2024-10-02T00:00:00"/>
    <d v="2024-11-01T00:00:00"/>
    <n v="23562.59"/>
    <s v="Paid"/>
    <x v="3"/>
    <n v="30"/>
    <n v="0"/>
    <x v="0"/>
  </r>
  <r>
    <s v="AR-INV-7346"/>
    <s v="CUS-01"/>
    <d v="2024-10-02T00:00:00"/>
    <d v="2024-11-01T00:00:00"/>
    <n v="11916.53"/>
    <s v="Paid"/>
    <x v="2"/>
    <n v="30"/>
    <n v="0"/>
    <x v="0"/>
  </r>
  <r>
    <s v="AR-INV-7186"/>
    <s v="CUS-05"/>
    <d v="2024-10-03T00:00:00"/>
    <d v="2024-11-02T00:00:00"/>
    <n v="25095.41"/>
    <s v="Paid"/>
    <x v="1"/>
    <n v="30"/>
    <n v="0"/>
    <x v="0"/>
  </r>
  <r>
    <s v="AR-INV-7252"/>
    <s v="CUS-05"/>
    <d v="2024-10-03T00:00:00"/>
    <d v="2024-11-02T00:00:00"/>
    <n v="20025.5"/>
    <s v="Paid"/>
    <x v="1"/>
    <n v="30"/>
    <n v="0"/>
    <x v="0"/>
  </r>
  <r>
    <s v="AR-INV-7183"/>
    <s v="CUS-05"/>
    <d v="2024-10-04T00:00:00"/>
    <d v="2024-11-03T00:00:00"/>
    <n v="11404.94"/>
    <s v="Paid"/>
    <x v="1"/>
    <n v="30"/>
    <n v="0"/>
    <x v="0"/>
  </r>
  <r>
    <s v="AR-INV-7338"/>
    <s v="CUS-01"/>
    <d v="2024-10-05T00:00:00"/>
    <d v="2024-11-04T00:00:00"/>
    <n v="19971.87"/>
    <s v="Paid"/>
    <x v="2"/>
    <n v="30"/>
    <n v="0"/>
    <x v="0"/>
  </r>
  <r>
    <s v="AR-INV-7095"/>
    <s v="CUS-01"/>
    <d v="2024-10-07T00:00:00"/>
    <d v="2024-11-06T00:00:00"/>
    <n v="16606.37"/>
    <s v="Unpaid"/>
    <x v="2"/>
    <n v="30"/>
    <n v="16606.37"/>
    <x v="1"/>
  </r>
  <r>
    <s v="AR-INV-7480"/>
    <s v="CUS-05"/>
    <d v="2024-10-11T00:00:00"/>
    <d v="2024-11-10T00:00:00"/>
    <n v="16087.04"/>
    <s v="Paid"/>
    <x v="1"/>
    <n v="30"/>
    <n v="0"/>
    <x v="0"/>
  </r>
  <r>
    <s v="AR-INV-7461"/>
    <s v="CUS-01"/>
    <d v="2024-10-15T00:00:00"/>
    <d v="2024-11-14T00:00:00"/>
    <n v="27101.200000000001"/>
    <s v="Unpaid"/>
    <x v="2"/>
    <n v="30"/>
    <n v="27101.200000000001"/>
    <x v="1"/>
  </r>
  <r>
    <s v="AR-INV-7117"/>
    <s v="CUS-04"/>
    <d v="2024-10-16T00:00:00"/>
    <d v="2024-11-15T00:00:00"/>
    <n v="29025.13"/>
    <s v="Paid"/>
    <x v="0"/>
    <n v="30"/>
    <n v="0"/>
    <x v="0"/>
  </r>
  <r>
    <s v="AR-INV-7441"/>
    <s v="CUS-05"/>
    <d v="2024-10-18T00:00:00"/>
    <d v="2024-11-17T00:00:00"/>
    <n v="32646.84"/>
    <s v="Paid"/>
    <x v="1"/>
    <n v="30"/>
    <n v="0"/>
    <x v="0"/>
  </r>
  <r>
    <s v="AR-INV-7355"/>
    <s v="CUS-01"/>
    <d v="2024-10-22T00:00:00"/>
    <d v="2024-11-21T00:00:00"/>
    <n v="13926.88"/>
    <s v="Paid"/>
    <x v="2"/>
    <n v="30"/>
    <n v="0"/>
    <x v="0"/>
  </r>
  <r>
    <s v="AR-INV-7103"/>
    <s v="CUS-05"/>
    <d v="2024-10-23T00:00:00"/>
    <d v="2024-11-22T00:00:00"/>
    <n v="28598.18"/>
    <s v="Paid"/>
    <x v="1"/>
    <n v="30"/>
    <n v="0"/>
    <x v="0"/>
  </r>
  <r>
    <s v="AR-INV-7381"/>
    <s v="CUS-05"/>
    <d v="2024-10-24T00:00:00"/>
    <d v="2024-11-23T00:00:00"/>
    <n v="39916.22"/>
    <s v="Paid"/>
    <x v="1"/>
    <n v="30"/>
    <n v="0"/>
    <x v="0"/>
  </r>
  <r>
    <s v="AR-INV-7128"/>
    <s v="CUS-01"/>
    <d v="2024-10-30T00:00:00"/>
    <d v="2024-11-29T00:00:00"/>
    <n v="23030.04"/>
    <s v="Unpaid"/>
    <x v="2"/>
    <n v="30"/>
    <n v="23030.04"/>
    <x v="1"/>
  </r>
  <r>
    <s v="AR-INV-7129"/>
    <s v="CUS-04"/>
    <d v="2024-11-08T00:00:00"/>
    <d v="2024-12-08T00:00:00"/>
    <n v="7835.55"/>
    <s v="Paid"/>
    <x v="0"/>
    <n v="30"/>
    <n v="0"/>
    <x v="0"/>
  </r>
  <r>
    <s v="AR-INV-7295"/>
    <s v="CUS-02"/>
    <d v="2024-11-09T00:00:00"/>
    <d v="2024-12-09T00:00:00"/>
    <n v="33581.96"/>
    <s v="Paid"/>
    <x v="4"/>
    <n v="30"/>
    <n v="0"/>
    <x v="0"/>
  </r>
  <r>
    <s v="AR-INV-7004"/>
    <s v="CUS-04"/>
    <d v="2024-11-14T00:00:00"/>
    <d v="2024-12-14T00:00:00"/>
    <n v="38399.269999999997"/>
    <s v="Paid"/>
    <x v="0"/>
    <n v="30"/>
    <n v="0"/>
    <x v="0"/>
  </r>
  <r>
    <s v="AR-INV-7081"/>
    <s v="CUS-05"/>
    <d v="2024-11-17T00:00:00"/>
    <d v="2024-12-17T00:00:00"/>
    <n v="44978.6"/>
    <s v="Unpaid"/>
    <x v="1"/>
    <n v="30"/>
    <n v="44978.6"/>
    <x v="1"/>
  </r>
  <r>
    <s v="AR-INV-7053"/>
    <s v="CUS-03"/>
    <d v="2024-11-23T00:00:00"/>
    <d v="2024-12-23T00:00:00"/>
    <n v="46557.19"/>
    <s v="Paid"/>
    <x v="3"/>
    <n v="30"/>
    <n v="0"/>
    <x v="0"/>
  </r>
  <r>
    <s v="AR-INV-7299"/>
    <s v="CUS-03"/>
    <d v="2024-11-23T00:00:00"/>
    <d v="2024-12-23T00:00:00"/>
    <n v="31571.96"/>
    <s v="Paid"/>
    <x v="3"/>
    <n v="30"/>
    <n v="0"/>
    <x v="0"/>
  </r>
  <r>
    <s v="AR-INV-7273"/>
    <s v="CUS-02"/>
    <d v="2024-11-24T00:00:00"/>
    <d v="2024-12-24T00:00:00"/>
    <n v="19159.57"/>
    <s v="Unpaid"/>
    <x v="4"/>
    <n v="30"/>
    <n v="19159.57"/>
    <x v="1"/>
  </r>
  <r>
    <s v="AR-INV-7373"/>
    <s v="CUS-01"/>
    <d v="2024-11-28T00:00:00"/>
    <d v="2024-12-28T00:00:00"/>
    <n v="26685.22"/>
    <s v="Unpaid"/>
    <x v="2"/>
    <n v="30"/>
    <n v="26685.22"/>
    <x v="1"/>
  </r>
  <r>
    <s v="AR-INV-7022"/>
    <s v="CUS-01"/>
    <d v="2024-12-01T00:00:00"/>
    <d v="2024-12-31T00:00:00"/>
    <n v="37381.089999999997"/>
    <s v="Paid"/>
    <x v="2"/>
    <n v="30"/>
    <n v="0"/>
    <x v="0"/>
  </r>
  <r>
    <s v="AR-INV-7156"/>
    <s v="CUS-03"/>
    <d v="2024-12-03T00:00:00"/>
    <d v="2025-01-02T00:00:00"/>
    <n v="44785.53"/>
    <s v="Paid"/>
    <x v="3"/>
    <n v="30"/>
    <n v="0"/>
    <x v="0"/>
  </r>
  <r>
    <s v="AR-INV-7329"/>
    <s v="CUS-03"/>
    <d v="2024-12-04T00:00:00"/>
    <d v="2025-01-03T00:00:00"/>
    <n v="38597.79"/>
    <s v="Paid"/>
    <x v="3"/>
    <n v="30"/>
    <n v="0"/>
    <x v="0"/>
  </r>
  <r>
    <s v="AR-INV-7011"/>
    <s v="CUS-02"/>
    <d v="2024-12-07T00:00:00"/>
    <d v="2025-01-06T00:00:00"/>
    <n v="12755.27"/>
    <s v="Paid"/>
    <x v="4"/>
    <n v="30"/>
    <n v="0"/>
    <x v="0"/>
  </r>
  <r>
    <s v="AR-INV-7321"/>
    <s v="CUS-02"/>
    <d v="2024-12-08T00:00:00"/>
    <d v="2025-01-07T00:00:00"/>
    <n v="19805.98"/>
    <s v="Paid"/>
    <x v="4"/>
    <n v="30"/>
    <n v="0"/>
    <x v="0"/>
  </r>
  <r>
    <s v="AR-INV-7113"/>
    <s v="CUS-04"/>
    <d v="2024-12-11T00:00:00"/>
    <d v="2025-01-10T00:00:00"/>
    <n v="5973.02"/>
    <s v="Unpaid"/>
    <x v="0"/>
    <n v="30"/>
    <n v="5973.02"/>
    <x v="1"/>
  </r>
  <r>
    <s v="AR-INV-7175"/>
    <s v="CUS-04"/>
    <d v="2024-12-12T00:00:00"/>
    <d v="2025-01-11T00:00:00"/>
    <n v="39428.67"/>
    <s v="Paid"/>
    <x v="0"/>
    <n v="30"/>
    <n v="0"/>
    <x v="0"/>
  </r>
  <r>
    <s v="AR-INV-7189"/>
    <s v="CUS-04"/>
    <d v="2024-12-12T00:00:00"/>
    <d v="2025-01-11T00:00:00"/>
    <n v="3470.44"/>
    <s v="Paid"/>
    <x v="0"/>
    <n v="30"/>
    <n v="0"/>
    <x v="0"/>
  </r>
  <r>
    <s v="AR-INV-7285"/>
    <s v="CUS-05"/>
    <d v="2024-12-16T00:00:00"/>
    <d v="2025-01-15T00:00:00"/>
    <n v="9202.68"/>
    <s v="Paid"/>
    <x v="1"/>
    <n v="30"/>
    <n v="0"/>
    <x v="0"/>
  </r>
  <r>
    <s v="AR-INV-7254"/>
    <s v="CUS-01"/>
    <d v="2024-12-22T00:00:00"/>
    <d v="2025-01-21T00:00:00"/>
    <n v="4337.51"/>
    <s v="Paid"/>
    <x v="2"/>
    <n v="30"/>
    <n v="0"/>
    <x v="0"/>
  </r>
  <r>
    <s v="AR-INV-7282"/>
    <s v="CUS-01"/>
    <d v="2024-12-24T00:00:00"/>
    <d v="2025-01-23T00:00:00"/>
    <n v="12873.25"/>
    <s v="Paid"/>
    <x v="2"/>
    <n v="30"/>
    <n v="0"/>
    <x v="0"/>
  </r>
  <r>
    <s v="AR-INV-7122"/>
    <s v="CUS-02"/>
    <d v="2024-12-26T00:00:00"/>
    <d v="2025-01-25T00:00:00"/>
    <n v="49705.04"/>
    <s v="Unpaid"/>
    <x v="4"/>
    <n v="30"/>
    <n v="49705.04"/>
    <x v="1"/>
  </r>
  <r>
    <s v="AR-INV-7146"/>
    <s v="CUS-03"/>
    <d v="2025-01-05T00:00:00"/>
    <d v="2025-02-04T00:00:00"/>
    <n v="29708.86"/>
    <s v="Paid"/>
    <x v="3"/>
    <n v="30"/>
    <n v="0"/>
    <x v="0"/>
  </r>
  <r>
    <s v="AR-INV-7429"/>
    <s v="CUS-01"/>
    <d v="2025-01-05T00:00:00"/>
    <d v="2025-02-04T00:00:00"/>
    <n v="27560.92"/>
    <s v="Paid"/>
    <x v="2"/>
    <n v="30"/>
    <n v="0"/>
    <x v="0"/>
  </r>
  <r>
    <s v="AR-INV-7240"/>
    <s v="CUS-02"/>
    <d v="2025-01-09T00:00:00"/>
    <d v="2025-02-08T00:00:00"/>
    <n v="32261.73"/>
    <s v="Paid"/>
    <x v="4"/>
    <n v="30"/>
    <n v="0"/>
    <x v="0"/>
  </r>
  <r>
    <s v="AR-INV-7410"/>
    <s v="CUS-05"/>
    <d v="2025-01-10T00:00:00"/>
    <d v="2025-02-09T00:00:00"/>
    <n v="6023.32"/>
    <s v="Paid"/>
    <x v="1"/>
    <n v="30"/>
    <n v="0"/>
    <x v="0"/>
  </r>
  <r>
    <s v="AR-INV-7391"/>
    <s v="CUS-05"/>
    <d v="2025-01-11T00:00:00"/>
    <d v="2025-02-10T00:00:00"/>
    <n v="12533.11"/>
    <s v="Paid"/>
    <x v="1"/>
    <n v="30"/>
    <n v="0"/>
    <x v="0"/>
  </r>
  <r>
    <s v="AR-INV-7125"/>
    <s v="CUS-02"/>
    <d v="2025-01-14T00:00:00"/>
    <d v="2025-02-13T00:00:00"/>
    <n v="38033.9"/>
    <s v="Paid"/>
    <x v="4"/>
    <n v="30"/>
    <n v="0"/>
    <x v="0"/>
  </r>
  <r>
    <s v="AR-INV-7144"/>
    <s v="CUS-05"/>
    <d v="2025-01-14T00:00:00"/>
    <d v="2025-02-13T00:00:00"/>
    <n v="20787.810000000001"/>
    <s v="Paid"/>
    <x v="1"/>
    <n v="30"/>
    <n v="0"/>
    <x v="0"/>
  </r>
  <r>
    <s v="AR-INV-7015"/>
    <s v="CUS-02"/>
    <d v="2025-01-16T00:00:00"/>
    <d v="2025-02-15T00:00:00"/>
    <n v="38220.910000000003"/>
    <s v="Paid"/>
    <x v="4"/>
    <n v="30"/>
    <n v="0"/>
    <x v="0"/>
  </r>
  <r>
    <s v="AR-INV-7227"/>
    <s v="CUS-04"/>
    <d v="2025-01-22T00:00:00"/>
    <d v="2025-02-21T00:00:00"/>
    <n v="12964.8"/>
    <s v="Paid"/>
    <x v="0"/>
    <n v="30"/>
    <n v="0"/>
    <x v="0"/>
  </r>
  <r>
    <s v="AR-INV-7418"/>
    <s v="CUS-02"/>
    <d v="2025-01-23T00:00:00"/>
    <d v="2025-02-22T00:00:00"/>
    <n v="41218.36"/>
    <s v="Paid"/>
    <x v="4"/>
    <n v="30"/>
    <n v="0"/>
    <x v="0"/>
  </r>
  <r>
    <s v="AR-INV-7168"/>
    <s v="CUS-04"/>
    <d v="2025-01-26T00:00:00"/>
    <d v="2025-02-25T00:00:00"/>
    <n v="10770.28"/>
    <s v="Unpaid"/>
    <x v="0"/>
    <n v="30"/>
    <n v="10770.28"/>
    <x v="1"/>
  </r>
  <r>
    <s v="AR-INV-7261"/>
    <s v="CUS-03"/>
    <d v="2025-01-31T00:00:00"/>
    <d v="2025-03-02T00:00:00"/>
    <n v="49599.07"/>
    <s v="Unpaid"/>
    <x v="3"/>
    <n v="30"/>
    <n v="49599.07"/>
    <x v="1"/>
  </r>
  <r>
    <s v="AR-INV-7379"/>
    <s v="CUS-02"/>
    <d v="2025-01-31T00:00:00"/>
    <d v="2025-03-02T00:00:00"/>
    <n v="37201.08"/>
    <s v="Paid"/>
    <x v="4"/>
    <n v="30"/>
    <n v="0"/>
    <x v="0"/>
  </r>
  <r>
    <s v="AR-INV-7430"/>
    <s v="CUS-01"/>
    <d v="2025-02-04T00:00:00"/>
    <d v="2025-03-06T00:00:00"/>
    <n v="16905.75"/>
    <s v="Paid"/>
    <x v="2"/>
    <n v="30"/>
    <n v="0"/>
    <x v="0"/>
  </r>
  <r>
    <s v="AR-INV-7444"/>
    <s v="CUS-04"/>
    <d v="2025-02-08T00:00:00"/>
    <d v="2025-03-10T00:00:00"/>
    <n v="14125.27"/>
    <s v="Paid"/>
    <x v="0"/>
    <n v="30"/>
    <n v="0"/>
    <x v="0"/>
  </r>
  <r>
    <s v="AR-INV-7330"/>
    <s v="CUS-03"/>
    <d v="2025-02-11T00:00:00"/>
    <d v="2025-03-13T00:00:00"/>
    <n v="30945.86"/>
    <s v="Paid"/>
    <x v="3"/>
    <n v="30"/>
    <n v="0"/>
    <x v="0"/>
  </r>
  <r>
    <s v="AR-INV-7037"/>
    <s v="CUS-03"/>
    <d v="2025-02-19T00:00:00"/>
    <d v="2025-03-21T00:00:00"/>
    <n v="18324.34"/>
    <s v="Unpaid"/>
    <x v="3"/>
    <n v="30"/>
    <n v="18324.34"/>
    <x v="1"/>
  </r>
  <r>
    <s v="AR-INV-7342"/>
    <s v="CUS-05"/>
    <d v="2025-02-22T00:00:00"/>
    <d v="2025-03-24T00:00:00"/>
    <n v="33527.08"/>
    <s v="Paid"/>
    <x v="1"/>
    <n v="30"/>
    <n v="0"/>
    <x v="0"/>
  </r>
  <r>
    <s v="AR-INV-7218"/>
    <s v="CUS-03"/>
    <d v="2025-02-23T00:00:00"/>
    <d v="2025-03-25T00:00:00"/>
    <n v="30407.79"/>
    <s v="Paid"/>
    <x v="3"/>
    <n v="30"/>
    <n v="0"/>
    <x v="0"/>
  </r>
  <r>
    <s v="AR-INV-7364"/>
    <s v="CUS-02"/>
    <d v="2025-02-24T00:00:00"/>
    <d v="2025-03-26T00:00:00"/>
    <n v="7962.39"/>
    <s v="Paid"/>
    <x v="4"/>
    <n v="30"/>
    <n v="0"/>
    <x v="0"/>
  </r>
  <r>
    <s v="AR-INV-7427"/>
    <s v="CUS-03"/>
    <d v="2025-02-27T00:00:00"/>
    <d v="2025-03-29T00:00:00"/>
    <n v="18361.830000000002"/>
    <s v="Unpaid"/>
    <x v="3"/>
    <n v="30"/>
    <n v="18361.830000000002"/>
    <x v="1"/>
  </r>
  <r>
    <s v="AR-INV-7447"/>
    <s v="CUS-01"/>
    <d v="2025-03-04T00:00:00"/>
    <d v="2025-04-03T00:00:00"/>
    <n v="19872.169999999998"/>
    <s v="Paid"/>
    <x v="2"/>
    <n v="30"/>
    <n v="0"/>
    <x v="0"/>
  </r>
  <r>
    <s v="AR-INV-7184"/>
    <s v="CUS-03"/>
    <d v="2025-03-12T00:00:00"/>
    <d v="2025-04-11T00:00:00"/>
    <n v="24363.47"/>
    <s v="Paid"/>
    <x v="3"/>
    <n v="30"/>
    <n v="0"/>
    <x v="0"/>
  </r>
  <r>
    <s v="AR-INV-7064"/>
    <s v="CUS-04"/>
    <d v="2025-03-17T00:00:00"/>
    <d v="2025-04-16T00:00:00"/>
    <n v="16563.46"/>
    <s v="Paid"/>
    <x v="0"/>
    <n v="30"/>
    <n v="0"/>
    <x v="0"/>
  </r>
  <r>
    <s v="AR-INV-7377"/>
    <s v="CUS-04"/>
    <d v="2025-03-18T00:00:00"/>
    <d v="2025-04-17T00:00:00"/>
    <n v="4628.05"/>
    <s v="Paid"/>
    <x v="0"/>
    <n v="30"/>
    <n v="0"/>
    <x v="0"/>
  </r>
  <r>
    <s v="AR-INV-7388"/>
    <s v="CUS-05"/>
    <d v="2025-03-22T00:00:00"/>
    <d v="2025-04-21T00:00:00"/>
    <n v="36732.07"/>
    <s v="Paid"/>
    <x v="1"/>
    <n v="30"/>
    <n v="0"/>
    <x v="0"/>
  </r>
  <r>
    <s v="AR-INV-7414"/>
    <s v="CUS-04"/>
    <d v="2025-03-26T00:00:00"/>
    <d v="2025-04-25T00:00:00"/>
    <n v="28785.360000000001"/>
    <s v="Paid"/>
    <x v="0"/>
    <n v="30"/>
    <n v="0"/>
    <x v="0"/>
  </r>
  <r>
    <s v="AR-INV-7244"/>
    <s v="CUS-03"/>
    <d v="2025-03-27T00:00:00"/>
    <d v="2025-04-26T00:00:00"/>
    <n v="48957.64"/>
    <s v="Paid"/>
    <x v="3"/>
    <n v="30"/>
    <n v="0"/>
    <x v="0"/>
  </r>
  <r>
    <s v="AR-INV-7314"/>
    <s v="CUS-03"/>
    <d v="2025-03-28T00:00:00"/>
    <d v="2025-04-27T00:00:00"/>
    <n v="47062.3"/>
    <s v="Paid"/>
    <x v="3"/>
    <n v="30"/>
    <n v="0"/>
    <x v="0"/>
  </r>
  <r>
    <s v="AR-INV-7293"/>
    <s v="CUS-05"/>
    <d v="2025-04-01T00:00:00"/>
    <d v="2025-05-01T00:00:00"/>
    <n v="33320.870000000003"/>
    <s v="Paid"/>
    <x v="1"/>
    <n v="30"/>
    <n v="0"/>
    <x v="0"/>
  </r>
  <r>
    <s v="AR-INV-7072"/>
    <s v="CUS-05"/>
    <d v="2025-04-07T00:00:00"/>
    <d v="2025-05-07T00:00:00"/>
    <n v="41643.39"/>
    <s v="Paid"/>
    <x v="1"/>
    <n v="30"/>
    <n v="0"/>
    <x v="0"/>
  </r>
  <r>
    <s v="AR-INV-7358"/>
    <s v="CUS-04"/>
    <d v="2025-04-07T00:00:00"/>
    <d v="2025-05-07T00:00:00"/>
    <n v="43416"/>
    <s v="Paid"/>
    <x v="0"/>
    <n v="30"/>
    <n v="0"/>
    <x v="0"/>
  </r>
  <r>
    <s v="AR-INV-7399"/>
    <s v="CUS-04"/>
    <d v="2025-04-07T00:00:00"/>
    <d v="2025-05-07T00:00:00"/>
    <n v="13590.41"/>
    <s v="Paid"/>
    <x v="0"/>
    <n v="30"/>
    <n v="0"/>
    <x v="0"/>
  </r>
  <r>
    <s v="AR-INV-7402"/>
    <s v="CUS-03"/>
    <d v="2025-04-14T00:00:00"/>
    <d v="2025-05-14T00:00:00"/>
    <n v="12128.12"/>
    <s v="Paid"/>
    <x v="3"/>
    <n v="30"/>
    <n v="0"/>
    <x v="0"/>
  </r>
  <r>
    <s v="AR-INV-7270"/>
    <s v="CUS-05"/>
    <d v="2025-04-16T00:00:00"/>
    <d v="2025-05-16T00:00:00"/>
    <n v="1170.29"/>
    <s v="Paid"/>
    <x v="1"/>
    <n v="30"/>
    <n v="0"/>
    <x v="0"/>
  </r>
  <r>
    <s v="AR-INV-7078"/>
    <s v="CUS-04"/>
    <d v="2025-04-19T00:00:00"/>
    <d v="2025-05-19T00:00:00"/>
    <n v="27568.83"/>
    <s v="Paid"/>
    <x v="0"/>
    <n v="30"/>
    <n v="0"/>
    <x v="0"/>
  </r>
  <r>
    <s v="AR-INV-7105"/>
    <s v="CUS-02"/>
    <d v="2025-04-20T00:00:00"/>
    <d v="2025-05-20T00:00:00"/>
    <n v="10828.69"/>
    <s v="Paid"/>
    <x v="4"/>
    <n v="30"/>
    <n v="0"/>
    <x v="0"/>
  </r>
  <r>
    <s v="AR-INV-7256"/>
    <s v="CUS-04"/>
    <d v="2025-04-29T00:00:00"/>
    <d v="2025-05-29T00:00:00"/>
    <n v="46695.59"/>
    <s v="Paid"/>
    <x v="0"/>
    <n v="30"/>
    <n v="0"/>
    <x v="0"/>
  </r>
  <r>
    <s v="AR-INV-7033"/>
    <s v="CUS-04"/>
    <d v="2025-05-01T00:00:00"/>
    <d v="2025-05-31T00:00:00"/>
    <n v="49615.99"/>
    <s v="Paid"/>
    <x v="0"/>
    <n v="30"/>
    <n v="0"/>
    <x v="0"/>
  </r>
  <r>
    <s v="AR-INV-7043"/>
    <s v="CUS-02"/>
    <d v="2025-05-05T00:00:00"/>
    <d v="2025-06-04T00:00:00"/>
    <n v="6648.08"/>
    <s v="Paid"/>
    <x v="4"/>
    <n v="30"/>
    <n v="0"/>
    <x v="0"/>
  </r>
  <r>
    <s v="AR-INV-7356"/>
    <s v="CUS-03"/>
    <d v="2025-05-06T00:00:00"/>
    <d v="2025-06-05T00:00:00"/>
    <n v="8755.7800000000007"/>
    <s v="Paid"/>
    <x v="3"/>
    <n v="30"/>
    <n v="0"/>
    <x v="0"/>
  </r>
  <r>
    <s v="AR-INV-7243"/>
    <s v="CUS-03"/>
    <d v="2025-05-09T00:00:00"/>
    <d v="2025-06-08T00:00:00"/>
    <n v="40247.32"/>
    <s v="Paid"/>
    <x v="3"/>
    <n v="30"/>
    <n v="0"/>
    <x v="0"/>
  </r>
  <r>
    <s v="AR-INV-7443"/>
    <s v="CUS-03"/>
    <d v="2025-05-09T00:00:00"/>
    <d v="2025-06-08T00:00:00"/>
    <n v="19511.54"/>
    <s v="Paid"/>
    <x v="3"/>
    <n v="30"/>
    <n v="0"/>
    <x v="0"/>
  </r>
  <r>
    <s v="AR-INV-7068"/>
    <s v="CUS-03"/>
    <d v="2025-05-12T00:00:00"/>
    <d v="2025-06-11T00:00:00"/>
    <n v="29403.67"/>
    <s v="Paid"/>
    <x v="3"/>
    <n v="30"/>
    <n v="0"/>
    <x v="0"/>
  </r>
  <r>
    <s v="AR-INV-7367"/>
    <s v="CUS-02"/>
    <d v="2025-05-12T00:00:00"/>
    <d v="2025-06-11T00:00:00"/>
    <n v="46987.33"/>
    <s v="Paid"/>
    <x v="4"/>
    <n v="30"/>
    <n v="0"/>
    <x v="0"/>
  </r>
  <r>
    <s v="AR-INV-7091"/>
    <s v="CUS-01"/>
    <d v="2025-05-17T00:00:00"/>
    <d v="2025-06-16T00:00:00"/>
    <n v="41486.94"/>
    <s v="Paid"/>
    <x v="2"/>
    <n v="30"/>
    <n v="0"/>
    <x v="0"/>
  </r>
  <r>
    <s v="AR-INV-7170"/>
    <s v="CUS-01"/>
    <d v="2025-05-17T00:00:00"/>
    <d v="2025-06-16T00:00:00"/>
    <n v="28564.89"/>
    <s v="Paid"/>
    <x v="2"/>
    <n v="30"/>
    <n v="0"/>
    <x v="0"/>
  </r>
  <r>
    <s v="AR-INV-7467"/>
    <s v="CUS-02"/>
    <d v="2025-05-18T00:00:00"/>
    <d v="2025-06-17T00:00:00"/>
    <n v="36655.599999999999"/>
    <s v="Paid"/>
    <x v="4"/>
    <n v="30"/>
    <n v="0"/>
    <x v="0"/>
  </r>
  <r>
    <s v="AR-INV-7188"/>
    <s v="CUS-05"/>
    <d v="2025-05-19T00:00:00"/>
    <d v="2025-06-18T00:00:00"/>
    <n v="33355.25"/>
    <s v="Unpaid"/>
    <x v="1"/>
    <n v="30"/>
    <n v="33355.25"/>
    <x v="1"/>
  </r>
  <r>
    <s v="AR-INV-7297"/>
    <s v="CUS-01"/>
    <d v="2025-05-21T00:00:00"/>
    <d v="2025-06-20T00:00:00"/>
    <n v="46837.440000000002"/>
    <s v="Paid"/>
    <x v="2"/>
    <n v="30"/>
    <n v="0"/>
    <x v="0"/>
  </r>
  <r>
    <s v="AR-INV-7025"/>
    <s v="CUS-04"/>
    <d v="2025-05-28T00:00:00"/>
    <d v="2025-06-27T00:00:00"/>
    <n v="21969.81"/>
    <s v="Paid"/>
    <x v="0"/>
    <n v="30"/>
    <n v="0"/>
    <x v="0"/>
  </r>
  <r>
    <s v="AR-INV-7092"/>
    <s v="CUS-01"/>
    <d v="2025-05-29T00:00:00"/>
    <d v="2025-06-28T00:00:00"/>
    <n v="40791.58"/>
    <s v="Paid"/>
    <x v="2"/>
    <n v="30"/>
    <n v="0"/>
    <x v="0"/>
  </r>
  <r>
    <s v="AR-INV-7462"/>
    <s v="CUS-02"/>
    <d v="2025-06-03T00:00:00"/>
    <d v="2025-07-03T00:00:00"/>
    <n v="22718.26"/>
    <s v="Paid"/>
    <x v="4"/>
    <n v="30"/>
    <n v="0"/>
    <x v="0"/>
  </r>
  <r>
    <s v="AR-INV-7442"/>
    <s v="CUS-04"/>
    <d v="2025-06-05T00:00:00"/>
    <d v="2025-07-05T00:00:00"/>
    <n v="26478.68"/>
    <s v="Paid"/>
    <x v="0"/>
    <n v="30"/>
    <n v="0"/>
    <x v="0"/>
  </r>
  <r>
    <s v="AR-INV-7491"/>
    <s v="CUS-01"/>
    <d v="2025-06-15T00:00:00"/>
    <d v="2025-07-15T00:00:00"/>
    <n v="27334.47"/>
    <s v="Paid"/>
    <x v="2"/>
    <n v="30"/>
    <n v="0"/>
    <x v="0"/>
  </r>
  <r>
    <s v="AR-INV-7076"/>
    <s v="CUS-01"/>
    <d v="2025-06-16T00:00:00"/>
    <d v="2025-07-16T00:00:00"/>
    <n v="9530.17"/>
    <s v="Paid"/>
    <x v="2"/>
    <n v="30"/>
    <n v="0"/>
    <x v="0"/>
  </r>
  <r>
    <s v="AR-INV-7283"/>
    <s v="CUS-03"/>
    <d v="2025-06-18T00:00:00"/>
    <d v="2025-07-18T00:00:00"/>
    <n v="40431.56"/>
    <s v="Unpaid"/>
    <x v="3"/>
    <n v="30"/>
    <n v="40431.56"/>
    <x v="1"/>
  </r>
  <r>
    <s v="AR-INV-7050"/>
    <s v="CUS-05"/>
    <d v="2025-06-21T00:00:00"/>
    <d v="2025-07-21T00:00:00"/>
    <n v="8271.14"/>
    <s v="Paid"/>
    <x v="1"/>
    <n v="30"/>
    <n v="0"/>
    <x v="0"/>
  </r>
  <r>
    <s v="AR-INV-7058"/>
    <s v="CUS-03"/>
    <d v="2025-06-21T00:00:00"/>
    <d v="2025-07-21T00:00:00"/>
    <n v="19306.93"/>
    <s v="Paid"/>
    <x v="3"/>
    <n v="30"/>
    <n v="0"/>
    <x v="0"/>
  </r>
  <r>
    <s v="AR-INV-7173"/>
    <s v="CUS-04"/>
    <d v="2025-06-22T00:00:00"/>
    <d v="2025-07-22T00:00:00"/>
    <n v="21126.03"/>
    <s v="Paid"/>
    <x v="0"/>
    <n v="30"/>
    <n v="0"/>
    <x v="0"/>
  </r>
  <r>
    <s v="AR-INV-7288"/>
    <s v="CUS-02"/>
    <d v="2025-06-22T00:00:00"/>
    <d v="2025-07-22T00:00:00"/>
    <n v="3869.69"/>
    <s v="Unpaid"/>
    <x v="4"/>
    <n v="30"/>
    <n v="3869.69"/>
    <x v="1"/>
  </r>
  <r>
    <s v="AR-INV-7305"/>
    <s v="CUS-01"/>
    <d v="2025-06-22T00:00:00"/>
    <d v="2025-07-22T00:00:00"/>
    <n v="35922.629999999997"/>
    <s v="Paid"/>
    <x v="2"/>
    <n v="30"/>
    <n v="0"/>
    <x v="0"/>
  </r>
  <r>
    <s v="AR-INV-7102"/>
    <s v="CUS-01"/>
    <d v="2025-06-26T00:00:00"/>
    <d v="2025-07-26T00:00:00"/>
    <n v="19664.240000000002"/>
    <s v="Paid"/>
    <x v="2"/>
    <n v="30"/>
    <n v="0"/>
    <x v="0"/>
  </r>
  <r>
    <s v="AR-INV-7155"/>
    <s v="CUS-03"/>
    <d v="2025-06-30T00:00:00"/>
    <d v="2025-07-30T00:00:00"/>
    <n v="20280.560000000001"/>
    <s v="Paid"/>
    <x v="3"/>
    <n v="30"/>
    <n v="0"/>
    <x v="0"/>
  </r>
  <r>
    <s v="AR-INV-7226"/>
    <s v="CUS-02"/>
    <d v="2025-07-02T00:00:00"/>
    <d v="2025-08-01T00:00:00"/>
    <n v="20726.73"/>
    <s v="Paid"/>
    <x v="4"/>
    <n v="30"/>
    <n v="0"/>
    <x v="0"/>
  </r>
  <r>
    <s v="AR-INV-7014"/>
    <s v="CUS-05"/>
    <d v="2025-07-07T00:00:00"/>
    <d v="2025-08-06T00:00:00"/>
    <n v="5230.1000000000004"/>
    <s v="Paid"/>
    <x v="1"/>
    <n v="30"/>
    <n v="0"/>
    <x v="0"/>
  </r>
  <r>
    <s v="AR-INV-7136"/>
    <s v="CUS-04"/>
    <d v="2025-07-10T00:00:00"/>
    <d v="2025-08-09T00:00:00"/>
    <n v="8777.4500000000007"/>
    <s v="Paid"/>
    <x v="0"/>
    <n v="30"/>
    <n v="0"/>
    <x v="0"/>
  </r>
  <r>
    <s v="AR-INV-7140"/>
    <s v="CUS-02"/>
    <d v="2025-07-11T00:00:00"/>
    <d v="2025-08-10T00:00:00"/>
    <n v="41654.639999999999"/>
    <s v="Paid"/>
    <x v="4"/>
    <n v="30"/>
    <n v="0"/>
    <x v="0"/>
  </r>
  <r>
    <s v="AR-INV-7163"/>
    <s v="CUS-05"/>
    <d v="2025-07-11T00:00:00"/>
    <d v="2025-08-10T00:00:00"/>
    <n v="26184.11"/>
    <s v="Paid"/>
    <x v="1"/>
    <n v="30"/>
    <n v="0"/>
    <x v="0"/>
  </r>
  <r>
    <s v="AR-INV-7435"/>
    <s v="CUS-01"/>
    <d v="2025-07-11T00:00:00"/>
    <d v="2025-08-10T00:00:00"/>
    <n v="11874.6"/>
    <s v="Paid"/>
    <x v="2"/>
    <n v="30"/>
    <n v="0"/>
    <x v="0"/>
  </r>
  <r>
    <s v="AR-INV-7132"/>
    <s v="CUS-01"/>
    <d v="2025-07-16T00:00:00"/>
    <d v="2025-08-15T00:00:00"/>
    <n v="35061.24"/>
    <s v="Paid"/>
    <x v="2"/>
    <n v="30"/>
    <n v="0"/>
    <x v="0"/>
  </r>
  <r>
    <s v="AR-INV-7215"/>
    <s v="CUS-03"/>
    <d v="2025-07-16T00:00:00"/>
    <d v="2025-08-15T00:00:00"/>
    <n v="14532.28"/>
    <s v="Paid"/>
    <x v="3"/>
    <n v="30"/>
    <n v="0"/>
    <x v="0"/>
  </r>
  <r>
    <s v="AR-INV-7246"/>
    <s v="CUS-05"/>
    <d v="2025-07-22T00:00:00"/>
    <d v="2025-08-21T00:00:00"/>
    <n v="4201.04"/>
    <s v="Paid"/>
    <x v="1"/>
    <n v="30"/>
    <n v="0"/>
    <x v="0"/>
  </r>
  <r>
    <s v="AR-INV-7230"/>
    <s v="CUS-03"/>
    <d v="2025-07-23T00:00:00"/>
    <d v="2025-08-22T00:00:00"/>
    <n v="37331.65"/>
    <s v="Paid"/>
    <x v="3"/>
    <n v="30"/>
    <n v="0"/>
    <x v="0"/>
  </r>
  <r>
    <s v="AR-INV-7277"/>
    <s v="CUS-04"/>
    <d v="2025-07-27T00:00:00"/>
    <d v="2025-08-26T00:00:00"/>
    <n v="14850.69"/>
    <s v="Paid"/>
    <x v="0"/>
    <n v="30"/>
    <n v="0"/>
    <x v="0"/>
  </r>
  <r>
    <s v="AR-INV-7420"/>
    <s v="CUS-03"/>
    <d v="2025-07-28T00:00:00"/>
    <d v="2025-08-27T00:00:00"/>
    <n v="30141.59"/>
    <s v="Paid"/>
    <x v="3"/>
    <n v="30"/>
    <n v="0"/>
    <x v="0"/>
  </r>
  <r>
    <s v="AR-INV-7327"/>
    <s v="CUS-02"/>
    <d v="2025-08-01T00:00:00"/>
    <d v="2025-08-31T00:00:00"/>
    <n v="12799.54"/>
    <s v="Unpaid"/>
    <x v="4"/>
    <n v="30"/>
    <n v="12799.54"/>
    <x v="1"/>
  </r>
  <r>
    <s v="AR-INV-7453"/>
    <s v="CUS-01"/>
    <d v="2025-08-05T00:00:00"/>
    <d v="2025-09-04T00:00:00"/>
    <n v="26046.400000000001"/>
    <s v="Paid"/>
    <x v="2"/>
    <n v="30"/>
    <n v="0"/>
    <x v="0"/>
  </r>
  <r>
    <s v="AR-INV-7307"/>
    <s v="CUS-03"/>
    <d v="2025-08-10T00:00:00"/>
    <d v="2025-09-09T00:00:00"/>
    <n v="28300.26"/>
    <s v="Paid"/>
    <x v="3"/>
    <n v="30"/>
    <n v="0"/>
    <x v="0"/>
  </r>
  <r>
    <s v="AR-INV-7291"/>
    <s v="CUS-01"/>
    <d v="2025-08-12T00:00:00"/>
    <d v="2025-09-11T00:00:00"/>
    <n v="45208.85"/>
    <s v="Paid"/>
    <x v="2"/>
    <n v="30"/>
    <n v="0"/>
    <x v="0"/>
  </r>
  <r>
    <s v="AR-INV-7214"/>
    <s v="CUS-04"/>
    <d v="2025-08-14T00:00:00"/>
    <d v="2025-09-13T00:00:00"/>
    <n v="1689.38"/>
    <s v="Paid"/>
    <x v="0"/>
    <n v="30"/>
    <n v="0"/>
    <x v="0"/>
  </r>
  <r>
    <s v="AR-INV-7267"/>
    <s v="CUS-03"/>
    <d v="2025-08-14T00:00:00"/>
    <d v="2025-09-13T00:00:00"/>
    <n v="20706.89"/>
    <s v="Paid"/>
    <x v="3"/>
    <n v="30"/>
    <n v="0"/>
    <x v="0"/>
  </r>
  <r>
    <s v="AR-INV-7209"/>
    <s v="CUS-02"/>
    <d v="2025-08-16T00:00:00"/>
    <d v="2025-09-15T00:00:00"/>
    <n v="44281.11"/>
    <s v="Paid"/>
    <x v="4"/>
    <n v="30"/>
    <n v="0"/>
    <x v="0"/>
  </r>
  <r>
    <s v="AR-INV-7049"/>
    <s v="CUS-03"/>
    <d v="2025-08-17T00:00:00"/>
    <d v="2025-09-16T00:00:00"/>
    <n v="39714.94"/>
    <s v="Paid"/>
    <x v="3"/>
    <n v="30"/>
    <n v="0"/>
    <x v="0"/>
  </r>
  <r>
    <s v="AR-INV-7419"/>
    <s v="CUS-03"/>
    <d v="2025-08-17T00:00:00"/>
    <d v="2025-09-16T00:00:00"/>
    <n v="30345.34"/>
    <s v="Paid"/>
    <x v="3"/>
    <n v="30"/>
    <n v="0"/>
    <x v="0"/>
  </r>
  <r>
    <s v="AR-INV-7337"/>
    <s v="CUS-01"/>
    <d v="2025-08-19T00:00:00"/>
    <d v="2025-09-18T00:00:00"/>
    <n v="16198.95"/>
    <s v="Paid"/>
    <x v="2"/>
    <n v="30"/>
    <n v="0"/>
    <x v="0"/>
  </r>
  <r>
    <s v="AR-INV-7181"/>
    <s v="CUS-03"/>
    <d v="2025-08-21T00:00:00"/>
    <d v="2025-09-20T00:00:00"/>
    <n v="29865.53"/>
    <s v="Unpaid"/>
    <x v="3"/>
    <n v="30"/>
    <n v="29865.53"/>
    <x v="1"/>
  </r>
  <r>
    <s v="AR-INV-7382"/>
    <s v="CUS-05"/>
    <d v="2025-08-21T00:00:00"/>
    <d v="2025-09-20T00:00:00"/>
    <n v="49278.47"/>
    <s v="Paid"/>
    <x v="1"/>
    <n v="30"/>
    <n v="0"/>
    <x v="0"/>
  </r>
  <r>
    <s v="AR-INV-7412"/>
    <s v="CUS-05"/>
    <d v="2025-08-22T00:00:00"/>
    <d v="2025-09-21T00:00:00"/>
    <n v="30119.71"/>
    <s v="Unpaid"/>
    <x v="1"/>
    <n v="30"/>
    <n v="30119.71"/>
    <x v="1"/>
  </r>
  <r>
    <s v="AR-INV-7476"/>
    <s v="CUS-05"/>
    <d v="2025-08-23T00:00:00"/>
    <d v="2025-09-22T00:00:00"/>
    <n v="29189.89"/>
    <s v="Paid"/>
    <x v="1"/>
    <n v="30"/>
    <n v="0"/>
    <x v="0"/>
  </r>
  <r>
    <s v="AR-INV-7026"/>
    <s v="CUS-03"/>
    <d v="2025-08-26T00:00:00"/>
    <d v="2025-09-25T00:00:00"/>
    <n v="31838.09"/>
    <s v="Paid"/>
    <x v="3"/>
    <n v="30"/>
    <n v="0"/>
    <x v="0"/>
  </r>
  <r>
    <s v="AR-INV-7357"/>
    <s v="CUS-01"/>
    <d v="2025-09-04T00:00:00"/>
    <d v="2025-10-04T00:00:00"/>
    <n v="36205.18"/>
    <s v="Paid"/>
    <x v="2"/>
    <n v="30"/>
    <n v="0"/>
    <x v="0"/>
  </r>
  <r>
    <s v="AR-INV-7008"/>
    <s v="CUS-02"/>
    <d v="2025-09-06T00:00:00"/>
    <d v="2025-10-06T00:00:00"/>
    <n v="45626.52"/>
    <s v="Paid"/>
    <x v="4"/>
    <n v="30"/>
    <n v="0"/>
    <x v="0"/>
  </r>
  <r>
    <s v="AR-INV-7071"/>
    <s v="CUS-04"/>
    <d v="2025-09-09T00:00:00"/>
    <d v="2025-10-09T00:00:00"/>
    <n v="7525.17"/>
    <s v="Paid"/>
    <x v="0"/>
    <n v="30"/>
    <n v="0"/>
    <x v="0"/>
  </r>
  <r>
    <s v="AR-INV-7365"/>
    <s v="CUS-03"/>
    <d v="2025-09-13T00:00:00"/>
    <d v="2025-10-13T00:00:00"/>
    <n v="32484.639999999999"/>
    <s v="Paid"/>
    <x v="3"/>
    <n v="30"/>
    <n v="0"/>
    <x v="0"/>
  </r>
  <r>
    <s v="AR-INV-7236"/>
    <s v="CUS-03"/>
    <d v="2025-09-18T00:00:00"/>
    <d v="2025-10-18T00:00:00"/>
    <n v="13143.23"/>
    <s v="Paid"/>
    <x v="3"/>
    <n v="30"/>
    <n v="0"/>
    <x v="0"/>
  </r>
  <r>
    <s v="AR-INV-7269"/>
    <s v="CUS-01"/>
    <d v="2025-09-20T00:00:00"/>
    <d v="2025-10-20T00:00:00"/>
    <n v="21573.56"/>
    <s v="Paid"/>
    <x v="2"/>
    <n v="30"/>
    <n v="0"/>
    <x v="0"/>
  </r>
  <r>
    <s v="AR-INV-7495"/>
    <s v="CUS-05"/>
    <d v="2025-09-20T00:00:00"/>
    <d v="2025-10-20T00:00:00"/>
    <n v="42923.839999999997"/>
    <s v="Unpaid"/>
    <x v="1"/>
    <n v="30"/>
    <n v="42923.839999999997"/>
    <x v="1"/>
  </r>
  <r>
    <s v="AR-INV-7301"/>
    <s v="CUS-05"/>
    <d v="2025-09-28T00:00:00"/>
    <d v="2025-10-28T00:00:00"/>
    <n v="4621.58"/>
    <s v="Paid"/>
    <x v="1"/>
    <n v="30"/>
    <n v="0"/>
    <x v="0"/>
  </r>
  <r>
    <s v="AR-INV-7470"/>
    <s v="CUS-04"/>
    <d v="2025-09-29T00:00:00"/>
    <d v="2025-10-29T00:00:00"/>
    <n v="28677.61"/>
    <s v="Paid"/>
    <x v="0"/>
    <n v="30"/>
    <n v="0"/>
    <x v="0"/>
  </r>
  <r>
    <s v="AR-INV-7385"/>
    <s v="CUS-01"/>
    <d v="2025-10-01T00:00:00"/>
    <d v="2025-10-31T00:00:00"/>
    <n v="9822.0499999999993"/>
    <s v="Paid"/>
    <x v="2"/>
    <n v="30"/>
    <n v="0"/>
    <x v="0"/>
  </r>
  <r>
    <s v="AR-INV-7300"/>
    <s v="CUS-04"/>
    <d v="2025-10-04T00:00:00"/>
    <d v="2025-11-03T00:00:00"/>
    <n v="21070.59"/>
    <s v="Paid"/>
    <x v="0"/>
    <n v="30"/>
    <n v="0"/>
    <x v="0"/>
  </r>
  <r>
    <s v="AR-INV-7084"/>
    <s v="CUS-01"/>
    <d v="2025-10-05T00:00:00"/>
    <d v="2025-11-04T00:00:00"/>
    <n v="35476.11"/>
    <s v="Paid"/>
    <x v="2"/>
    <n v="30"/>
    <n v="0"/>
    <x v="0"/>
  </r>
  <r>
    <s v="AR-INV-7165"/>
    <s v="CUS-04"/>
    <d v="2025-10-06T00:00:00"/>
    <d v="2025-11-05T00:00:00"/>
    <n v="11740.73"/>
    <s v="Paid"/>
    <x v="0"/>
    <n v="30"/>
    <n v="0"/>
    <x v="0"/>
  </r>
  <r>
    <s v="AR-INV-7352"/>
    <s v="CUS-01"/>
    <d v="2025-10-06T00:00:00"/>
    <d v="2025-11-05T00:00:00"/>
    <n v="18482.64"/>
    <s v="Paid"/>
    <x v="2"/>
    <n v="30"/>
    <n v="0"/>
    <x v="0"/>
  </r>
  <r>
    <s v="AR-INV-7448"/>
    <s v="CUS-05"/>
    <d v="2025-10-06T00:00:00"/>
    <d v="2025-11-05T00:00:00"/>
    <n v="4179.9399999999996"/>
    <s v="Paid"/>
    <x v="1"/>
    <n v="30"/>
    <n v="0"/>
    <x v="0"/>
  </r>
  <r>
    <s v="AR-INV-7478"/>
    <s v="CUS-01"/>
    <d v="2025-10-06T00:00:00"/>
    <d v="2025-11-05T00:00:00"/>
    <n v="6433.96"/>
    <s v="Paid"/>
    <x v="2"/>
    <n v="30"/>
    <n v="0"/>
    <x v="0"/>
  </r>
  <r>
    <s v="AR-INV-7213"/>
    <s v="CUS-05"/>
    <d v="2025-10-13T00:00:00"/>
    <d v="2025-11-12T00:00:00"/>
    <n v="43932.160000000003"/>
    <s v="Unpaid"/>
    <x v="1"/>
    <n v="30"/>
    <n v="43932.160000000003"/>
    <x v="1"/>
  </r>
  <r>
    <s v="AR-INV-7145"/>
    <s v="CUS-05"/>
    <d v="2025-10-15T00:00:00"/>
    <d v="2025-11-14T00:00:00"/>
    <n v="3294.16"/>
    <s v="Paid"/>
    <x v="1"/>
    <n v="30"/>
    <n v="0"/>
    <x v="0"/>
  </r>
  <r>
    <s v="AR-INV-7274"/>
    <s v="CUS-02"/>
    <d v="2025-10-16T00:00:00"/>
    <d v="2025-11-15T00:00:00"/>
    <n v="6776.9"/>
    <s v="Paid"/>
    <x v="4"/>
    <n v="30"/>
    <n v="0"/>
    <x v="0"/>
  </r>
  <r>
    <s v="AR-INV-7052"/>
    <s v="CUS-04"/>
    <d v="2025-10-18T00:00:00"/>
    <d v="2025-11-17T00:00:00"/>
    <n v="29305.85"/>
    <s v="Paid"/>
    <x v="0"/>
    <n v="30"/>
    <n v="0"/>
    <x v="0"/>
  </r>
  <r>
    <s v="AR-INV-7271"/>
    <s v="CUS-03"/>
    <d v="2025-10-20T00:00:00"/>
    <d v="2025-11-19T00:00:00"/>
    <n v="42957.4"/>
    <s v="Paid"/>
    <x v="3"/>
    <n v="30"/>
    <n v="0"/>
    <x v="0"/>
  </r>
  <r>
    <s v="AR-INV-7020"/>
    <s v="CUS-02"/>
    <d v="2025-10-21T00:00:00"/>
    <d v="2025-11-20T00:00:00"/>
    <n v="29953.19"/>
    <s v="Paid"/>
    <x v="4"/>
    <n v="30"/>
    <n v="0"/>
    <x v="0"/>
  </r>
  <r>
    <s v="AR-INV-7159"/>
    <s v="CUS-01"/>
    <d v="2025-10-21T00:00:00"/>
    <d v="2025-11-20T00:00:00"/>
    <n v="10267.58"/>
    <s v="Paid"/>
    <x v="2"/>
    <n v="30"/>
    <n v="0"/>
    <x v="0"/>
  </r>
  <r>
    <s v="AR-INV-7212"/>
    <s v="CUS-01"/>
    <d v="2025-10-25T00:00:00"/>
    <d v="2025-11-24T00:00:00"/>
    <n v="10556.96"/>
    <s v="Unpaid"/>
    <x v="2"/>
    <n v="30"/>
    <n v="10556.96"/>
    <x v="1"/>
  </r>
  <r>
    <s v="AR-INV-7235"/>
    <s v="CUS-03"/>
    <d v="2025-10-28T00:00:00"/>
    <d v="2025-11-27T00:00:00"/>
    <n v="34562.06"/>
    <s v="Paid"/>
    <x v="3"/>
    <n v="30"/>
    <n v="0"/>
    <x v="0"/>
  </r>
  <r>
    <s v="AR-INV-7333"/>
    <s v="CUS-01"/>
    <d v="2025-10-31T00:00:00"/>
    <d v="2025-11-30T00:00:00"/>
    <n v="33929.74"/>
    <s v="Paid"/>
    <x v="2"/>
    <n v="30"/>
    <n v="0"/>
    <x v="0"/>
  </r>
  <r>
    <s v="AR-INV-7019"/>
    <s v="CUS-03"/>
    <d v="2025-11-01T00:00:00"/>
    <d v="2025-12-01T00:00:00"/>
    <n v="21444.98"/>
    <s v="Paid"/>
    <x v="3"/>
    <n v="30"/>
    <n v="0"/>
    <x v="0"/>
  </r>
  <r>
    <s v="AR-INV-7334"/>
    <s v="CUS-03"/>
    <d v="2025-11-01T00:00:00"/>
    <d v="2025-12-01T00:00:00"/>
    <n v="27032.53"/>
    <s v="Unpaid"/>
    <x v="3"/>
    <n v="30"/>
    <n v="27032.53"/>
    <x v="1"/>
  </r>
  <r>
    <s v="AR-INV-7206"/>
    <s v="CUS-02"/>
    <d v="2025-11-03T00:00:00"/>
    <d v="2025-12-03T00:00:00"/>
    <n v="41016.75"/>
    <s v="Paid"/>
    <x v="4"/>
    <n v="30"/>
    <n v="0"/>
    <x v="0"/>
  </r>
  <r>
    <s v="AR-INV-7378"/>
    <s v="CUS-01"/>
    <d v="2025-11-04T00:00:00"/>
    <d v="2025-12-04T00:00:00"/>
    <n v="23275.83"/>
    <s v="Paid"/>
    <x v="2"/>
    <n v="30"/>
    <n v="0"/>
    <x v="0"/>
  </r>
  <r>
    <s v="AR-INV-7054"/>
    <s v="CUS-03"/>
    <d v="2025-11-10T00:00:00"/>
    <d v="2025-12-10T00:00:00"/>
    <n v="8769.91"/>
    <s v="Paid"/>
    <x v="3"/>
    <n v="30"/>
    <n v="0"/>
    <x v="0"/>
  </r>
  <r>
    <s v="AR-INV-7152"/>
    <s v="CUS-01"/>
    <d v="2025-11-10T00:00:00"/>
    <d v="2025-12-10T00:00:00"/>
    <n v="33280.04"/>
    <s v="Unpaid"/>
    <x v="2"/>
    <n v="30"/>
    <n v="33280.04"/>
    <x v="1"/>
  </r>
  <r>
    <s v="AR-INV-7376"/>
    <s v="CUS-01"/>
    <d v="2025-11-11T00:00:00"/>
    <d v="2025-12-11T00:00:00"/>
    <n v="7890.48"/>
    <s v="Paid"/>
    <x v="2"/>
    <n v="30"/>
    <n v="0"/>
    <x v="0"/>
  </r>
  <r>
    <s v="AR-INV-7193"/>
    <s v="CUS-03"/>
    <d v="2025-11-14T00:00:00"/>
    <d v="2025-12-14T00:00:00"/>
    <n v="10707.89"/>
    <s v="Unpaid"/>
    <x v="3"/>
    <n v="30"/>
    <n v="10707.89"/>
    <x v="1"/>
  </r>
  <r>
    <s v="AR-INV-7090"/>
    <s v="CUS-04"/>
    <d v="2025-11-18T00:00:00"/>
    <d v="2025-12-18T00:00:00"/>
    <n v="2741.41"/>
    <s v="Paid"/>
    <x v="0"/>
    <n v="30"/>
    <n v="0"/>
    <x v="0"/>
  </r>
  <r>
    <s v="AR-INV-7107"/>
    <s v="CUS-02"/>
    <d v="2025-11-21T00:00:00"/>
    <d v="2025-12-21T00:00:00"/>
    <n v="25385.54"/>
    <s v="Unpaid"/>
    <x v="4"/>
    <n v="30"/>
    <n v="25385.54"/>
    <x v="1"/>
  </r>
  <r>
    <s v="AR-INV-7403"/>
    <s v="CUS-03"/>
    <d v="2025-11-22T00:00:00"/>
    <d v="2025-12-22T00:00:00"/>
    <n v="6561.33"/>
    <s v="Paid"/>
    <x v="3"/>
    <n v="30"/>
    <n v="0"/>
    <x v="0"/>
  </r>
  <r>
    <s v="AR-INV-7406"/>
    <s v="CUS-04"/>
    <d v="2025-11-24T00:00:00"/>
    <d v="2025-12-24T00:00:00"/>
    <n v="35663.22"/>
    <s v="Paid"/>
    <x v="0"/>
    <n v="30"/>
    <n v="0"/>
    <x v="0"/>
  </r>
  <r>
    <s v="AR-INV-7279"/>
    <s v="CUS-05"/>
    <d v="2025-11-25T00:00:00"/>
    <d v="2025-12-25T00:00:00"/>
    <n v="35663.17"/>
    <s v="Paid"/>
    <x v="1"/>
    <n v="30"/>
    <n v="0"/>
    <x v="0"/>
  </r>
  <r>
    <s v="AR-INV-7055"/>
    <s v="CUS-01"/>
    <d v="2025-11-28T00:00:00"/>
    <d v="2025-12-28T00:00:00"/>
    <n v="12018.32"/>
    <s v="Paid"/>
    <x v="2"/>
    <n v="30"/>
    <n v="0"/>
    <x v="0"/>
  </r>
  <r>
    <s v="AR-INV-7389"/>
    <s v="CUS-01"/>
    <d v="2025-11-28T00:00:00"/>
    <d v="2025-12-28T00:00:00"/>
    <n v="35778.25"/>
    <s v="Paid"/>
    <x v="2"/>
    <n v="30"/>
    <n v="0"/>
    <x v="0"/>
  </r>
  <r>
    <s v="AR-INV-7182"/>
    <s v="CUS-05"/>
    <d v="2025-12-03T00:00:00"/>
    <d v="2026-01-02T00:00:00"/>
    <n v="47234.93"/>
    <s v="Paid"/>
    <x v="1"/>
    <n v="30"/>
    <n v="0"/>
    <x v="0"/>
  </r>
  <r>
    <s v="AR-INV-7309"/>
    <s v="CUS-04"/>
    <d v="2025-12-03T00:00:00"/>
    <d v="2026-01-02T00:00:00"/>
    <n v="37763.68"/>
    <s v="Paid"/>
    <x v="0"/>
    <n v="30"/>
    <n v="0"/>
    <x v="0"/>
  </r>
  <r>
    <s v="AR-INV-7371"/>
    <s v="CUS-02"/>
    <d v="2025-12-04T00:00:00"/>
    <d v="2026-01-03T00:00:00"/>
    <n v="45108.05"/>
    <s v="Paid"/>
    <x v="4"/>
    <n v="30"/>
    <n v="0"/>
    <x v="0"/>
  </r>
  <r>
    <s v="AR-INV-7308"/>
    <s v="CUS-02"/>
    <d v="2025-12-07T00:00:00"/>
    <d v="2026-01-06T00:00:00"/>
    <n v="33550.18"/>
    <s v="Unpaid"/>
    <x v="4"/>
    <n v="30"/>
    <n v="33550.18"/>
    <x v="1"/>
  </r>
  <r>
    <s v="AR-INV-7089"/>
    <s v="CUS-01"/>
    <d v="2025-12-10T00:00:00"/>
    <d v="2026-01-09T00:00:00"/>
    <n v="47691.78"/>
    <s v="Unpaid"/>
    <x v="2"/>
    <n v="30"/>
    <n v="47691.78"/>
    <x v="1"/>
  </r>
  <r>
    <s v="AR-INV-7123"/>
    <s v="CUS-03"/>
    <d v="2025-12-10T00:00:00"/>
    <d v="2026-01-09T00:00:00"/>
    <n v="47332.11"/>
    <s v="Paid"/>
    <x v="3"/>
    <n v="30"/>
    <n v="0"/>
    <x v="0"/>
  </r>
  <r>
    <s v="AR-INV-7384"/>
    <s v="CUS-02"/>
    <d v="2025-12-10T00:00:00"/>
    <d v="2026-01-09T00:00:00"/>
    <n v="35572.080000000002"/>
    <s v="Paid"/>
    <x v="4"/>
    <n v="30"/>
    <n v="0"/>
    <x v="0"/>
  </r>
  <r>
    <s v="AR-INV-7082"/>
    <s v="CUS-03"/>
    <d v="2025-12-12T00:00:00"/>
    <d v="2026-01-11T00:00:00"/>
    <n v="22040.959999999999"/>
    <s v="Paid"/>
    <x v="3"/>
    <n v="30"/>
    <n v="0"/>
    <x v="0"/>
  </r>
  <r>
    <s v="AR-INV-7077"/>
    <s v="CUS-04"/>
    <d v="2025-12-13T00:00:00"/>
    <d v="2026-01-12T00:00:00"/>
    <n v="16255.32"/>
    <s v="Paid"/>
    <x v="0"/>
    <n v="30"/>
    <n v="0"/>
    <x v="0"/>
  </r>
  <r>
    <s v="AR-INV-7166"/>
    <s v="CUS-03"/>
    <d v="2025-12-19T00:00:00"/>
    <d v="2026-01-18T00:00:00"/>
    <n v="39376.89"/>
    <s v="Paid"/>
    <x v="3"/>
    <n v="30"/>
    <n v="0"/>
    <x v="0"/>
  </r>
  <r>
    <s v="AR-INV-7223"/>
    <s v="CUS-02"/>
    <d v="2025-12-22T00:00:00"/>
    <d v="2026-01-21T00:00:00"/>
    <n v="3238.7"/>
    <s v="Paid"/>
    <x v="4"/>
    <n v="30"/>
    <n v="0"/>
    <x v="0"/>
  </r>
  <r>
    <s v="AR-INV-7456"/>
    <s v="CUS-01"/>
    <d v="2026-01-01T00:00:00"/>
    <d v="2026-01-31T00:00:00"/>
    <n v="26592.240000000002"/>
    <s v="Paid"/>
    <x v="2"/>
    <n v="30"/>
    <n v="0"/>
    <x v="0"/>
  </r>
  <r>
    <s v="AR-INV-7238"/>
    <s v="CUS-01"/>
    <d v="2026-01-16T00:00:00"/>
    <d v="2026-02-15T00:00:00"/>
    <n v="3157.75"/>
    <s v="Paid"/>
    <x v="2"/>
    <n v="30"/>
    <n v="0"/>
    <x v="0"/>
  </r>
  <r>
    <s v="AR-INV-7324"/>
    <s v="CUS-01"/>
    <d v="2026-01-18T00:00:00"/>
    <d v="2026-02-17T00:00:00"/>
    <n v="9044.3799999999992"/>
    <s v="Paid"/>
    <x v="2"/>
    <n v="30"/>
    <n v="0"/>
    <x v="0"/>
  </r>
  <r>
    <s v="AR-INV-7404"/>
    <s v="CUS-02"/>
    <d v="2026-01-20T00:00:00"/>
    <d v="2026-02-19T00:00:00"/>
    <n v="10249.969999999999"/>
    <s v="Unpaid"/>
    <x v="4"/>
    <n v="30"/>
    <n v="10249.969999999999"/>
    <x v="1"/>
  </r>
  <r>
    <s v="AR-INV-7486"/>
    <s v="CUS-01"/>
    <d v="2026-01-20T00:00:00"/>
    <d v="2026-02-19T00:00:00"/>
    <n v="7672.18"/>
    <s v="Unpaid"/>
    <x v="2"/>
    <n v="30"/>
    <n v="7672.18"/>
    <x v="1"/>
  </r>
  <r>
    <s v="AR-INV-7097"/>
    <s v="CUS-05"/>
    <d v="2026-01-21T00:00:00"/>
    <d v="2026-02-20T00:00:00"/>
    <n v="28390.15"/>
    <s v="Paid"/>
    <x v="1"/>
    <n v="30"/>
    <n v="0"/>
    <x v="0"/>
  </r>
  <r>
    <s v="AR-INV-7203"/>
    <s v="CUS-03"/>
    <d v="2026-01-22T00:00:00"/>
    <d v="2026-02-21T00:00:00"/>
    <n v="13124.07"/>
    <s v="Paid"/>
    <x v="3"/>
    <n v="30"/>
    <n v="0"/>
    <x v="0"/>
  </r>
  <r>
    <s v="AR-INV-7124"/>
    <s v="CUS-05"/>
    <d v="2026-01-23T00:00:00"/>
    <d v="2026-02-22T00:00:00"/>
    <n v="41371.42"/>
    <s v="Paid"/>
    <x v="1"/>
    <n v="30"/>
    <n v="0"/>
    <x v="0"/>
  </r>
  <r>
    <s v="AR-INV-7350"/>
    <s v="CUS-01"/>
    <d v="2026-01-23T00:00:00"/>
    <d v="2026-02-22T00:00:00"/>
    <n v="25548.59"/>
    <s v="Paid"/>
    <x v="2"/>
    <n v="30"/>
    <n v="0"/>
    <x v="0"/>
  </r>
  <r>
    <s v="AR-INV-7272"/>
    <s v="CUS-04"/>
    <d v="2026-01-24T00:00:00"/>
    <d v="2026-02-23T00:00:00"/>
    <n v="27759.49"/>
    <s v="Paid"/>
    <x v="0"/>
    <n v="30"/>
    <n v="0"/>
    <x v="0"/>
  </r>
  <r>
    <s v="AR-INV-7348"/>
    <s v="CUS-05"/>
    <d v="2026-01-29T00:00:00"/>
    <d v="2026-02-28T00:00:00"/>
    <n v="16636.05"/>
    <s v="Paid"/>
    <x v="1"/>
    <n v="30"/>
    <n v="0"/>
    <x v="0"/>
  </r>
  <r>
    <s v="AR-INV-7005"/>
    <s v="CUS-03"/>
    <d v="2026-01-31T00:00:00"/>
    <d v="2026-03-02T00:00:00"/>
    <n v="5567.16"/>
    <s v="Unpaid"/>
    <x v="3"/>
    <n v="30"/>
    <n v="5567.16"/>
    <x v="1"/>
  </r>
  <r>
    <s v="AR-INV-7007"/>
    <s v="CUS-01"/>
    <d v="2026-02-04T00:00:00"/>
    <d v="2026-03-06T00:00:00"/>
    <n v="40526.99"/>
    <s v="Paid"/>
    <x v="2"/>
    <n v="30"/>
    <n v="0"/>
    <x v="0"/>
  </r>
  <r>
    <s v="AR-INV-7383"/>
    <s v="CUS-01"/>
    <d v="2026-02-06T00:00:00"/>
    <d v="2026-03-08T00:00:00"/>
    <n v="37888.92"/>
    <s v="Paid"/>
    <x v="2"/>
    <n v="30"/>
    <n v="0"/>
    <x v="0"/>
  </r>
  <r>
    <s v="AR-INV-7276"/>
    <s v="CUS-03"/>
    <d v="2026-02-07T00:00:00"/>
    <d v="2026-03-09T00:00:00"/>
    <n v="20406.82"/>
    <s v="Paid"/>
    <x v="3"/>
    <n v="30"/>
    <n v="0"/>
    <x v="0"/>
  </r>
  <r>
    <s v="AR-INV-7397"/>
    <s v="CUS-05"/>
    <d v="2026-02-14T00:00:00"/>
    <d v="2026-03-16T00:00:00"/>
    <n v="24041.94"/>
    <s v="Paid"/>
    <x v="1"/>
    <n v="30"/>
    <n v="0"/>
    <x v="0"/>
  </r>
  <r>
    <s v="AR-INV-7340"/>
    <s v="CUS-03"/>
    <d v="2026-02-21T00:00:00"/>
    <d v="2026-03-23T00:00:00"/>
    <n v="30647.58"/>
    <s v="Paid"/>
    <x v="3"/>
    <n v="30"/>
    <n v="0"/>
    <x v="0"/>
  </r>
  <r>
    <s v="AR-INV-7080"/>
    <s v="CUS-04"/>
    <d v="2026-02-22T00:00:00"/>
    <d v="2026-03-24T00:00:00"/>
    <n v="16349.7"/>
    <s v="Paid"/>
    <x v="0"/>
    <n v="30"/>
    <n v="0"/>
    <x v="0"/>
  </r>
  <r>
    <s v="AR-INV-7039"/>
    <s v="CUS-05"/>
    <d v="2026-02-25T00:00:00"/>
    <d v="2026-03-27T00:00:00"/>
    <n v="22791.919999999998"/>
    <s v="Paid"/>
    <x v="1"/>
    <n v="30"/>
    <n v="0"/>
    <x v="0"/>
  </r>
  <r>
    <s v="AR-INV-7455"/>
    <s v="CUS-04"/>
    <d v="2026-02-26T00:00:00"/>
    <d v="2026-03-28T00:00:00"/>
    <n v="12050.42"/>
    <s v="Paid"/>
    <x v="0"/>
    <n v="30"/>
    <n v="0"/>
    <x v="0"/>
  </r>
  <r>
    <s v="AR-INV-7475"/>
    <s v="CUS-03"/>
    <d v="2026-02-26T00:00:00"/>
    <d v="2026-03-28T00:00:00"/>
    <n v="14238.93"/>
    <s v="Paid"/>
    <x v="3"/>
    <n v="30"/>
    <n v="0"/>
    <x v="0"/>
  </r>
  <r>
    <s v="AR-INV-7465"/>
    <s v="CUS-04"/>
    <d v="2026-03-01T00:00:00"/>
    <d v="2026-03-31T00:00:00"/>
    <n v="16329.42"/>
    <s v="Paid"/>
    <x v="0"/>
    <n v="30"/>
    <n v="0"/>
    <x v="0"/>
  </r>
  <r>
    <s v="AR-INV-7408"/>
    <s v="CUS-03"/>
    <d v="2026-03-03T00:00:00"/>
    <d v="2026-04-02T00:00:00"/>
    <n v="10921.86"/>
    <s v="Paid"/>
    <x v="3"/>
    <n v="30"/>
    <n v="0"/>
    <x v="0"/>
  </r>
  <r>
    <s v="AR-INV-7482"/>
    <s v="CUS-01"/>
    <d v="2026-03-04T00:00:00"/>
    <d v="2026-04-03T00:00:00"/>
    <n v="12315.36"/>
    <s v="Paid"/>
    <x v="2"/>
    <n v="30"/>
    <n v="0"/>
    <x v="0"/>
  </r>
  <r>
    <s v="AR-INV-7326"/>
    <s v="CUS-04"/>
    <d v="2026-03-05T00:00:00"/>
    <d v="2026-04-04T00:00:00"/>
    <n v="28753.68"/>
    <s v="Paid"/>
    <x v="0"/>
    <n v="30"/>
    <n v="0"/>
    <x v="0"/>
  </r>
  <r>
    <s v="AR-INV-7413"/>
    <s v="CUS-01"/>
    <d v="2026-03-07T00:00:00"/>
    <d v="2026-04-06T00:00:00"/>
    <n v="21838.46"/>
    <s v="Paid"/>
    <x v="2"/>
    <n v="30"/>
    <n v="0"/>
    <x v="0"/>
  </r>
  <r>
    <s v="AR-INV-7239"/>
    <s v="CUS-04"/>
    <d v="2026-03-11T00:00:00"/>
    <d v="2026-04-10T00:00:00"/>
    <n v="46753.38"/>
    <s v="Paid"/>
    <x v="0"/>
    <n v="30"/>
    <n v="0"/>
    <x v="0"/>
  </r>
  <r>
    <s v="AR-INV-7490"/>
    <s v="CUS-01"/>
    <d v="2026-03-13T00:00:00"/>
    <d v="2026-04-12T00:00:00"/>
    <n v="5963.79"/>
    <s v="Paid"/>
    <x v="2"/>
    <n v="30"/>
    <n v="0"/>
    <x v="0"/>
  </r>
  <r>
    <s v="AR-INV-7141"/>
    <s v="CUS-02"/>
    <d v="2026-03-18T00:00:00"/>
    <d v="2026-04-17T00:00:00"/>
    <n v="20567.25"/>
    <s v="Paid"/>
    <x v="4"/>
    <n v="30"/>
    <n v="0"/>
    <x v="0"/>
  </r>
  <r>
    <s v="AR-INV-7417"/>
    <s v="CUS-04"/>
    <d v="2026-03-19T00:00:00"/>
    <d v="2026-04-18T00:00:00"/>
    <n v="27335.05"/>
    <s v="Unpaid"/>
    <x v="0"/>
    <n v="30"/>
    <n v="27335.05"/>
    <x v="1"/>
  </r>
  <r>
    <s v="AR-INV-7162"/>
    <s v="CUS-03"/>
    <d v="2026-03-20T00:00:00"/>
    <d v="2026-04-19T00:00:00"/>
    <n v="26336.14"/>
    <s v="Paid"/>
    <x v="3"/>
    <n v="30"/>
    <n v="0"/>
    <x v="0"/>
  </r>
  <r>
    <s v="AR-INV-7422"/>
    <s v="CUS-02"/>
    <d v="2026-03-24T00:00:00"/>
    <d v="2026-04-23T00:00:00"/>
    <n v="4818.49"/>
    <s v="Paid"/>
    <x v="4"/>
    <n v="30"/>
    <n v="0"/>
    <x v="0"/>
  </r>
  <r>
    <s v="AR-INV-7190"/>
    <s v="CUS-05"/>
    <d v="2026-03-25T00:00:00"/>
    <d v="2026-04-24T00:00:00"/>
    <n v="29137.01"/>
    <s v="Paid"/>
    <x v="1"/>
    <n v="30"/>
    <n v="0"/>
    <x v="0"/>
  </r>
  <r>
    <s v="AR-INV-7041"/>
    <s v="CUS-01"/>
    <d v="2026-03-28T00:00:00"/>
    <d v="2026-04-27T00:00:00"/>
    <n v="49542.58"/>
    <s v="Unpaid"/>
    <x v="2"/>
    <n v="30"/>
    <n v="49542.58"/>
    <x v="1"/>
  </r>
  <r>
    <s v="AR-INV-7048"/>
    <s v="CUS-04"/>
    <d v="2026-03-28T00:00:00"/>
    <d v="2026-04-27T00:00:00"/>
    <n v="48228.07"/>
    <s v="Paid"/>
    <x v="0"/>
    <n v="30"/>
    <n v="0"/>
    <x v="0"/>
  </r>
  <r>
    <s v="AR-INV-7211"/>
    <s v="CUS-05"/>
    <d v="2026-03-28T00:00:00"/>
    <d v="2026-04-27T00:00:00"/>
    <n v="24852.47"/>
    <s v="Paid"/>
    <x v="1"/>
    <n v="30"/>
    <n v="0"/>
    <x v="0"/>
  </r>
  <r>
    <s v="AR-INV-7466"/>
    <s v="CUS-01"/>
    <d v="2026-03-30T00:00:00"/>
    <d v="2026-04-29T00:00:00"/>
    <n v="14802.08"/>
    <s v="Unpaid"/>
    <x v="2"/>
    <n v="30"/>
    <n v="14802.08"/>
    <x v="1"/>
  </r>
  <r>
    <s v="AR-INV-7440"/>
    <s v="CUS-03"/>
    <d v="2026-04-01T00:00:00"/>
    <d v="2026-05-01T00:00:00"/>
    <n v="18285.150000000001"/>
    <s v="Unpaid"/>
    <x v="3"/>
    <n v="30"/>
    <n v="18285.150000000001"/>
    <x v="1"/>
  </r>
  <r>
    <s v="AR-INV-7016"/>
    <s v="CUS-03"/>
    <d v="2026-04-07T00:00:00"/>
    <d v="2026-05-07T00:00:00"/>
    <n v="2273.7600000000002"/>
    <s v="Paid"/>
    <x v="3"/>
    <n v="30"/>
    <n v="0"/>
    <x v="0"/>
  </r>
  <r>
    <s v="AR-INV-7085"/>
    <s v="CUS-04"/>
    <d v="2026-04-08T00:00:00"/>
    <d v="2026-05-08T00:00:00"/>
    <n v="5665.07"/>
    <s v="Paid"/>
    <x v="0"/>
    <n v="30"/>
    <n v="0"/>
    <x v="0"/>
  </r>
  <r>
    <s v="AR-INV-7416"/>
    <s v="CUS-01"/>
    <d v="2026-04-10T00:00:00"/>
    <d v="2026-05-10T00:00:00"/>
    <n v="17306.099999999999"/>
    <s v="Paid"/>
    <x v="2"/>
    <n v="30"/>
    <n v="0"/>
    <x v="0"/>
  </r>
  <r>
    <s v="AR-INV-7428"/>
    <s v="CUS-01"/>
    <d v="2026-04-10T00:00:00"/>
    <d v="2026-05-10T00:00:00"/>
    <n v="41825.69"/>
    <s v="Paid"/>
    <x v="2"/>
    <n v="30"/>
    <n v="0"/>
    <x v="0"/>
  </r>
  <r>
    <s v="AR-INV-7477"/>
    <s v="CUS-01"/>
    <d v="2026-04-10T00:00:00"/>
    <d v="2026-05-10T00:00:00"/>
    <n v="46316.36"/>
    <s v="Paid"/>
    <x v="2"/>
    <n v="30"/>
    <n v="0"/>
    <x v="0"/>
  </r>
  <r>
    <s v="AR-INV-7120"/>
    <s v="CUS-03"/>
    <d v="2026-04-12T00:00:00"/>
    <d v="2026-05-12T00:00:00"/>
    <n v="2218.31"/>
    <s v="Paid"/>
    <x v="3"/>
    <n v="30"/>
    <n v="0"/>
    <x v="0"/>
  </r>
  <r>
    <s v="AR-INV-7310"/>
    <s v="CUS-04"/>
    <d v="2026-04-12T00:00:00"/>
    <d v="2026-05-12T00:00:00"/>
    <n v="35732.06"/>
    <s v="Paid"/>
    <x v="0"/>
    <n v="30"/>
    <n v="0"/>
    <x v="0"/>
  </r>
  <r>
    <s v="AR-INV-7134"/>
    <s v="CUS-01"/>
    <d v="2026-04-13T00:00:00"/>
    <d v="2026-05-13T00:00:00"/>
    <n v="25334.99"/>
    <s v="Paid"/>
    <x v="2"/>
    <n v="30"/>
    <n v="0"/>
    <x v="0"/>
  </r>
  <r>
    <s v="AR-INV-7070"/>
    <s v="CUS-03"/>
    <d v="2026-04-22T00:00:00"/>
    <d v="2026-05-22T00:00:00"/>
    <n v="23295.86"/>
    <s v="Paid"/>
    <x v="3"/>
    <n v="30"/>
    <n v="0"/>
    <x v="0"/>
  </r>
  <r>
    <s v="AR-INV-7029"/>
    <s v="CUS-01"/>
    <d v="2026-04-24T00:00:00"/>
    <d v="2026-05-24T00:00:00"/>
    <n v="3931.07"/>
    <s v="Paid"/>
    <x v="2"/>
    <n v="30"/>
    <n v="0"/>
    <x v="0"/>
  </r>
  <r>
    <s v="AR-INV-7361"/>
    <s v="CUS-01"/>
    <d v="2026-04-28T00:00:00"/>
    <d v="2026-05-28T00:00:00"/>
    <n v="31453.17"/>
    <s v="Paid"/>
    <x v="2"/>
    <n v="30"/>
    <n v="0"/>
    <x v="0"/>
  </r>
  <r>
    <s v="AR-INV-7407"/>
    <s v="CUS-01"/>
    <d v="2026-04-28T00:00:00"/>
    <d v="2026-05-28T00:00:00"/>
    <n v="2550.83"/>
    <s v="Paid"/>
    <x v="2"/>
    <n v="30"/>
    <n v="0"/>
    <x v="0"/>
  </r>
  <r>
    <s v="AR-INV-7458"/>
    <s v="CUS-04"/>
    <d v="2026-05-01T00:00:00"/>
    <d v="2026-05-31T00:00:00"/>
    <n v="39690.17"/>
    <s v="Paid"/>
    <x v="0"/>
    <n v="30"/>
    <n v="0"/>
    <x v="0"/>
  </r>
  <r>
    <s v="AR-INV-7248"/>
    <s v="CUS-02"/>
    <d v="2026-05-03T00:00:00"/>
    <d v="2026-06-02T00:00:00"/>
    <n v="17057.55"/>
    <s v="Unpaid"/>
    <x v="4"/>
    <n v="30"/>
    <n v="17057.55"/>
    <x v="1"/>
  </r>
  <r>
    <s v="AR-INV-7035"/>
    <s v="CUS-02"/>
    <d v="2026-05-09T00:00:00"/>
    <d v="2026-06-08T00:00:00"/>
    <n v="42226.9"/>
    <s v="Paid"/>
    <x v="4"/>
    <n v="30"/>
    <n v="0"/>
    <x v="0"/>
  </r>
  <r>
    <s v="AR-INV-7001"/>
    <s v="CUS-04"/>
    <d v="2026-05-10T00:00:00"/>
    <d v="2026-06-09T00:00:00"/>
    <n v="4765.5600000000004"/>
    <s v="Paid"/>
    <x v="0"/>
    <n v="30"/>
    <n v="0"/>
    <x v="0"/>
  </r>
  <r>
    <s v="AR-INV-7192"/>
    <s v="CUS-01"/>
    <d v="2026-05-25T00:00:00"/>
    <d v="2026-06-24T00:00:00"/>
    <n v="20167.36"/>
    <s v="Paid"/>
    <x v="2"/>
    <n v="30"/>
    <n v="0"/>
    <x v="0"/>
  </r>
  <r>
    <s v="AR-INV-7359"/>
    <s v="CUS-01"/>
    <d v="2026-05-26T00:00:00"/>
    <d v="2026-06-25T00:00:00"/>
    <n v="47950.67"/>
    <s v="Paid"/>
    <x v="2"/>
    <n v="30"/>
    <n v="0"/>
    <x v="0"/>
  </r>
  <r>
    <s v="AR-INV-7320"/>
    <s v="CUS-03"/>
    <d v="2026-05-31T00:00:00"/>
    <d v="2026-06-30T00:00:00"/>
    <n v="17828.72"/>
    <s v="Paid"/>
    <x v="3"/>
    <n v="30"/>
    <n v="0"/>
    <x v="0"/>
  </r>
  <r>
    <s v="AR-INV-7034"/>
    <s v="CUS-04"/>
    <d v="2026-06-03T00:00:00"/>
    <d v="2026-07-03T00:00:00"/>
    <n v="38288.699999999997"/>
    <s v="Paid"/>
    <x v="0"/>
    <n v="30"/>
    <n v="0"/>
    <x v="0"/>
  </r>
  <r>
    <s v="AR-INV-7220"/>
    <s v="CUS-01"/>
    <d v="2026-06-06T00:00:00"/>
    <d v="2026-07-06T00:00:00"/>
    <n v="22532.959999999999"/>
    <s v="Paid"/>
    <x v="2"/>
    <n v="30"/>
    <n v="0"/>
    <x v="0"/>
  </r>
  <r>
    <s v="AR-INV-7275"/>
    <s v="CUS-04"/>
    <d v="2026-06-09T00:00:00"/>
    <d v="2026-07-09T00:00:00"/>
    <n v="13102.49"/>
    <s v="Paid"/>
    <x v="0"/>
    <n v="30"/>
    <n v="0"/>
    <x v="0"/>
  </r>
  <r>
    <s v="AR-INV-7284"/>
    <s v="CUS-01"/>
    <d v="2026-06-10T00:00:00"/>
    <d v="2026-07-10T00:00:00"/>
    <n v="23586.82"/>
    <s v="Paid"/>
    <x v="2"/>
    <n v="30"/>
    <n v="0"/>
    <x v="0"/>
  </r>
  <r>
    <s v="AR-INV-7075"/>
    <s v="CUS-05"/>
    <d v="2026-06-11T00:00:00"/>
    <d v="2026-07-11T00:00:00"/>
    <n v="39453.300000000003"/>
    <s v="Paid"/>
    <x v="1"/>
    <n v="30"/>
    <n v="0"/>
    <x v="0"/>
  </r>
  <r>
    <s v="AR-INV-7281"/>
    <s v="CUS-03"/>
    <d v="2026-06-14T00:00:00"/>
    <d v="2026-07-14T00:00:00"/>
    <n v="32054.34"/>
    <s v="Paid"/>
    <x v="3"/>
    <n v="30"/>
    <n v="0"/>
    <x v="0"/>
  </r>
  <r>
    <s v="AR-INV-7497"/>
    <s v="CUS-02"/>
    <d v="2026-06-16T00:00:00"/>
    <d v="2026-07-16T00:00:00"/>
    <n v="28302.9"/>
    <s v="Unpaid"/>
    <x v="4"/>
    <n v="30"/>
    <n v="28302.9"/>
    <x v="1"/>
  </r>
  <r>
    <s v="AR-INV-7287"/>
    <s v="CUS-04"/>
    <d v="2026-06-17T00:00:00"/>
    <d v="2026-07-17T00:00:00"/>
    <n v="37401.71"/>
    <s v="Unpaid"/>
    <x v="0"/>
    <n v="30"/>
    <n v="37401.71"/>
    <x v="1"/>
  </r>
  <r>
    <s v="AR-INV-7258"/>
    <s v="CUS-03"/>
    <d v="2026-06-18T00:00:00"/>
    <d v="2026-07-18T00:00:00"/>
    <n v="41963.76"/>
    <s v="Paid"/>
    <x v="3"/>
    <n v="30"/>
    <n v="0"/>
    <x v="0"/>
  </r>
  <r>
    <s v="AR-INV-7445"/>
    <s v="CUS-03"/>
    <d v="2026-06-18T00:00:00"/>
    <d v="2026-07-18T00:00:00"/>
    <n v="27806.43"/>
    <s v="Paid"/>
    <x v="3"/>
    <n v="30"/>
    <n v="0"/>
    <x v="0"/>
  </r>
  <r>
    <s v="AR-INV-7217"/>
    <s v="CUS-04"/>
    <d v="2026-06-19T00:00:00"/>
    <d v="2026-07-19T00:00:00"/>
    <n v="17881.740000000002"/>
    <s v="Paid"/>
    <x v="0"/>
    <n v="30"/>
    <n v="0"/>
    <x v="0"/>
  </r>
  <r>
    <s v="AR-INV-7119"/>
    <s v="CUS-04"/>
    <d v="2026-06-20T00:00:00"/>
    <d v="2026-07-20T00:00:00"/>
    <n v="49457.65"/>
    <s v="Paid"/>
    <x v="0"/>
    <n v="30"/>
    <n v="0"/>
    <x v="0"/>
  </r>
  <r>
    <s v="AR-INV-7057"/>
    <s v="CUS-01"/>
    <d v="2026-06-23T00:00:00"/>
    <d v="2026-07-23T00:00:00"/>
    <n v="12524.23"/>
    <s v="Paid"/>
    <x v="2"/>
    <n v="30"/>
    <n v="0"/>
    <x v="0"/>
  </r>
  <r>
    <s v="AR-INV-7225"/>
    <s v="CUS-01"/>
    <d v="2026-06-29T00:00:00"/>
    <d v="2026-07-29T00:00:00"/>
    <n v="16454.669999999998"/>
    <s v="Paid"/>
    <x v="2"/>
    <n v="30"/>
    <n v="0"/>
    <x v="0"/>
  </r>
  <r>
    <s v="AR-INV-7353"/>
    <s v="CUS-03"/>
    <d v="2026-06-30T00:00:00"/>
    <d v="2026-07-30T00:00:00"/>
    <n v="49247.09"/>
    <s v="Paid"/>
    <x v="3"/>
    <n v="30"/>
    <n v="0"/>
    <x v="0"/>
  </r>
  <r>
    <s v="AR-INV-7394"/>
    <s v="CUS-01"/>
    <d v="2026-07-06T00:00:00"/>
    <d v="2026-08-05T00:00:00"/>
    <n v="45436.83"/>
    <s v="Paid"/>
    <x v="2"/>
    <n v="30"/>
    <n v="0"/>
    <x v="0"/>
  </r>
  <r>
    <s v="AR-INV-7066"/>
    <s v="CUS-03"/>
    <d v="2026-07-12T00:00:00"/>
    <d v="2026-08-11T00:00:00"/>
    <n v="4514.9399999999996"/>
    <s v="Paid"/>
    <x v="3"/>
    <n v="30"/>
    <n v="0"/>
    <x v="0"/>
  </r>
  <r>
    <s v="AR-INV-7161"/>
    <s v="CUS-05"/>
    <d v="2026-07-13T00:00:00"/>
    <d v="2026-08-12T00:00:00"/>
    <n v="7983.27"/>
    <s v="Paid"/>
    <x v="1"/>
    <n v="30"/>
    <n v="0"/>
    <x v="0"/>
  </r>
  <r>
    <s v="AR-INV-7045"/>
    <s v="CUS-05"/>
    <d v="2026-07-20T00:00:00"/>
    <d v="2026-08-19T00:00:00"/>
    <n v="40338.46"/>
    <s v="Paid"/>
    <x v="1"/>
    <n v="30"/>
    <n v="0"/>
    <x v="0"/>
  </r>
  <r>
    <s v="AR-INV-7079"/>
    <s v="CUS-01"/>
    <d v="2026-07-21T00:00:00"/>
    <d v="2026-08-20T00:00:00"/>
    <n v="18638.36"/>
    <s v="Paid"/>
    <x v="2"/>
    <n v="30"/>
    <n v="0"/>
    <x v="0"/>
  </r>
  <r>
    <s v="AR-INV-7375"/>
    <s v="CUS-02"/>
    <d v="2026-07-21T00:00:00"/>
    <d v="2026-08-20T00:00:00"/>
    <n v="15483"/>
    <s v="Unpaid"/>
    <x v="4"/>
    <n v="30"/>
    <n v="15483"/>
    <x v="1"/>
  </r>
  <r>
    <s v="AR-INV-7021"/>
    <s v="CUS-01"/>
    <d v="2026-07-23T00:00:00"/>
    <d v="2026-08-22T00:00:00"/>
    <n v="10021.32"/>
    <s v="Paid"/>
    <x v="2"/>
    <n v="30"/>
    <n v="0"/>
    <x v="0"/>
  </r>
  <r>
    <s v="AR-INV-7017"/>
    <s v="CUS-02"/>
    <d v="2026-07-26T00:00:00"/>
    <d v="2026-08-25T00:00:00"/>
    <n v="37074.620000000003"/>
    <s v="Paid"/>
    <x v="4"/>
    <n v="30"/>
    <n v="0"/>
    <x v="0"/>
  </r>
  <r>
    <s v="AR-INV-7169"/>
    <s v="CUS-03"/>
    <d v="2026-07-28T00:00:00"/>
    <d v="2026-08-27T00:00:00"/>
    <n v="19961.509999999998"/>
    <s v="Paid"/>
    <x v="3"/>
    <n v="30"/>
    <n v="0"/>
    <x v="0"/>
  </r>
  <r>
    <s v="AR-INV-7263"/>
    <s v="CUS-02"/>
    <d v="2026-07-29T00:00:00"/>
    <d v="2026-08-28T00:00:00"/>
    <n v="23603.14"/>
    <s v="Paid"/>
    <x v="4"/>
    <n v="30"/>
    <n v="0"/>
    <x v="0"/>
  </r>
  <r>
    <s v="AR-INV-7289"/>
    <s v="CUS-01"/>
    <d v="2026-07-30T00:00:00"/>
    <d v="2026-08-29T00:00:00"/>
    <n v="44796.04"/>
    <s v="Paid"/>
    <x v="2"/>
    <n v="30"/>
    <n v="0"/>
    <x v="0"/>
  </r>
  <r>
    <s v="AR-INV-7121"/>
    <s v="CUS-01"/>
    <d v="2026-07-31T00:00:00"/>
    <d v="2026-08-30T00:00:00"/>
    <n v="21076.63"/>
    <s v="Paid"/>
    <x v="2"/>
    <n v="30"/>
    <n v="0"/>
    <x v="0"/>
  </r>
  <r>
    <s v="AR-INV-7304"/>
    <s v="CUS-05"/>
    <d v="2026-08-01T00:00:00"/>
    <d v="2026-08-31T00:00:00"/>
    <n v="44323.98"/>
    <s v="Unpaid"/>
    <x v="1"/>
    <n v="30"/>
    <n v="44323.98"/>
    <x v="1"/>
  </r>
  <r>
    <s v="AR-INV-7088"/>
    <s v="CUS-04"/>
    <d v="2026-08-04T00:00:00"/>
    <d v="2026-09-03T00:00:00"/>
    <n v="4360.46"/>
    <s v="Paid"/>
    <x v="0"/>
    <n v="30"/>
    <n v="0"/>
    <x v="0"/>
  </r>
  <r>
    <s v="AR-INV-7457"/>
    <s v="CUS-03"/>
    <d v="2026-08-04T00:00:00"/>
    <d v="2026-09-03T00:00:00"/>
    <n v="12362.34"/>
    <s v="Paid"/>
    <x v="3"/>
    <n v="30"/>
    <n v="0"/>
    <x v="0"/>
  </r>
  <r>
    <s v="AR-INV-7484"/>
    <s v="CUS-02"/>
    <d v="2026-08-04T00:00:00"/>
    <d v="2026-09-03T00:00:00"/>
    <n v="8625.7000000000007"/>
    <s v="Paid"/>
    <x v="4"/>
    <n v="30"/>
    <n v="0"/>
    <x v="0"/>
  </r>
  <r>
    <s v="AR-INV-7096"/>
    <s v="CUS-05"/>
    <d v="2026-08-09T00:00:00"/>
    <d v="2026-09-08T00:00:00"/>
    <n v="38631.31"/>
    <s v="Paid"/>
    <x v="1"/>
    <n v="30"/>
    <n v="0"/>
    <x v="0"/>
  </r>
  <r>
    <s v="AR-INV-7051"/>
    <s v="CUS-01"/>
    <d v="2026-08-17T00:00:00"/>
    <d v="2026-09-16T00:00:00"/>
    <n v="17803.080000000002"/>
    <s v="Paid"/>
    <x v="2"/>
    <n v="30"/>
    <n v="0"/>
    <x v="0"/>
  </r>
  <r>
    <s v="AR-INV-7424"/>
    <s v="CUS-01"/>
    <d v="2026-08-20T00:00:00"/>
    <d v="2026-09-19T00:00:00"/>
    <n v="7392.84"/>
    <s v="Paid"/>
    <x v="2"/>
    <n v="30"/>
    <n v="0"/>
    <x v="0"/>
  </r>
  <r>
    <s v="AR-INV-7425"/>
    <s v="CUS-05"/>
    <d v="2026-08-26T00:00:00"/>
    <d v="2026-09-25T00:00:00"/>
    <n v="32674.33"/>
    <s v="Paid"/>
    <x v="1"/>
    <n v="30"/>
    <n v="0"/>
    <x v="0"/>
  </r>
  <r>
    <s v="AR-INV-7073"/>
    <s v="CUS-04"/>
    <d v="2026-08-30T00:00:00"/>
    <d v="2026-09-29T00:00:00"/>
    <n v="40493.879999999997"/>
    <s v="Paid"/>
    <x v="0"/>
    <n v="30"/>
    <n v="0"/>
    <x v="0"/>
  </r>
  <r>
    <s v="AR-INV-7296"/>
    <s v="CUS-03"/>
    <d v="2026-08-30T00:00:00"/>
    <d v="2026-09-29T00:00:00"/>
    <n v="5486.03"/>
    <s v="Paid"/>
    <x v="3"/>
    <n v="30"/>
    <n v="0"/>
    <x v="0"/>
  </r>
  <r>
    <s v="AR-INV-7056"/>
    <s v="CUS-03"/>
    <d v="2026-09-03T00:00:00"/>
    <d v="2026-10-03T00:00:00"/>
    <n v="42355.06"/>
    <s v="Paid"/>
    <x v="3"/>
    <n v="30"/>
    <n v="0"/>
    <x v="0"/>
  </r>
  <r>
    <s v="AR-INV-7343"/>
    <s v="CUS-01"/>
    <d v="2026-09-06T00:00:00"/>
    <d v="2026-10-06T00:00:00"/>
    <n v="34627.410000000003"/>
    <s v="Paid"/>
    <x v="2"/>
    <n v="30"/>
    <n v="0"/>
    <x v="0"/>
  </r>
  <r>
    <s v="AR-INV-7485"/>
    <s v="CUS-05"/>
    <d v="2026-09-08T00:00:00"/>
    <d v="2026-10-08T00:00:00"/>
    <n v="6350.45"/>
    <s v="Paid"/>
    <x v="1"/>
    <n v="30"/>
    <n v="0"/>
    <x v="0"/>
  </r>
  <r>
    <s v="AR-INV-7481"/>
    <s v="CUS-02"/>
    <d v="2026-09-09T00:00:00"/>
    <d v="2026-10-09T00:00:00"/>
    <n v="41454.800000000003"/>
    <s v="Paid"/>
    <x v="4"/>
    <n v="30"/>
    <n v="0"/>
    <x v="0"/>
  </r>
  <r>
    <s v="AR-INV-7317"/>
    <s v="CUS-01"/>
    <d v="2026-09-18T00:00:00"/>
    <d v="2026-10-18T00:00:00"/>
    <n v="36742.01"/>
    <s v="Paid"/>
    <x v="2"/>
    <n v="30"/>
    <n v="0"/>
    <x v="0"/>
  </r>
  <r>
    <s v="AR-INV-7204"/>
    <s v="CUS-04"/>
    <d v="2026-09-19T00:00:00"/>
    <d v="2026-10-19T00:00:00"/>
    <n v="46145.19"/>
    <s v="Paid"/>
    <x v="0"/>
    <n v="30"/>
    <n v="0"/>
    <x v="0"/>
  </r>
  <r>
    <s v="AR-INV-7205"/>
    <s v="CUS-05"/>
    <d v="2026-09-21T00:00:00"/>
    <d v="2026-10-21T00:00:00"/>
    <n v="17676.5"/>
    <s v="Paid"/>
    <x v="1"/>
    <n v="30"/>
    <n v="0"/>
    <x v="0"/>
  </r>
  <r>
    <s v="AR-INV-7396"/>
    <s v="CUS-05"/>
    <d v="2026-09-21T00:00:00"/>
    <d v="2026-10-21T00:00:00"/>
    <n v="41916.720000000001"/>
    <s v="Paid"/>
    <x v="1"/>
    <n v="30"/>
    <n v="0"/>
    <x v="0"/>
  </r>
  <r>
    <s v="AR-INV-7069"/>
    <s v="CUS-04"/>
    <d v="2026-09-23T00:00:00"/>
    <d v="2026-10-23T00:00:00"/>
    <n v="39302.76"/>
    <s v="Paid"/>
    <x v="0"/>
    <n v="30"/>
    <n v="0"/>
    <x v="0"/>
  </r>
  <r>
    <s v="AR-INV-7439"/>
    <s v="CUS-01"/>
    <d v="2026-09-25T00:00:00"/>
    <d v="2026-10-25T00:00:00"/>
    <n v="46058.8"/>
    <s v="Unpaid"/>
    <x v="2"/>
    <n v="30"/>
    <n v="46058.8"/>
    <x v="2"/>
  </r>
  <r>
    <s v="AR-INV-7471"/>
    <s v="CUS-05"/>
    <d v="2026-09-28T00:00:00"/>
    <d v="2026-10-28T00:00:00"/>
    <n v="26314.63"/>
    <s v="Unpaid"/>
    <x v="1"/>
    <n v="30"/>
    <n v="26314.63"/>
    <x v="2"/>
  </r>
  <r>
    <s v="AR-INV-7147"/>
    <s v="CUS-01"/>
    <d v="2026-10-03T00:00:00"/>
    <d v="2026-11-02T00:00:00"/>
    <n v="15255.78"/>
    <s v="Paid"/>
    <x v="2"/>
    <n v="30"/>
    <n v="0"/>
    <x v="0"/>
  </r>
  <r>
    <s v="AR-INV-7150"/>
    <s v="CUS-04"/>
    <d v="2026-10-03T00:00:00"/>
    <d v="2026-11-02T00:00:00"/>
    <n v="10305.86"/>
    <s v="Paid"/>
    <x v="0"/>
    <n v="30"/>
    <n v="0"/>
    <x v="0"/>
  </r>
  <r>
    <s v="AR-INV-7421"/>
    <s v="CUS-03"/>
    <d v="2026-10-05T00:00:00"/>
    <d v="2026-11-04T00:00:00"/>
    <n v="29124.45"/>
    <s v="Paid"/>
    <x v="3"/>
    <n v="30"/>
    <n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P-INV-5060"/>
    <s v="VEN-06"/>
    <n v="44927"/>
    <n v="44957"/>
    <n v="1058.55"/>
    <s v="Paid"/>
    <x v="0"/>
    <n v="30"/>
    <n v="0"/>
    <x v="0"/>
  </r>
  <r>
    <s v="AP-INV-5174"/>
    <s v="VEN-06"/>
    <d v="2023-01-05T00:00:00"/>
    <d v="2023-02-04T00:00:00"/>
    <n v="13354.74"/>
    <s v="Paid"/>
    <x v="0"/>
    <n v="30"/>
    <n v="0"/>
    <x v="0"/>
  </r>
  <r>
    <s v="AP-INV-5218"/>
    <s v="VEN-06"/>
    <d v="2023-01-15T00:00:00"/>
    <d v="2023-02-14T00:00:00"/>
    <n v="3675.59"/>
    <s v="Paid"/>
    <x v="0"/>
    <n v="30"/>
    <n v="0"/>
    <x v="0"/>
  </r>
  <r>
    <s v="AP-INV-5490"/>
    <s v="VEN-04"/>
    <d v="2023-01-16T00:00:00"/>
    <d v="2023-02-15T00:00:00"/>
    <n v="19483.96"/>
    <s v="Paid"/>
    <x v="1"/>
    <n v="30"/>
    <n v="0"/>
    <x v="0"/>
  </r>
  <r>
    <s v="AP-INV-5114"/>
    <s v="VEN-05"/>
    <d v="2023-01-17T00:00:00"/>
    <d v="2023-02-16T00:00:00"/>
    <n v="1983.3"/>
    <s v="Paid"/>
    <x v="2"/>
    <n v="30"/>
    <n v="0"/>
    <x v="0"/>
  </r>
  <r>
    <s v="AP-INV-5344"/>
    <s v="VEN-02"/>
    <d v="2023-01-19T00:00:00"/>
    <d v="2023-02-18T00:00:00"/>
    <n v="8486.36"/>
    <s v="Paid"/>
    <x v="3"/>
    <n v="30"/>
    <n v="0"/>
    <x v="0"/>
  </r>
  <r>
    <s v="AP-INV-5117"/>
    <s v="VEN-05"/>
    <d v="2023-01-20T00:00:00"/>
    <d v="2023-02-19T00:00:00"/>
    <n v="16861.39"/>
    <s v="Paid"/>
    <x v="2"/>
    <n v="30"/>
    <n v="0"/>
    <x v="0"/>
  </r>
  <r>
    <s v="AP-INV-5080"/>
    <s v="VEN-02"/>
    <d v="2023-01-21T00:00:00"/>
    <d v="2023-02-20T00:00:00"/>
    <n v="7921.86"/>
    <s v="Unpaid"/>
    <x v="3"/>
    <n v="30"/>
    <n v="7921.86"/>
    <x v="1"/>
  </r>
  <r>
    <s v="AP-INV-5335"/>
    <s v="VEN-05"/>
    <d v="2023-01-21T00:00:00"/>
    <d v="2023-02-20T00:00:00"/>
    <n v="15098.49"/>
    <s v="Unpaid"/>
    <x v="2"/>
    <n v="30"/>
    <n v="15098.49"/>
    <x v="1"/>
  </r>
  <r>
    <s v="AP-INV-5068"/>
    <s v="VEN-03"/>
    <d v="2023-01-22T00:00:00"/>
    <d v="2023-02-21T00:00:00"/>
    <n v="4687.8500000000004"/>
    <s v="Paid"/>
    <x v="4"/>
    <n v="30"/>
    <n v="0"/>
    <x v="0"/>
  </r>
  <r>
    <s v="AP-INV-5154"/>
    <s v="VEN-04"/>
    <d v="2023-01-25T00:00:00"/>
    <d v="2023-02-24T00:00:00"/>
    <n v="3203.42"/>
    <s v="Paid"/>
    <x v="1"/>
    <n v="30"/>
    <n v="0"/>
    <x v="0"/>
  </r>
  <r>
    <s v="AP-INV-5362"/>
    <s v="VEN-03"/>
    <d v="2023-01-25T00:00:00"/>
    <d v="2023-02-24T00:00:00"/>
    <n v="8003.06"/>
    <s v="Paid"/>
    <x v="4"/>
    <n v="30"/>
    <n v="0"/>
    <x v="0"/>
  </r>
  <r>
    <s v="AP-INV-5200"/>
    <s v="VEN-05"/>
    <d v="2023-02-03T00:00:00"/>
    <d v="2023-03-05T00:00:00"/>
    <n v="1651.55"/>
    <s v="Paid"/>
    <x v="2"/>
    <n v="30"/>
    <n v="0"/>
    <x v="0"/>
  </r>
  <r>
    <s v="AP-INV-5206"/>
    <s v="VEN-02"/>
    <d v="2023-02-03T00:00:00"/>
    <d v="2023-03-05T00:00:00"/>
    <n v="17401.39"/>
    <s v="Paid"/>
    <x v="3"/>
    <n v="30"/>
    <n v="0"/>
    <x v="0"/>
  </r>
  <r>
    <s v="AP-INV-5014"/>
    <s v="VEN-02"/>
    <d v="2023-02-05T00:00:00"/>
    <d v="2023-03-07T00:00:00"/>
    <n v="11504.91"/>
    <s v="Unpaid"/>
    <x v="3"/>
    <n v="30"/>
    <n v="11504.91"/>
    <x v="1"/>
  </r>
  <r>
    <s v="AP-INV-5164"/>
    <s v="VEN-04"/>
    <d v="2023-02-08T00:00:00"/>
    <d v="2023-03-10T00:00:00"/>
    <n v="13042.47"/>
    <s v="Paid"/>
    <x v="1"/>
    <n v="30"/>
    <n v="0"/>
    <x v="0"/>
  </r>
  <r>
    <s v="AP-INV-5441"/>
    <s v="VEN-03"/>
    <d v="2023-02-08T00:00:00"/>
    <d v="2023-03-10T00:00:00"/>
    <n v="14272.04"/>
    <s v="Unpaid"/>
    <x v="4"/>
    <n v="30"/>
    <n v="14272.04"/>
    <x v="1"/>
  </r>
  <r>
    <s v="AP-INV-5043"/>
    <s v="VEN-02"/>
    <d v="2023-02-14T00:00:00"/>
    <d v="2023-03-16T00:00:00"/>
    <n v="17151.28"/>
    <s v="Paid"/>
    <x v="3"/>
    <n v="30"/>
    <n v="0"/>
    <x v="0"/>
  </r>
  <r>
    <s v="AP-INV-5495"/>
    <s v="VEN-02"/>
    <d v="2023-02-17T00:00:00"/>
    <d v="2023-03-19T00:00:00"/>
    <n v="12004.08"/>
    <s v="Paid"/>
    <x v="3"/>
    <n v="30"/>
    <n v="0"/>
    <x v="0"/>
  </r>
  <r>
    <s v="AP-INV-5085"/>
    <s v="VEN-03"/>
    <d v="2023-02-20T00:00:00"/>
    <d v="2023-03-22T00:00:00"/>
    <n v="7157.36"/>
    <s v="Paid"/>
    <x v="4"/>
    <n v="30"/>
    <n v="0"/>
    <x v="0"/>
  </r>
  <r>
    <s v="AP-INV-5144"/>
    <s v="VEN-02"/>
    <d v="2023-02-25T00:00:00"/>
    <d v="2023-03-27T00:00:00"/>
    <n v="6875.49"/>
    <s v="Paid"/>
    <x v="3"/>
    <n v="30"/>
    <n v="0"/>
    <x v="0"/>
  </r>
  <r>
    <s v="AP-INV-5435"/>
    <s v="VEN-06"/>
    <d v="2023-02-25T00:00:00"/>
    <d v="2023-03-27T00:00:00"/>
    <n v="9840.08"/>
    <s v="Paid"/>
    <x v="0"/>
    <n v="30"/>
    <n v="0"/>
    <x v="0"/>
  </r>
  <r>
    <s v="AP-INV-5366"/>
    <s v="VEN-01"/>
    <d v="2023-02-26T00:00:00"/>
    <d v="2023-03-28T00:00:00"/>
    <n v="11608.94"/>
    <s v="Paid"/>
    <x v="5"/>
    <n v="30"/>
    <n v="0"/>
    <x v="0"/>
  </r>
  <r>
    <s v="AP-INV-5289"/>
    <s v="VEN-05"/>
    <d v="2023-02-27T00:00:00"/>
    <d v="2023-03-29T00:00:00"/>
    <n v="17524.23"/>
    <s v="Paid"/>
    <x v="2"/>
    <n v="30"/>
    <n v="0"/>
    <x v="0"/>
  </r>
  <r>
    <s v="AP-INV-5234"/>
    <s v="VEN-06"/>
    <d v="2023-02-28T00:00:00"/>
    <d v="2023-03-30T00:00:00"/>
    <n v="5469.68"/>
    <s v="Paid"/>
    <x v="0"/>
    <n v="30"/>
    <n v="0"/>
    <x v="0"/>
  </r>
  <r>
    <s v="AP-INV-5109"/>
    <s v="VEN-02"/>
    <d v="2023-03-02T00:00:00"/>
    <d v="2023-04-01T00:00:00"/>
    <n v="5552.08"/>
    <s v="Paid"/>
    <x v="3"/>
    <n v="30"/>
    <n v="0"/>
    <x v="0"/>
  </r>
  <r>
    <s v="AP-INV-5349"/>
    <s v="VEN-03"/>
    <d v="2023-03-03T00:00:00"/>
    <d v="2023-04-02T00:00:00"/>
    <n v="11613.83"/>
    <s v="Paid"/>
    <x v="4"/>
    <n v="30"/>
    <n v="0"/>
    <x v="0"/>
  </r>
  <r>
    <s v="AP-INV-5020"/>
    <s v="VEN-04"/>
    <d v="2023-03-04T00:00:00"/>
    <d v="2023-04-03T00:00:00"/>
    <n v="4602.6000000000004"/>
    <s v="Unpaid"/>
    <x v="1"/>
    <n v="30"/>
    <n v="4602.6000000000004"/>
    <x v="1"/>
  </r>
  <r>
    <s v="AP-INV-5312"/>
    <s v="VEN-05"/>
    <d v="2023-03-05T00:00:00"/>
    <d v="2023-04-04T00:00:00"/>
    <n v="16365.21"/>
    <s v="Paid"/>
    <x v="2"/>
    <n v="30"/>
    <n v="0"/>
    <x v="0"/>
  </r>
  <r>
    <s v="AP-INV-5046"/>
    <s v="VEN-02"/>
    <d v="2023-03-09T00:00:00"/>
    <d v="2023-04-08T00:00:00"/>
    <n v="2021.71"/>
    <s v="Paid"/>
    <x v="3"/>
    <n v="30"/>
    <n v="0"/>
    <x v="0"/>
  </r>
  <r>
    <s v="AP-INV-5272"/>
    <s v="VEN-03"/>
    <d v="2023-03-13T00:00:00"/>
    <d v="2023-04-12T00:00:00"/>
    <n v="12285.28"/>
    <s v="Paid"/>
    <x v="4"/>
    <n v="30"/>
    <n v="0"/>
    <x v="0"/>
  </r>
  <r>
    <s v="AP-INV-5153"/>
    <s v="VEN-01"/>
    <d v="2023-03-17T00:00:00"/>
    <d v="2023-04-16T00:00:00"/>
    <n v="18278.060000000001"/>
    <s v="Paid"/>
    <x v="5"/>
    <n v="30"/>
    <n v="0"/>
    <x v="0"/>
  </r>
  <r>
    <s v="AP-INV-5297"/>
    <s v="VEN-06"/>
    <d v="2023-03-24T00:00:00"/>
    <d v="2023-04-23T00:00:00"/>
    <n v="14014.98"/>
    <s v="Paid"/>
    <x v="0"/>
    <n v="30"/>
    <n v="0"/>
    <x v="0"/>
  </r>
  <r>
    <s v="AP-INV-5185"/>
    <s v="VEN-02"/>
    <d v="2023-03-26T00:00:00"/>
    <d v="2023-04-25T00:00:00"/>
    <n v="10568.05"/>
    <s v="Unpaid"/>
    <x v="3"/>
    <n v="30"/>
    <n v="10568.05"/>
    <x v="1"/>
  </r>
  <r>
    <s v="AP-INV-5311"/>
    <s v="VEN-06"/>
    <d v="2023-03-28T00:00:00"/>
    <d v="2023-04-27T00:00:00"/>
    <n v="4781.04"/>
    <s v="Paid"/>
    <x v="0"/>
    <n v="30"/>
    <n v="0"/>
    <x v="0"/>
  </r>
  <r>
    <s v="AP-INV-5030"/>
    <s v="VEN-05"/>
    <d v="2023-04-11T00:00:00"/>
    <d v="2023-05-11T00:00:00"/>
    <n v="5871.32"/>
    <s v="Unpaid"/>
    <x v="2"/>
    <n v="30"/>
    <n v="5871.32"/>
    <x v="1"/>
  </r>
  <r>
    <s v="AP-INV-5329"/>
    <s v="VEN-03"/>
    <d v="2023-04-11T00:00:00"/>
    <d v="2023-05-11T00:00:00"/>
    <n v="16567.59"/>
    <s v="Paid"/>
    <x v="4"/>
    <n v="30"/>
    <n v="0"/>
    <x v="0"/>
  </r>
  <r>
    <s v="AP-INV-5420"/>
    <s v="VEN-01"/>
    <d v="2023-04-12T00:00:00"/>
    <d v="2023-05-12T00:00:00"/>
    <n v="18119.16"/>
    <s v="Paid"/>
    <x v="5"/>
    <n v="30"/>
    <n v="0"/>
    <x v="0"/>
  </r>
  <r>
    <s v="AP-INV-5447"/>
    <s v="VEN-05"/>
    <d v="2023-04-13T00:00:00"/>
    <d v="2023-05-13T00:00:00"/>
    <n v="11656.27"/>
    <s v="Paid"/>
    <x v="2"/>
    <n v="30"/>
    <n v="0"/>
    <x v="0"/>
  </r>
  <r>
    <s v="AP-INV-5023"/>
    <s v="VEN-06"/>
    <d v="2023-04-14T00:00:00"/>
    <d v="2023-05-14T00:00:00"/>
    <n v="3953.04"/>
    <s v="Paid"/>
    <x v="0"/>
    <n v="30"/>
    <n v="0"/>
    <x v="0"/>
  </r>
  <r>
    <s v="AP-INV-5492"/>
    <s v="VEN-06"/>
    <d v="2023-04-16T00:00:00"/>
    <d v="2023-05-16T00:00:00"/>
    <n v="13521.73"/>
    <s v="Paid"/>
    <x v="0"/>
    <n v="30"/>
    <n v="0"/>
    <x v="0"/>
  </r>
  <r>
    <s v="AP-INV-5047"/>
    <s v="VEN-06"/>
    <d v="2023-04-22T00:00:00"/>
    <d v="2023-05-22T00:00:00"/>
    <n v="11330.47"/>
    <s v="Paid"/>
    <x v="0"/>
    <n v="30"/>
    <n v="0"/>
    <x v="0"/>
  </r>
  <r>
    <s v="AP-INV-5168"/>
    <s v="VEN-05"/>
    <d v="2023-04-24T00:00:00"/>
    <d v="2023-05-24T00:00:00"/>
    <n v="14367.67"/>
    <s v="Paid"/>
    <x v="2"/>
    <n v="30"/>
    <n v="0"/>
    <x v="0"/>
  </r>
  <r>
    <s v="AP-INV-5240"/>
    <s v="VEN-01"/>
    <d v="2023-04-24T00:00:00"/>
    <d v="2023-05-24T00:00:00"/>
    <n v="7954.67"/>
    <s v="Paid"/>
    <x v="5"/>
    <n v="30"/>
    <n v="0"/>
    <x v="0"/>
  </r>
  <r>
    <s v="AP-INV-5205"/>
    <s v="VEN-02"/>
    <d v="2023-05-04T00:00:00"/>
    <d v="2023-06-03T00:00:00"/>
    <n v="4390.21"/>
    <s v="Paid"/>
    <x v="3"/>
    <n v="30"/>
    <n v="0"/>
    <x v="0"/>
  </r>
  <r>
    <s v="AP-INV-5212"/>
    <s v="VEN-04"/>
    <d v="2023-05-12T00:00:00"/>
    <d v="2023-06-11T00:00:00"/>
    <n v="15491.55"/>
    <s v="Paid"/>
    <x v="1"/>
    <n v="30"/>
    <n v="0"/>
    <x v="0"/>
  </r>
  <r>
    <s v="AP-INV-5339"/>
    <s v="VEN-06"/>
    <d v="2023-05-15T00:00:00"/>
    <d v="2023-06-14T00:00:00"/>
    <n v="2529.31"/>
    <s v="Unpaid"/>
    <x v="0"/>
    <n v="30"/>
    <n v="2529.31"/>
    <x v="1"/>
  </r>
  <r>
    <s v="AP-INV-5024"/>
    <s v="VEN-06"/>
    <d v="2023-05-16T00:00:00"/>
    <d v="2023-06-15T00:00:00"/>
    <n v="10464.27"/>
    <s v="Paid"/>
    <x v="0"/>
    <n v="30"/>
    <n v="0"/>
    <x v="0"/>
  </r>
  <r>
    <s v="AP-INV-5396"/>
    <s v="VEN-05"/>
    <d v="2023-05-17T00:00:00"/>
    <d v="2023-06-16T00:00:00"/>
    <n v="12529.47"/>
    <s v="Paid"/>
    <x v="2"/>
    <n v="30"/>
    <n v="0"/>
    <x v="0"/>
  </r>
  <r>
    <s v="AP-INV-5287"/>
    <s v="VEN-03"/>
    <d v="2023-05-19T00:00:00"/>
    <d v="2023-06-18T00:00:00"/>
    <n v="19283.080000000002"/>
    <s v="Paid"/>
    <x v="4"/>
    <n v="30"/>
    <n v="0"/>
    <x v="0"/>
  </r>
  <r>
    <s v="AP-INV-5458"/>
    <s v="VEN-05"/>
    <d v="2023-05-21T00:00:00"/>
    <d v="2023-06-20T00:00:00"/>
    <n v="7947.47"/>
    <s v="Paid"/>
    <x v="2"/>
    <n v="30"/>
    <n v="0"/>
    <x v="0"/>
  </r>
  <r>
    <s v="AP-INV-5347"/>
    <s v="VEN-03"/>
    <d v="2023-06-02T00:00:00"/>
    <d v="2023-07-02T00:00:00"/>
    <n v="3760.66"/>
    <s v="Paid"/>
    <x v="4"/>
    <n v="30"/>
    <n v="0"/>
    <x v="0"/>
  </r>
  <r>
    <s v="AP-INV-5439"/>
    <s v="VEN-03"/>
    <d v="2023-06-04T00:00:00"/>
    <d v="2023-07-04T00:00:00"/>
    <n v="3065.58"/>
    <s v="Paid"/>
    <x v="4"/>
    <n v="30"/>
    <n v="0"/>
    <x v="0"/>
  </r>
  <r>
    <s v="AP-INV-5248"/>
    <s v="VEN-02"/>
    <d v="2023-06-05T00:00:00"/>
    <d v="2023-07-05T00:00:00"/>
    <n v="17233.37"/>
    <s v="Paid"/>
    <x v="3"/>
    <n v="30"/>
    <n v="0"/>
    <x v="0"/>
  </r>
  <r>
    <s v="AP-INV-5330"/>
    <s v="VEN-02"/>
    <d v="2023-06-10T00:00:00"/>
    <d v="2023-07-10T00:00:00"/>
    <n v="17474.580000000002"/>
    <s v="Paid"/>
    <x v="3"/>
    <n v="30"/>
    <n v="0"/>
    <x v="0"/>
  </r>
  <r>
    <s v="AP-INV-5340"/>
    <s v="VEN-01"/>
    <d v="2023-06-13T00:00:00"/>
    <d v="2023-07-13T00:00:00"/>
    <n v="723.05"/>
    <s v="Paid"/>
    <x v="5"/>
    <n v="30"/>
    <n v="0"/>
    <x v="0"/>
  </r>
  <r>
    <s v="AP-INV-5132"/>
    <s v="VEN-04"/>
    <d v="2023-06-15T00:00:00"/>
    <d v="2023-07-15T00:00:00"/>
    <n v="2799.76"/>
    <s v="Unpaid"/>
    <x v="1"/>
    <n v="30"/>
    <n v="2799.76"/>
    <x v="1"/>
  </r>
  <r>
    <s v="AP-INV-5184"/>
    <s v="VEN-01"/>
    <d v="2023-06-15T00:00:00"/>
    <d v="2023-07-15T00:00:00"/>
    <n v="3336.27"/>
    <s v="Paid"/>
    <x v="5"/>
    <n v="30"/>
    <n v="0"/>
    <x v="0"/>
  </r>
  <r>
    <s v="AP-INV-5110"/>
    <s v="VEN-06"/>
    <d v="2023-06-17T00:00:00"/>
    <d v="2023-07-17T00:00:00"/>
    <n v="18265.12"/>
    <s v="Paid"/>
    <x v="0"/>
    <n v="30"/>
    <n v="0"/>
    <x v="0"/>
  </r>
  <r>
    <s v="AP-INV-5469"/>
    <s v="VEN-02"/>
    <d v="2023-06-20T00:00:00"/>
    <d v="2023-07-20T00:00:00"/>
    <n v="12861.7"/>
    <s v="Paid"/>
    <x v="3"/>
    <n v="30"/>
    <n v="0"/>
    <x v="0"/>
  </r>
  <r>
    <s v="AP-INV-5219"/>
    <s v="VEN-01"/>
    <d v="2023-06-24T00:00:00"/>
    <d v="2023-07-24T00:00:00"/>
    <n v="13206.63"/>
    <s v="Paid"/>
    <x v="5"/>
    <n v="30"/>
    <n v="0"/>
    <x v="0"/>
  </r>
  <r>
    <s v="AP-INV-5425"/>
    <s v="VEN-01"/>
    <d v="2023-06-24T00:00:00"/>
    <d v="2023-07-24T00:00:00"/>
    <n v="10762.73"/>
    <s v="Unpaid"/>
    <x v="5"/>
    <n v="30"/>
    <n v="10762.73"/>
    <x v="1"/>
  </r>
  <r>
    <s v="AP-INV-5237"/>
    <s v="VEN-02"/>
    <d v="2023-06-27T00:00:00"/>
    <d v="2023-07-27T00:00:00"/>
    <n v="2639.7"/>
    <s v="Paid"/>
    <x v="3"/>
    <n v="30"/>
    <n v="0"/>
    <x v="0"/>
  </r>
  <r>
    <s v="AP-INV-5276"/>
    <s v="VEN-01"/>
    <d v="2023-06-30T00:00:00"/>
    <d v="2023-07-30T00:00:00"/>
    <n v="7527.18"/>
    <s v="Paid"/>
    <x v="5"/>
    <n v="30"/>
    <n v="0"/>
    <x v="0"/>
  </r>
  <r>
    <s v="AP-INV-5365"/>
    <s v="VEN-06"/>
    <d v="2023-06-30T00:00:00"/>
    <d v="2023-07-30T00:00:00"/>
    <n v="4977.2700000000004"/>
    <s v="Paid"/>
    <x v="0"/>
    <n v="30"/>
    <n v="0"/>
    <x v="0"/>
  </r>
  <r>
    <s v="AP-INV-5380"/>
    <s v="VEN-05"/>
    <d v="2023-07-04T00:00:00"/>
    <d v="2023-08-03T00:00:00"/>
    <n v="14249.1"/>
    <s v="Unpaid"/>
    <x v="2"/>
    <n v="30"/>
    <n v="14249.1"/>
    <x v="1"/>
  </r>
  <r>
    <s v="AP-INV-5477"/>
    <s v="VEN-06"/>
    <d v="2023-07-04T00:00:00"/>
    <d v="2023-08-03T00:00:00"/>
    <n v="17612.78"/>
    <s v="Paid"/>
    <x v="0"/>
    <n v="30"/>
    <n v="0"/>
    <x v="0"/>
  </r>
  <r>
    <s v="AP-INV-5159"/>
    <s v="VEN-06"/>
    <d v="2023-07-06T00:00:00"/>
    <d v="2023-08-05T00:00:00"/>
    <n v="1592.79"/>
    <s v="Unpaid"/>
    <x v="0"/>
    <n v="30"/>
    <n v="1592.79"/>
    <x v="1"/>
  </r>
  <r>
    <s v="AP-INV-5288"/>
    <s v="VEN-05"/>
    <d v="2023-07-07T00:00:00"/>
    <d v="2023-08-06T00:00:00"/>
    <n v="6772.35"/>
    <s v="Paid"/>
    <x v="2"/>
    <n v="30"/>
    <n v="0"/>
    <x v="0"/>
  </r>
  <r>
    <s v="AP-INV-5367"/>
    <s v="VEN-01"/>
    <d v="2023-07-07T00:00:00"/>
    <d v="2023-08-06T00:00:00"/>
    <n v="6858.2"/>
    <s v="Unpaid"/>
    <x v="5"/>
    <n v="30"/>
    <n v="6858.2"/>
    <x v="1"/>
  </r>
  <r>
    <s v="AP-INV-5409"/>
    <s v="VEN-01"/>
    <d v="2023-07-11T00:00:00"/>
    <d v="2023-08-10T00:00:00"/>
    <n v="15091.69"/>
    <s v="Paid"/>
    <x v="5"/>
    <n v="30"/>
    <n v="0"/>
    <x v="0"/>
  </r>
  <r>
    <s v="AP-INV-5226"/>
    <s v="VEN-01"/>
    <d v="2023-07-14T00:00:00"/>
    <d v="2023-08-13T00:00:00"/>
    <n v="11113.3"/>
    <s v="Unpaid"/>
    <x v="5"/>
    <n v="30"/>
    <n v="11113.3"/>
    <x v="1"/>
  </r>
  <r>
    <s v="AP-INV-5098"/>
    <s v="VEN-06"/>
    <d v="2023-07-24T00:00:00"/>
    <d v="2023-08-23T00:00:00"/>
    <n v="19527"/>
    <s v="Paid"/>
    <x v="0"/>
    <n v="30"/>
    <n v="0"/>
    <x v="0"/>
  </r>
  <r>
    <s v="AP-INV-5065"/>
    <s v="VEN-01"/>
    <d v="2023-07-28T00:00:00"/>
    <d v="2023-08-27T00:00:00"/>
    <n v="12266.21"/>
    <s v="Paid"/>
    <x v="5"/>
    <n v="30"/>
    <n v="0"/>
    <x v="0"/>
  </r>
  <r>
    <s v="AP-INV-5172"/>
    <s v="VEN-02"/>
    <d v="2023-07-30T00:00:00"/>
    <d v="2023-08-29T00:00:00"/>
    <n v="8485.15"/>
    <s v="Unpaid"/>
    <x v="3"/>
    <n v="30"/>
    <n v="8485.15"/>
    <x v="1"/>
  </r>
  <r>
    <s v="AP-INV-5223"/>
    <s v="VEN-01"/>
    <d v="2023-08-03T00:00:00"/>
    <d v="2023-09-02T00:00:00"/>
    <n v="2033.85"/>
    <s v="Unpaid"/>
    <x v="5"/>
    <n v="30"/>
    <n v="2033.85"/>
    <x v="1"/>
  </r>
  <r>
    <s v="AP-INV-5149"/>
    <s v="VEN-02"/>
    <d v="2023-08-04T00:00:00"/>
    <d v="2023-09-03T00:00:00"/>
    <n v="10917.55"/>
    <s v="Paid"/>
    <x v="3"/>
    <n v="30"/>
    <n v="0"/>
    <x v="0"/>
  </r>
  <r>
    <s v="AP-INV-5181"/>
    <s v="VEN-05"/>
    <d v="2023-08-04T00:00:00"/>
    <d v="2023-09-03T00:00:00"/>
    <n v="12208.37"/>
    <s v="Paid"/>
    <x v="2"/>
    <n v="30"/>
    <n v="0"/>
    <x v="0"/>
  </r>
  <r>
    <s v="AP-INV-5371"/>
    <s v="VEN-02"/>
    <d v="2023-08-04T00:00:00"/>
    <d v="2023-09-03T00:00:00"/>
    <n v="14573.65"/>
    <s v="Unpaid"/>
    <x v="3"/>
    <n v="30"/>
    <n v="14573.65"/>
    <x v="1"/>
  </r>
  <r>
    <s v="AP-INV-5027"/>
    <s v="VEN-03"/>
    <d v="2023-08-08T00:00:00"/>
    <d v="2023-09-07T00:00:00"/>
    <n v="11811.63"/>
    <s v="Paid"/>
    <x v="4"/>
    <n v="30"/>
    <n v="0"/>
    <x v="0"/>
  </r>
  <r>
    <s v="AP-INV-5078"/>
    <s v="VEN-04"/>
    <d v="2023-08-30T00:00:00"/>
    <d v="2023-09-29T00:00:00"/>
    <n v="18649.12"/>
    <s v="Paid"/>
    <x v="1"/>
    <n v="30"/>
    <n v="0"/>
    <x v="0"/>
  </r>
  <r>
    <s v="AP-INV-5220"/>
    <s v="VEN-02"/>
    <d v="2023-08-31T00:00:00"/>
    <d v="2023-09-30T00:00:00"/>
    <n v="9568.48"/>
    <s v="Unpaid"/>
    <x v="3"/>
    <n v="30"/>
    <n v="9568.48"/>
    <x v="1"/>
  </r>
  <r>
    <s v="AP-INV-5140"/>
    <s v="VEN-01"/>
    <d v="2023-09-09T00:00:00"/>
    <d v="2023-10-09T00:00:00"/>
    <n v="1974.41"/>
    <s v="Paid"/>
    <x v="5"/>
    <n v="30"/>
    <n v="0"/>
    <x v="0"/>
  </r>
  <r>
    <s v="AP-INV-5314"/>
    <s v="VEN-06"/>
    <d v="2023-09-09T00:00:00"/>
    <d v="2023-10-09T00:00:00"/>
    <n v="3999.7"/>
    <s v="Paid"/>
    <x v="0"/>
    <n v="30"/>
    <n v="0"/>
    <x v="0"/>
  </r>
  <r>
    <s v="AP-INV-5201"/>
    <s v="VEN-01"/>
    <d v="2023-09-11T00:00:00"/>
    <d v="2023-10-11T00:00:00"/>
    <n v="1071.75"/>
    <s v="Paid"/>
    <x v="5"/>
    <n v="30"/>
    <n v="0"/>
    <x v="0"/>
  </r>
  <r>
    <s v="AP-INV-5101"/>
    <s v="VEN-06"/>
    <d v="2023-09-13T00:00:00"/>
    <d v="2023-10-13T00:00:00"/>
    <n v="19524.79"/>
    <s v="Paid"/>
    <x v="0"/>
    <n v="30"/>
    <n v="0"/>
    <x v="0"/>
  </r>
  <r>
    <s v="AP-INV-5232"/>
    <s v="VEN-03"/>
    <d v="2023-09-13T00:00:00"/>
    <d v="2023-10-13T00:00:00"/>
    <n v="8476.07"/>
    <s v="Paid"/>
    <x v="4"/>
    <n v="30"/>
    <n v="0"/>
    <x v="0"/>
  </r>
  <r>
    <s v="AP-INV-5052"/>
    <s v="VEN-05"/>
    <d v="2023-09-16T00:00:00"/>
    <d v="2023-10-16T00:00:00"/>
    <n v="11482.88"/>
    <s v="Paid"/>
    <x v="2"/>
    <n v="30"/>
    <n v="0"/>
    <x v="0"/>
  </r>
  <r>
    <s v="AP-INV-5136"/>
    <s v="VEN-04"/>
    <d v="2023-09-20T00:00:00"/>
    <d v="2023-10-20T00:00:00"/>
    <n v="8293.23"/>
    <s v="Paid"/>
    <x v="1"/>
    <n v="30"/>
    <n v="0"/>
    <x v="0"/>
  </r>
  <r>
    <s v="AP-INV-5413"/>
    <s v="VEN-05"/>
    <d v="2023-09-23T00:00:00"/>
    <d v="2023-10-23T00:00:00"/>
    <n v="9172.83"/>
    <s v="Paid"/>
    <x v="2"/>
    <n v="30"/>
    <n v="0"/>
    <x v="0"/>
  </r>
  <r>
    <s v="AP-INV-5028"/>
    <s v="VEN-02"/>
    <d v="2023-09-27T00:00:00"/>
    <d v="2023-10-27T00:00:00"/>
    <n v="19890.509999999998"/>
    <s v="Paid"/>
    <x v="3"/>
    <n v="30"/>
    <n v="0"/>
    <x v="0"/>
  </r>
  <r>
    <s v="AP-INV-5381"/>
    <s v="VEN-06"/>
    <d v="2023-09-29T00:00:00"/>
    <d v="2023-10-29T00:00:00"/>
    <n v="5123.4399999999996"/>
    <s v="Paid"/>
    <x v="0"/>
    <n v="30"/>
    <n v="0"/>
    <x v="0"/>
  </r>
  <r>
    <s v="AP-INV-5456"/>
    <s v="VEN-06"/>
    <d v="2023-09-29T00:00:00"/>
    <d v="2023-10-29T00:00:00"/>
    <n v="2608.0100000000002"/>
    <s v="Paid"/>
    <x v="0"/>
    <n v="30"/>
    <n v="0"/>
    <x v="0"/>
  </r>
  <r>
    <s v="AP-INV-5016"/>
    <s v="VEN-01"/>
    <d v="2023-10-01T00:00:00"/>
    <d v="2023-10-31T00:00:00"/>
    <n v="1566.19"/>
    <s v="Paid"/>
    <x v="5"/>
    <n v="30"/>
    <n v="0"/>
    <x v="0"/>
  </r>
  <r>
    <s v="AP-INV-5385"/>
    <s v="VEN-02"/>
    <d v="2023-10-01T00:00:00"/>
    <d v="2023-10-31T00:00:00"/>
    <n v="19938.39"/>
    <s v="Paid"/>
    <x v="3"/>
    <n v="30"/>
    <n v="0"/>
    <x v="0"/>
  </r>
  <r>
    <s v="AP-INV-5345"/>
    <s v="VEN-02"/>
    <d v="2023-10-02T00:00:00"/>
    <d v="2023-11-01T00:00:00"/>
    <n v="3190.38"/>
    <s v="Paid"/>
    <x v="3"/>
    <n v="30"/>
    <n v="0"/>
    <x v="0"/>
  </r>
  <r>
    <s v="AP-INV-5141"/>
    <s v="VEN-06"/>
    <d v="2023-10-05T00:00:00"/>
    <d v="2023-11-04T00:00:00"/>
    <n v="15638.18"/>
    <s v="Paid"/>
    <x v="0"/>
    <n v="30"/>
    <n v="0"/>
    <x v="0"/>
  </r>
  <r>
    <s v="AP-INV-5319"/>
    <s v="VEN-03"/>
    <d v="2023-10-06T00:00:00"/>
    <d v="2023-11-05T00:00:00"/>
    <n v="4100.7700000000004"/>
    <s v="Paid"/>
    <x v="4"/>
    <n v="30"/>
    <n v="0"/>
    <x v="0"/>
  </r>
  <r>
    <s v="AP-INV-5170"/>
    <s v="VEN-03"/>
    <d v="2023-10-08T00:00:00"/>
    <d v="2023-11-07T00:00:00"/>
    <n v="2866.02"/>
    <s v="Paid"/>
    <x v="4"/>
    <n v="30"/>
    <n v="0"/>
    <x v="0"/>
  </r>
  <r>
    <s v="AP-INV-5049"/>
    <s v="VEN-02"/>
    <d v="2023-10-11T00:00:00"/>
    <d v="2023-11-10T00:00:00"/>
    <n v="10728.64"/>
    <s v="Paid"/>
    <x v="3"/>
    <n v="30"/>
    <n v="0"/>
    <x v="0"/>
  </r>
  <r>
    <s v="AP-INV-5003"/>
    <s v="VEN-01"/>
    <d v="2023-10-14T00:00:00"/>
    <d v="2023-11-13T00:00:00"/>
    <n v="13478.55"/>
    <s v="Paid"/>
    <x v="5"/>
    <n v="30"/>
    <n v="0"/>
    <x v="0"/>
  </r>
  <r>
    <s v="AP-INV-5471"/>
    <s v="VEN-04"/>
    <d v="2023-10-15T00:00:00"/>
    <d v="2023-11-14T00:00:00"/>
    <n v="16142.71"/>
    <s v="Paid"/>
    <x v="1"/>
    <n v="30"/>
    <n v="0"/>
    <x v="0"/>
  </r>
  <r>
    <s v="AP-INV-5308"/>
    <s v="VEN-01"/>
    <d v="2023-10-16T00:00:00"/>
    <d v="2023-11-15T00:00:00"/>
    <n v="19101.41"/>
    <s v="Paid"/>
    <x v="5"/>
    <n v="30"/>
    <n v="0"/>
    <x v="0"/>
  </r>
  <r>
    <s v="AP-INV-5151"/>
    <s v="VEN-01"/>
    <d v="2023-10-21T00:00:00"/>
    <d v="2023-11-20T00:00:00"/>
    <n v="11805.38"/>
    <s v="Paid"/>
    <x v="5"/>
    <n v="30"/>
    <n v="0"/>
    <x v="0"/>
  </r>
  <r>
    <s v="AP-INV-5166"/>
    <s v="VEN-05"/>
    <d v="2023-10-22T00:00:00"/>
    <d v="2023-11-21T00:00:00"/>
    <n v="15368.38"/>
    <s v="Paid"/>
    <x v="2"/>
    <n v="30"/>
    <n v="0"/>
    <x v="0"/>
  </r>
  <r>
    <s v="AP-INV-5238"/>
    <s v="VEN-06"/>
    <d v="2023-10-23T00:00:00"/>
    <d v="2023-11-22T00:00:00"/>
    <n v="14493.45"/>
    <s v="Paid"/>
    <x v="0"/>
    <n v="30"/>
    <n v="0"/>
    <x v="0"/>
  </r>
  <r>
    <s v="AP-INV-5265"/>
    <s v="VEN-03"/>
    <d v="2023-10-27T00:00:00"/>
    <d v="2023-11-26T00:00:00"/>
    <n v="4522.32"/>
    <s v="Paid"/>
    <x v="4"/>
    <n v="30"/>
    <n v="0"/>
    <x v="0"/>
  </r>
  <r>
    <s v="AP-INV-5497"/>
    <s v="VEN-05"/>
    <d v="2023-10-27T00:00:00"/>
    <d v="2023-11-26T00:00:00"/>
    <n v="3351.43"/>
    <s v="Paid"/>
    <x v="2"/>
    <n v="30"/>
    <n v="0"/>
    <x v="0"/>
  </r>
  <r>
    <s v="AP-INV-5071"/>
    <s v="VEN-03"/>
    <d v="2023-10-28T00:00:00"/>
    <d v="2023-11-27T00:00:00"/>
    <n v="1941.47"/>
    <s v="Paid"/>
    <x v="4"/>
    <n v="30"/>
    <n v="0"/>
    <x v="0"/>
  </r>
  <r>
    <s v="AP-INV-5259"/>
    <s v="VEN-04"/>
    <d v="2023-11-03T00:00:00"/>
    <d v="2023-12-03T00:00:00"/>
    <n v="1327.74"/>
    <s v="Paid"/>
    <x v="1"/>
    <n v="30"/>
    <n v="0"/>
    <x v="0"/>
  </r>
  <r>
    <s v="AP-INV-5162"/>
    <s v="VEN-02"/>
    <d v="2023-11-06T00:00:00"/>
    <d v="2023-12-06T00:00:00"/>
    <n v="17497.599999999999"/>
    <s v="Paid"/>
    <x v="3"/>
    <n v="30"/>
    <n v="0"/>
    <x v="0"/>
  </r>
  <r>
    <s v="AP-INV-5402"/>
    <s v="VEN-06"/>
    <d v="2023-11-06T00:00:00"/>
    <d v="2023-12-06T00:00:00"/>
    <n v="9767.2099999999991"/>
    <s v="Paid"/>
    <x v="0"/>
    <n v="30"/>
    <n v="0"/>
    <x v="0"/>
  </r>
  <r>
    <s v="AP-INV-5446"/>
    <s v="VEN-03"/>
    <d v="2023-11-08T00:00:00"/>
    <d v="2023-12-08T00:00:00"/>
    <n v="1910.16"/>
    <s v="Paid"/>
    <x v="4"/>
    <n v="30"/>
    <n v="0"/>
    <x v="0"/>
  </r>
  <r>
    <s v="AP-INV-5211"/>
    <s v="VEN-05"/>
    <d v="2023-11-09T00:00:00"/>
    <d v="2023-12-09T00:00:00"/>
    <n v="1872.82"/>
    <s v="Paid"/>
    <x v="2"/>
    <n v="30"/>
    <n v="0"/>
    <x v="0"/>
  </r>
  <r>
    <s v="AP-INV-5480"/>
    <s v="VEN-03"/>
    <d v="2023-11-21T00:00:00"/>
    <d v="2023-12-21T00:00:00"/>
    <n v="12176.66"/>
    <s v="Paid"/>
    <x v="4"/>
    <n v="30"/>
    <n v="0"/>
    <x v="0"/>
  </r>
  <r>
    <s v="AP-INV-5254"/>
    <s v="VEN-03"/>
    <d v="2023-11-22T00:00:00"/>
    <d v="2023-12-22T00:00:00"/>
    <n v="3631.16"/>
    <s v="Paid"/>
    <x v="4"/>
    <n v="30"/>
    <n v="0"/>
    <x v="0"/>
  </r>
  <r>
    <s v="AP-INV-5395"/>
    <s v="VEN-01"/>
    <d v="2023-11-28T00:00:00"/>
    <d v="2023-12-28T00:00:00"/>
    <n v="10596.16"/>
    <s v="Paid"/>
    <x v="5"/>
    <n v="30"/>
    <n v="0"/>
    <x v="0"/>
  </r>
  <r>
    <s v="AP-INV-5143"/>
    <s v="VEN-04"/>
    <d v="2023-12-03T00:00:00"/>
    <d v="2024-01-02T00:00:00"/>
    <n v="6404.73"/>
    <s v="Paid"/>
    <x v="1"/>
    <n v="30"/>
    <n v="0"/>
    <x v="0"/>
  </r>
  <r>
    <s v="AP-INV-5305"/>
    <s v="VEN-04"/>
    <d v="2023-12-03T00:00:00"/>
    <d v="2024-01-02T00:00:00"/>
    <n v="4410.1099999999997"/>
    <s v="Paid"/>
    <x v="1"/>
    <n v="30"/>
    <n v="0"/>
    <x v="0"/>
  </r>
  <r>
    <s v="AP-INV-5158"/>
    <s v="VEN-03"/>
    <d v="2023-12-05T00:00:00"/>
    <d v="2024-01-04T00:00:00"/>
    <n v="8779.08"/>
    <s v="Paid"/>
    <x v="4"/>
    <n v="30"/>
    <n v="0"/>
    <x v="0"/>
  </r>
  <r>
    <s v="AP-INV-5048"/>
    <s v="VEN-01"/>
    <d v="2023-12-06T00:00:00"/>
    <d v="2024-01-05T00:00:00"/>
    <n v="14249.48"/>
    <s v="Paid"/>
    <x v="5"/>
    <n v="30"/>
    <n v="0"/>
    <x v="0"/>
  </r>
  <r>
    <s v="AP-INV-5231"/>
    <s v="VEN-06"/>
    <d v="2023-12-07T00:00:00"/>
    <d v="2024-01-06T00:00:00"/>
    <n v="19032.080000000002"/>
    <s v="Paid"/>
    <x v="0"/>
    <n v="30"/>
    <n v="0"/>
    <x v="0"/>
  </r>
  <r>
    <s v="AP-INV-5281"/>
    <s v="VEN-05"/>
    <d v="2023-12-10T00:00:00"/>
    <d v="2024-01-09T00:00:00"/>
    <n v="8836.8700000000008"/>
    <s v="Paid"/>
    <x v="2"/>
    <n v="30"/>
    <n v="0"/>
    <x v="0"/>
  </r>
  <r>
    <s v="AP-INV-5358"/>
    <s v="VEN-02"/>
    <d v="2023-12-11T00:00:00"/>
    <d v="2024-01-10T00:00:00"/>
    <n v="10388.76"/>
    <s v="Paid"/>
    <x v="3"/>
    <n v="30"/>
    <n v="0"/>
    <x v="0"/>
  </r>
  <r>
    <s v="AP-INV-5268"/>
    <s v="VEN-04"/>
    <d v="2023-12-19T00:00:00"/>
    <d v="2024-01-18T00:00:00"/>
    <n v="17530.439999999999"/>
    <s v="Paid"/>
    <x v="1"/>
    <n v="30"/>
    <n v="0"/>
    <x v="0"/>
  </r>
  <r>
    <s v="AP-INV-5470"/>
    <s v="VEN-04"/>
    <d v="2023-12-19T00:00:00"/>
    <d v="2024-01-18T00:00:00"/>
    <n v="14299.06"/>
    <s v="Paid"/>
    <x v="1"/>
    <n v="30"/>
    <n v="0"/>
    <x v="0"/>
  </r>
  <r>
    <s v="AP-INV-5400"/>
    <s v="VEN-04"/>
    <d v="2023-12-20T00:00:00"/>
    <d v="2024-01-19T00:00:00"/>
    <n v="7126.71"/>
    <s v="Paid"/>
    <x v="1"/>
    <n v="30"/>
    <n v="0"/>
    <x v="0"/>
  </r>
  <r>
    <s v="AP-INV-5115"/>
    <s v="VEN-05"/>
    <d v="2023-12-23T00:00:00"/>
    <d v="2024-01-22T00:00:00"/>
    <n v="6154.54"/>
    <s v="Paid"/>
    <x v="2"/>
    <n v="30"/>
    <n v="0"/>
    <x v="0"/>
  </r>
  <r>
    <s v="AP-INV-5120"/>
    <s v="VEN-04"/>
    <d v="2024-01-12T00:00:00"/>
    <d v="2024-02-11T00:00:00"/>
    <n v="7621.71"/>
    <s v="Paid"/>
    <x v="1"/>
    <n v="30"/>
    <n v="0"/>
    <x v="0"/>
  </r>
  <r>
    <s v="AP-INV-5222"/>
    <s v="VEN-04"/>
    <d v="2024-01-13T00:00:00"/>
    <d v="2024-02-12T00:00:00"/>
    <n v="16484.599999999999"/>
    <s v="Unpaid"/>
    <x v="1"/>
    <n v="30"/>
    <n v="16484.599999999999"/>
    <x v="1"/>
  </r>
  <r>
    <s v="AP-INV-5455"/>
    <s v="VEN-02"/>
    <d v="2024-01-13T00:00:00"/>
    <d v="2024-02-12T00:00:00"/>
    <n v="12682.88"/>
    <s v="Paid"/>
    <x v="3"/>
    <n v="30"/>
    <n v="0"/>
    <x v="0"/>
  </r>
  <r>
    <s v="AP-INV-5326"/>
    <s v="VEN-04"/>
    <d v="2024-01-15T00:00:00"/>
    <d v="2024-02-14T00:00:00"/>
    <n v="13738.91"/>
    <s v="Paid"/>
    <x v="1"/>
    <n v="30"/>
    <n v="0"/>
    <x v="0"/>
  </r>
  <r>
    <s v="AP-INV-5273"/>
    <s v="VEN-04"/>
    <d v="2024-01-17T00:00:00"/>
    <d v="2024-02-16T00:00:00"/>
    <n v="7861.04"/>
    <s v="Paid"/>
    <x v="1"/>
    <n v="30"/>
    <n v="0"/>
    <x v="0"/>
  </r>
  <r>
    <s v="AP-INV-5491"/>
    <s v="VEN-06"/>
    <d v="2024-01-17T00:00:00"/>
    <d v="2024-02-16T00:00:00"/>
    <n v="18118.3"/>
    <s v="Paid"/>
    <x v="0"/>
    <n v="30"/>
    <n v="0"/>
    <x v="0"/>
  </r>
  <r>
    <s v="AP-INV-5423"/>
    <s v="VEN-05"/>
    <d v="2024-01-18T00:00:00"/>
    <d v="2024-02-17T00:00:00"/>
    <n v="17546.169999999998"/>
    <s v="Unpaid"/>
    <x v="2"/>
    <n v="30"/>
    <n v="17546.169999999998"/>
    <x v="1"/>
  </r>
  <r>
    <s v="AP-INV-5333"/>
    <s v="VEN-01"/>
    <d v="2024-01-20T00:00:00"/>
    <d v="2024-02-19T00:00:00"/>
    <n v="8901.84"/>
    <s v="Paid"/>
    <x v="5"/>
    <n v="30"/>
    <n v="0"/>
    <x v="0"/>
  </r>
  <r>
    <s v="AP-INV-5383"/>
    <s v="VEN-01"/>
    <d v="2024-01-21T00:00:00"/>
    <d v="2024-02-20T00:00:00"/>
    <n v="18736.13"/>
    <s v="Paid"/>
    <x v="5"/>
    <n v="30"/>
    <n v="0"/>
    <x v="0"/>
  </r>
  <r>
    <s v="AP-INV-5215"/>
    <s v="VEN-02"/>
    <d v="2024-01-27T00:00:00"/>
    <d v="2024-02-26T00:00:00"/>
    <n v="15031.37"/>
    <s v="Paid"/>
    <x v="3"/>
    <n v="30"/>
    <n v="0"/>
    <x v="0"/>
  </r>
  <r>
    <s v="AP-INV-5293"/>
    <s v="VEN-01"/>
    <d v="2024-01-30T00:00:00"/>
    <d v="2024-02-29T00:00:00"/>
    <n v="8745.84"/>
    <s v="Paid"/>
    <x v="5"/>
    <n v="30"/>
    <n v="0"/>
    <x v="0"/>
  </r>
  <r>
    <s v="AP-INV-5474"/>
    <s v="VEN-04"/>
    <d v="2024-02-02T00:00:00"/>
    <d v="2024-03-03T00:00:00"/>
    <n v="17812.68"/>
    <s v="Paid"/>
    <x v="1"/>
    <n v="30"/>
    <n v="0"/>
    <x v="0"/>
  </r>
  <r>
    <s v="AP-INV-5032"/>
    <s v="VEN-02"/>
    <d v="2024-02-09T00:00:00"/>
    <d v="2024-03-10T00:00:00"/>
    <n v="11743.68"/>
    <s v="Paid"/>
    <x v="3"/>
    <n v="30"/>
    <n v="0"/>
    <x v="0"/>
  </r>
  <r>
    <s v="AP-INV-5336"/>
    <s v="VEN-02"/>
    <d v="2024-02-13T00:00:00"/>
    <d v="2024-03-14T00:00:00"/>
    <n v="13352.71"/>
    <s v="Paid"/>
    <x v="3"/>
    <n v="30"/>
    <n v="0"/>
    <x v="0"/>
  </r>
  <r>
    <s v="AP-INV-5138"/>
    <s v="VEN-05"/>
    <d v="2024-02-14T00:00:00"/>
    <d v="2024-03-15T00:00:00"/>
    <n v="4887.0600000000004"/>
    <s v="Paid"/>
    <x v="2"/>
    <n v="30"/>
    <n v="0"/>
    <x v="0"/>
  </r>
  <r>
    <s v="AP-INV-5209"/>
    <s v="VEN-06"/>
    <d v="2024-02-18T00:00:00"/>
    <d v="2024-03-19T00:00:00"/>
    <n v="1911.64"/>
    <s v="Paid"/>
    <x v="0"/>
    <n v="30"/>
    <n v="0"/>
    <x v="0"/>
  </r>
  <r>
    <s v="AP-INV-5266"/>
    <s v="VEN-03"/>
    <d v="2024-02-18T00:00:00"/>
    <d v="2024-03-19T00:00:00"/>
    <n v="14160.12"/>
    <s v="Paid"/>
    <x v="4"/>
    <n v="30"/>
    <n v="0"/>
    <x v="0"/>
  </r>
  <r>
    <s v="AP-INV-5195"/>
    <s v="VEN-03"/>
    <d v="2024-02-19T00:00:00"/>
    <d v="2024-03-20T00:00:00"/>
    <n v="16778"/>
    <s v="Paid"/>
    <x v="4"/>
    <n v="30"/>
    <n v="0"/>
    <x v="0"/>
  </r>
  <r>
    <s v="AP-INV-5475"/>
    <s v="VEN-04"/>
    <d v="2024-02-20T00:00:00"/>
    <d v="2024-03-21T00:00:00"/>
    <n v="18726.98"/>
    <s v="Paid"/>
    <x v="1"/>
    <n v="30"/>
    <n v="0"/>
    <x v="0"/>
  </r>
  <r>
    <s v="AP-INV-5389"/>
    <s v="VEN-02"/>
    <d v="2024-02-26T00:00:00"/>
    <d v="2024-03-27T00:00:00"/>
    <n v="10569.26"/>
    <s v="Paid"/>
    <x v="3"/>
    <n v="30"/>
    <n v="0"/>
    <x v="0"/>
  </r>
  <r>
    <s v="AP-INV-5130"/>
    <s v="VEN-04"/>
    <d v="2024-02-27T00:00:00"/>
    <d v="2024-03-28T00:00:00"/>
    <n v="11079.64"/>
    <s v="Paid"/>
    <x v="1"/>
    <n v="30"/>
    <n v="0"/>
    <x v="0"/>
  </r>
  <r>
    <s v="AP-INV-5087"/>
    <s v="VEN-04"/>
    <d v="2024-03-05T00:00:00"/>
    <d v="2024-04-04T00:00:00"/>
    <n v="19531.830000000002"/>
    <s v="Paid"/>
    <x v="1"/>
    <n v="30"/>
    <n v="0"/>
    <x v="0"/>
  </r>
  <r>
    <s v="AP-INV-5331"/>
    <s v="VEN-06"/>
    <d v="2024-03-05T00:00:00"/>
    <d v="2024-04-04T00:00:00"/>
    <n v="18911.63"/>
    <s v="Paid"/>
    <x v="0"/>
    <n v="30"/>
    <n v="0"/>
    <x v="0"/>
  </r>
  <r>
    <s v="AP-INV-5275"/>
    <s v="VEN-02"/>
    <d v="2024-03-07T00:00:00"/>
    <d v="2024-04-06T00:00:00"/>
    <n v="2711.96"/>
    <s v="Paid"/>
    <x v="3"/>
    <n v="30"/>
    <n v="0"/>
    <x v="0"/>
  </r>
  <r>
    <s v="AP-INV-5377"/>
    <s v="VEN-02"/>
    <d v="2024-03-10T00:00:00"/>
    <d v="2024-04-09T00:00:00"/>
    <n v="18010.759999999998"/>
    <s v="Unpaid"/>
    <x v="3"/>
    <n v="30"/>
    <n v="18010.759999999998"/>
    <x v="1"/>
  </r>
  <r>
    <s v="AP-INV-5309"/>
    <s v="VEN-02"/>
    <d v="2024-03-15T00:00:00"/>
    <d v="2024-04-14T00:00:00"/>
    <n v="7871.58"/>
    <s v="Unpaid"/>
    <x v="3"/>
    <n v="30"/>
    <n v="7871.58"/>
    <x v="1"/>
  </r>
  <r>
    <s v="AP-INV-5217"/>
    <s v="VEN-01"/>
    <d v="2024-03-22T00:00:00"/>
    <d v="2024-04-21T00:00:00"/>
    <n v="16997.650000000001"/>
    <s v="Paid"/>
    <x v="5"/>
    <n v="30"/>
    <n v="0"/>
    <x v="0"/>
  </r>
  <r>
    <s v="AP-INV-5002"/>
    <s v="VEN-03"/>
    <d v="2024-03-25T00:00:00"/>
    <d v="2024-04-24T00:00:00"/>
    <n v="2076.71"/>
    <s v="Unpaid"/>
    <x v="4"/>
    <n v="30"/>
    <n v="2076.71"/>
    <x v="1"/>
  </r>
  <r>
    <s v="AP-INV-5317"/>
    <s v="VEN-01"/>
    <d v="2024-03-26T00:00:00"/>
    <d v="2024-04-25T00:00:00"/>
    <n v="15909.09"/>
    <s v="Paid"/>
    <x v="5"/>
    <n v="30"/>
    <n v="0"/>
    <x v="0"/>
  </r>
  <r>
    <s v="AP-INV-5025"/>
    <s v="VEN-03"/>
    <d v="2024-03-29T00:00:00"/>
    <d v="2024-04-28T00:00:00"/>
    <n v="19321.37"/>
    <s v="Paid"/>
    <x v="4"/>
    <n v="30"/>
    <n v="0"/>
    <x v="0"/>
  </r>
  <r>
    <s v="AP-INV-5378"/>
    <s v="VEN-03"/>
    <d v="2024-04-02T00:00:00"/>
    <d v="2024-05-02T00:00:00"/>
    <n v="4811.3100000000004"/>
    <s v="Paid"/>
    <x v="4"/>
    <n v="30"/>
    <n v="0"/>
    <x v="0"/>
  </r>
  <r>
    <s v="AP-INV-5429"/>
    <s v="VEN-05"/>
    <d v="2024-04-07T00:00:00"/>
    <d v="2024-05-07T00:00:00"/>
    <n v="13416.37"/>
    <s v="Unpaid"/>
    <x v="2"/>
    <n v="30"/>
    <n v="13416.37"/>
    <x v="1"/>
  </r>
  <r>
    <s v="AP-INV-5007"/>
    <s v="VEN-05"/>
    <d v="2024-04-11T00:00:00"/>
    <d v="2024-05-11T00:00:00"/>
    <n v="9641.1200000000008"/>
    <s v="Paid"/>
    <x v="2"/>
    <n v="30"/>
    <n v="0"/>
    <x v="0"/>
  </r>
  <r>
    <s v="AP-INV-5486"/>
    <s v="VEN-03"/>
    <d v="2024-04-14T00:00:00"/>
    <d v="2024-05-14T00:00:00"/>
    <n v="16256.74"/>
    <s v="Paid"/>
    <x v="4"/>
    <n v="30"/>
    <n v="0"/>
    <x v="0"/>
  </r>
  <r>
    <s v="AP-INV-5478"/>
    <s v="VEN-02"/>
    <d v="2024-04-15T00:00:00"/>
    <d v="2024-05-15T00:00:00"/>
    <n v="18439"/>
    <s v="Paid"/>
    <x v="3"/>
    <n v="30"/>
    <n v="0"/>
    <x v="0"/>
  </r>
  <r>
    <s v="AP-INV-5059"/>
    <s v="VEN-06"/>
    <d v="2024-04-27T00:00:00"/>
    <d v="2024-05-27T00:00:00"/>
    <n v="5516.67"/>
    <s v="Paid"/>
    <x v="0"/>
    <n v="30"/>
    <n v="0"/>
    <x v="0"/>
  </r>
  <r>
    <s v="AP-INV-5074"/>
    <s v="VEN-05"/>
    <d v="2024-04-29T00:00:00"/>
    <d v="2024-05-29T00:00:00"/>
    <n v="16230.9"/>
    <s v="Unpaid"/>
    <x v="2"/>
    <n v="30"/>
    <n v="16230.9"/>
    <x v="1"/>
  </r>
  <r>
    <s v="AP-INV-5299"/>
    <s v="VEN-03"/>
    <d v="2024-04-29T00:00:00"/>
    <d v="2024-05-29T00:00:00"/>
    <n v="9319.1200000000008"/>
    <s v="Paid"/>
    <x v="4"/>
    <n v="30"/>
    <n v="0"/>
    <x v="0"/>
  </r>
  <r>
    <s v="AP-INV-5388"/>
    <s v="VEN-01"/>
    <d v="2024-05-01T00:00:00"/>
    <d v="2024-05-31T00:00:00"/>
    <n v="18609.900000000001"/>
    <s v="Paid"/>
    <x v="5"/>
    <n v="30"/>
    <n v="0"/>
    <x v="0"/>
  </r>
  <r>
    <s v="AP-INV-5283"/>
    <s v="VEN-03"/>
    <d v="2024-05-03T00:00:00"/>
    <d v="2024-06-02T00:00:00"/>
    <n v="13970.51"/>
    <s v="Paid"/>
    <x v="4"/>
    <n v="30"/>
    <n v="0"/>
    <x v="0"/>
  </r>
  <r>
    <s v="AP-INV-5401"/>
    <s v="VEN-03"/>
    <d v="2024-05-05T00:00:00"/>
    <d v="2024-06-04T00:00:00"/>
    <n v="9816.26"/>
    <s v="Unpaid"/>
    <x v="4"/>
    <n v="30"/>
    <n v="9816.26"/>
    <x v="1"/>
  </r>
  <r>
    <s v="AP-INV-5295"/>
    <s v="VEN-05"/>
    <d v="2024-05-08T00:00:00"/>
    <d v="2024-06-07T00:00:00"/>
    <n v="9787.5300000000007"/>
    <s v="Paid"/>
    <x v="2"/>
    <n v="30"/>
    <n v="0"/>
    <x v="0"/>
  </r>
  <r>
    <s v="AP-INV-5194"/>
    <s v="VEN-05"/>
    <d v="2024-05-10T00:00:00"/>
    <d v="2024-06-09T00:00:00"/>
    <n v="10357.9"/>
    <s v="Paid"/>
    <x v="2"/>
    <n v="30"/>
    <n v="0"/>
    <x v="0"/>
  </r>
  <r>
    <s v="AP-INV-5155"/>
    <s v="VEN-04"/>
    <d v="2024-05-11T00:00:00"/>
    <d v="2024-06-10T00:00:00"/>
    <n v="6989.7"/>
    <s v="Paid"/>
    <x v="1"/>
    <n v="30"/>
    <n v="0"/>
    <x v="0"/>
  </r>
  <r>
    <s v="AP-INV-5444"/>
    <s v="VEN-02"/>
    <d v="2024-05-17T00:00:00"/>
    <d v="2024-06-16T00:00:00"/>
    <n v="5972.28"/>
    <s v="Paid"/>
    <x v="3"/>
    <n v="30"/>
    <n v="0"/>
    <x v="0"/>
  </r>
  <r>
    <s v="AP-INV-5017"/>
    <s v="VEN-01"/>
    <d v="2024-05-27T00:00:00"/>
    <d v="2024-06-26T00:00:00"/>
    <n v="1829.34"/>
    <s v="Paid"/>
    <x v="5"/>
    <n v="30"/>
    <n v="0"/>
    <x v="0"/>
  </r>
  <r>
    <s v="AP-INV-5225"/>
    <s v="VEN-03"/>
    <d v="2024-05-27T00:00:00"/>
    <d v="2024-06-26T00:00:00"/>
    <n v="18284.060000000001"/>
    <s v="Paid"/>
    <x v="4"/>
    <n v="30"/>
    <n v="0"/>
    <x v="0"/>
  </r>
  <r>
    <s v="AP-INV-5416"/>
    <s v="VEN-04"/>
    <d v="2024-05-27T00:00:00"/>
    <d v="2024-06-26T00:00:00"/>
    <n v="19898.34"/>
    <s v="Paid"/>
    <x v="1"/>
    <n v="30"/>
    <n v="0"/>
    <x v="0"/>
  </r>
  <r>
    <s v="AP-INV-5163"/>
    <s v="VEN-04"/>
    <d v="2024-05-29T00:00:00"/>
    <d v="2024-06-28T00:00:00"/>
    <n v="5593.5"/>
    <s v="Paid"/>
    <x v="1"/>
    <n v="30"/>
    <n v="0"/>
    <x v="0"/>
  </r>
  <r>
    <s v="AP-INV-5176"/>
    <s v="VEN-06"/>
    <d v="2024-05-30T00:00:00"/>
    <d v="2024-06-29T00:00:00"/>
    <n v="13669.91"/>
    <s v="Unpaid"/>
    <x v="0"/>
    <n v="30"/>
    <n v="13669.91"/>
    <x v="1"/>
  </r>
  <r>
    <s v="AP-INV-5128"/>
    <s v="VEN-01"/>
    <d v="2024-05-31T00:00:00"/>
    <d v="2024-06-30T00:00:00"/>
    <n v="16698.43"/>
    <s v="Paid"/>
    <x v="5"/>
    <n v="30"/>
    <n v="0"/>
    <x v="0"/>
  </r>
  <r>
    <s v="AP-INV-5160"/>
    <s v="VEN-06"/>
    <d v="2024-06-02T00:00:00"/>
    <d v="2024-07-02T00:00:00"/>
    <n v="18598.37"/>
    <s v="Paid"/>
    <x v="0"/>
    <n v="30"/>
    <n v="0"/>
    <x v="0"/>
  </r>
  <r>
    <s v="AP-INV-5069"/>
    <s v="VEN-06"/>
    <d v="2024-06-03T00:00:00"/>
    <d v="2024-07-03T00:00:00"/>
    <n v="12465.05"/>
    <s v="Paid"/>
    <x v="0"/>
    <n v="30"/>
    <n v="0"/>
    <x v="0"/>
  </r>
  <r>
    <s v="AP-INV-5412"/>
    <s v="VEN-02"/>
    <d v="2024-06-06T00:00:00"/>
    <d v="2024-07-06T00:00:00"/>
    <n v="5762.77"/>
    <s v="Paid"/>
    <x v="3"/>
    <n v="30"/>
    <n v="0"/>
    <x v="0"/>
  </r>
  <r>
    <s v="AP-INV-5369"/>
    <s v="VEN-03"/>
    <d v="2024-06-08T00:00:00"/>
    <d v="2024-07-08T00:00:00"/>
    <n v="13011.75"/>
    <s v="Unpaid"/>
    <x v="4"/>
    <n v="30"/>
    <n v="13011.75"/>
    <x v="1"/>
  </r>
  <r>
    <s v="AP-INV-5038"/>
    <s v="VEN-05"/>
    <d v="2024-06-09T00:00:00"/>
    <d v="2024-07-09T00:00:00"/>
    <n v="9565.9"/>
    <s v="Paid"/>
    <x v="2"/>
    <n v="30"/>
    <n v="0"/>
    <x v="0"/>
  </r>
  <r>
    <s v="AP-INV-5464"/>
    <s v="VEN-06"/>
    <d v="2024-06-10T00:00:00"/>
    <d v="2024-07-10T00:00:00"/>
    <n v="15725.98"/>
    <s v="Paid"/>
    <x v="0"/>
    <n v="30"/>
    <n v="0"/>
    <x v="0"/>
  </r>
  <r>
    <s v="AP-INV-5244"/>
    <s v="VEN-02"/>
    <d v="2024-06-12T00:00:00"/>
    <d v="2024-07-12T00:00:00"/>
    <n v="5997.45"/>
    <s v="Paid"/>
    <x v="3"/>
    <n v="30"/>
    <n v="0"/>
    <x v="0"/>
  </r>
  <r>
    <s v="AP-INV-5316"/>
    <s v="VEN-04"/>
    <d v="2024-06-12T00:00:00"/>
    <d v="2024-07-12T00:00:00"/>
    <n v="11781.53"/>
    <s v="Paid"/>
    <x v="1"/>
    <n v="30"/>
    <n v="0"/>
    <x v="0"/>
  </r>
  <r>
    <s v="AP-INV-5419"/>
    <s v="VEN-02"/>
    <d v="2024-06-12T00:00:00"/>
    <d v="2024-07-12T00:00:00"/>
    <n v="7997.98"/>
    <s v="Paid"/>
    <x v="3"/>
    <n v="30"/>
    <n v="0"/>
    <x v="0"/>
  </r>
  <r>
    <s v="AP-INV-5063"/>
    <s v="VEN-02"/>
    <d v="2024-06-15T00:00:00"/>
    <d v="2024-07-15T00:00:00"/>
    <n v="15881.73"/>
    <s v="Paid"/>
    <x v="3"/>
    <n v="30"/>
    <n v="0"/>
    <x v="0"/>
  </r>
  <r>
    <s v="AP-INV-5091"/>
    <s v="VEN-06"/>
    <d v="2024-06-15T00:00:00"/>
    <d v="2024-07-15T00:00:00"/>
    <n v="6125.56"/>
    <s v="Paid"/>
    <x v="0"/>
    <n v="30"/>
    <n v="0"/>
    <x v="0"/>
  </r>
  <r>
    <s v="AP-INV-5001"/>
    <s v="VEN-06"/>
    <d v="2024-06-16T00:00:00"/>
    <d v="2024-07-16T00:00:00"/>
    <n v="9671.7999999999993"/>
    <s v="Paid"/>
    <x v="0"/>
    <n v="30"/>
    <n v="0"/>
    <x v="0"/>
  </r>
  <r>
    <s v="AP-INV-5081"/>
    <s v="VEN-06"/>
    <d v="2024-06-19T00:00:00"/>
    <d v="2024-07-19T00:00:00"/>
    <n v="6596.32"/>
    <s v="Paid"/>
    <x v="0"/>
    <n v="30"/>
    <n v="0"/>
    <x v="0"/>
  </r>
  <r>
    <s v="AP-INV-5302"/>
    <s v="VEN-01"/>
    <d v="2024-06-19T00:00:00"/>
    <d v="2024-07-19T00:00:00"/>
    <n v="18359.57"/>
    <s v="Paid"/>
    <x v="5"/>
    <n v="30"/>
    <n v="0"/>
    <x v="0"/>
  </r>
  <r>
    <s v="AP-INV-5417"/>
    <s v="VEN-01"/>
    <d v="2024-06-20T00:00:00"/>
    <d v="2024-07-20T00:00:00"/>
    <n v="9295.27"/>
    <s v="Paid"/>
    <x v="5"/>
    <n v="30"/>
    <n v="0"/>
    <x v="0"/>
  </r>
  <r>
    <s v="AP-INV-5352"/>
    <s v="VEN-01"/>
    <d v="2024-06-22T00:00:00"/>
    <d v="2024-07-22T00:00:00"/>
    <n v="19249.41"/>
    <s v="Paid"/>
    <x v="5"/>
    <n v="30"/>
    <n v="0"/>
    <x v="0"/>
  </r>
  <r>
    <s v="AP-INV-5328"/>
    <s v="VEN-03"/>
    <d v="2024-06-23T00:00:00"/>
    <d v="2024-07-23T00:00:00"/>
    <n v="15122.55"/>
    <s v="Paid"/>
    <x v="4"/>
    <n v="30"/>
    <n v="0"/>
    <x v="0"/>
  </r>
  <r>
    <s v="AP-INV-5257"/>
    <s v="VEN-03"/>
    <d v="2024-06-25T00:00:00"/>
    <d v="2024-07-25T00:00:00"/>
    <n v="17045.73"/>
    <s v="Paid"/>
    <x v="4"/>
    <n v="30"/>
    <n v="0"/>
    <x v="0"/>
  </r>
  <r>
    <s v="AP-INV-5500"/>
    <s v="VEN-01"/>
    <d v="2024-06-29T00:00:00"/>
    <d v="2024-07-29T00:00:00"/>
    <n v="2861.37"/>
    <s v="Paid"/>
    <x v="5"/>
    <n v="30"/>
    <n v="0"/>
    <x v="0"/>
  </r>
  <r>
    <s v="AP-INV-5255"/>
    <s v="VEN-06"/>
    <d v="2024-07-01T00:00:00"/>
    <d v="2024-07-31T00:00:00"/>
    <n v="7231.64"/>
    <s v="Unpaid"/>
    <x v="0"/>
    <n v="30"/>
    <n v="7231.64"/>
    <x v="1"/>
  </r>
  <r>
    <s v="AP-INV-5157"/>
    <s v="VEN-03"/>
    <d v="2024-07-02T00:00:00"/>
    <d v="2024-08-01T00:00:00"/>
    <n v="4188.87"/>
    <s v="Paid"/>
    <x v="4"/>
    <n v="30"/>
    <n v="0"/>
    <x v="0"/>
  </r>
  <r>
    <s v="AP-INV-5090"/>
    <s v="VEN-04"/>
    <d v="2024-07-04T00:00:00"/>
    <d v="2024-08-03T00:00:00"/>
    <n v="12432.35"/>
    <s v="Paid"/>
    <x v="1"/>
    <n v="30"/>
    <n v="0"/>
    <x v="0"/>
  </r>
  <r>
    <s v="AP-INV-5463"/>
    <s v="VEN-04"/>
    <d v="2024-07-05T00:00:00"/>
    <d v="2024-08-04T00:00:00"/>
    <n v="884.39"/>
    <s v="Paid"/>
    <x v="1"/>
    <n v="30"/>
    <n v="0"/>
    <x v="0"/>
  </r>
  <r>
    <s v="AP-INV-5034"/>
    <s v="VEN-04"/>
    <d v="2024-07-06T00:00:00"/>
    <d v="2024-08-05T00:00:00"/>
    <n v="10226.98"/>
    <s v="Paid"/>
    <x v="1"/>
    <n v="30"/>
    <n v="0"/>
    <x v="0"/>
  </r>
  <r>
    <s v="AP-INV-5208"/>
    <s v="VEN-05"/>
    <d v="2024-07-07T00:00:00"/>
    <d v="2024-08-06T00:00:00"/>
    <n v="7145.84"/>
    <s v="Paid"/>
    <x v="2"/>
    <n v="30"/>
    <n v="0"/>
    <x v="0"/>
  </r>
  <r>
    <s v="AP-INV-5118"/>
    <s v="VEN-01"/>
    <d v="2024-07-12T00:00:00"/>
    <d v="2024-08-11T00:00:00"/>
    <n v="6265.89"/>
    <s v="Paid"/>
    <x v="5"/>
    <n v="30"/>
    <n v="0"/>
    <x v="0"/>
  </r>
  <r>
    <s v="AP-INV-5374"/>
    <s v="VEN-04"/>
    <d v="2024-07-16T00:00:00"/>
    <d v="2024-08-15T00:00:00"/>
    <n v="4835.91"/>
    <s v="Paid"/>
    <x v="1"/>
    <n v="30"/>
    <n v="0"/>
    <x v="0"/>
  </r>
  <r>
    <s v="AP-INV-5322"/>
    <s v="VEN-06"/>
    <d v="2024-07-18T00:00:00"/>
    <d v="2024-08-17T00:00:00"/>
    <n v="17258.169999999998"/>
    <s v="Paid"/>
    <x v="0"/>
    <n v="30"/>
    <n v="0"/>
    <x v="0"/>
  </r>
  <r>
    <s v="AP-INV-5473"/>
    <s v="VEN-01"/>
    <d v="2024-07-21T00:00:00"/>
    <d v="2024-08-20T00:00:00"/>
    <n v="17591.189999999999"/>
    <s v="Paid"/>
    <x v="5"/>
    <n v="30"/>
    <n v="0"/>
    <x v="0"/>
  </r>
  <r>
    <s v="AP-INV-5449"/>
    <s v="VEN-04"/>
    <d v="2024-07-25T00:00:00"/>
    <d v="2024-08-24T00:00:00"/>
    <n v="810.6"/>
    <s v="Paid"/>
    <x v="1"/>
    <n v="30"/>
    <n v="0"/>
    <x v="0"/>
  </r>
  <r>
    <s v="AP-INV-5321"/>
    <s v="VEN-03"/>
    <d v="2024-08-02T00:00:00"/>
    <d v="2024-09-01T00:00:00"/>
    <n v="3523.97"/>
    <s v="Paid"/>
    <x v="4"/>
    <n v="30"/>
    <n v="0"/>
    <x v="0"/>
  </r>
  <r>
    <s v="AP-INV-5485"/>
    <s v="VEN-05"/>
    <d v="2024-08-04T00:00:00"/>
    <d v="2024-09-03T00:00:00"/>
    <n v="717.7"/>
    <s v="Paid"/>
    <x v="2"/>
    <n v="30"/>
    <n v="0"/>
    <x v="0"/>
  </r>
  <r>
    <s v="AP-INV-5116"/>
    <s v="VEN-01"/>
    <d v="2024-08-08T00:00:00"/>
    <d v="2024-09-07T00:00:00"/>
    <n v="10333.629999999999"/>
    <s v="Paid"/>
    <x v="5"/>
    <n v="30"/>
    <n v="0"/>
    <x v="0"/>
  </r>
  <r>
    <s v="AP-INV-5433"/>
    <s v="VEN-01"/>
    <d v="2024-08-11T00:00:00"/>
    <d v="2024-09-10T00:00:00"/>
    <n v="15023.41"/>
    <s v="Unpaid"/>
    <x v="5"/>
    <n v="30"/>
    <n v="15023.41"/>
    <x v="1"/>
  </r>
  <r>
    <s v="AP-INV-5325"/>
    <s v="VEN-02"/>
    <d v="2024-08-12T00:00:00"/>
    <d v="2024-09-11T00:00:00"/>
    <n v="19321.8"/>
    <s v="Unpaid"/>
    <x v="3"/>
    <n v="30"/>
    <n v="19321.8"/>
    <x v="1"/>
  </r>
  <r>
    <s v="AP-INV-5459"/>
    <s v="VEN-06"/>
    <d v="2024-08-14T00:00:00"/>
    <d v="2024-09-13T00:00:00"/>
    <n v="16470.7"/>
    <s v="Paid"/>
    <x v="0"/>
    <n v="30"/>
    <n v="0"/>
    <x v="0"/>
  </r>
  <r>
    <s v="AP-INV-5039"/>
    <s v="VEN-06"/>
    <d v="2024-08-19T00:00:00"/>
    <d v="2024-09-18T00:00:00"/>
    <n v="1666.49"/>
    <s v="Unpaid"/>
    <x v="0"/>
    <n v="30"/>
    <n v="1666.49"/>
    <x v="1"/>
  </r>
  <r>
    <s v="AP-INV-5334"/>
    <s v="VEN-05"/>
    <d v="2024-08-19T00:00:00"/>
    <d v="2024-09-18T00:00:00"/>
    <n v="12113.06"/>
    <s v="Paid"/>
    <x v="2"/>
    <n v="30"/>
    <n v="0"/>
    <x v="0"/>
  </r>
  <r>
    <s v="AP-INV-5484"/>
    <s v="VEN-06"/>
    <d v="2024-08-20T00:00:00"/>
    <d v="2024-09-19T00:00:00"/>
    <n v="15904.3"/>
    <s v="Paid"/>
    <x v="0"/>
    <n v="30"/>
    <n v="0"/>
    <x v="0"/>
  </r>
  <r>
    <s v="AP-INV-5304"/>
    <s v="VEN-03"/>
    <d v="2024-08-27T00:00:00"/>
    <d v="2024-09-26T00:00:00"/>
    <n v="2641.81"/>
    <s v="Paid"/>
    <x v="4"/>
    <n v="30"/>
    <n v="0"/>
    <x v="0"/>
  </r>
  <r>
    <s v="AP-INV-5221"/>
    <s v="VEN-04"/>
    <d v="2024-08-29T00:00:00"/>
    <d v="2024-09-28T00:00:00"/>
    <n v="9982.33"/>
    <s v="Paid"/>
    <x v="1"/>
    <n v="30"/>
    <n v="0"/>
    <x v="0"/>
  </r>
  <r>
    <s v="AP-INV-5129"/>
    <s v="VEN-05"/>
    <d v="2024-08-31T00:00:00"/>
    <d v="2024-09-30T00:00:00"/>
    <n v="17322.71"/>
    <s v="Paid"/>
    <x v="2"/>
    <n v="30"/>
    <n v="0"/>
    <x v="0"/>
  </r>
  <r>
    <s v="AP-INV-5042"/>
    <s v="VEN-06"/>
    <d v="2024-09-01T00:00:00"/>
    <d v="2024-10-01T00:00:00"/>
    <n v="10901.88"/>
    <s v="Paid"/>
    <x v="0"/>
    <n v="30"/>
    <n v="0"/>
    <x v="0"/>
  </r>
  <r>
    <s v="AP-INV-5411"/>
    <s v="VEN-04"/>
    <d v="2024-09-01T00:00:00"/>
    <d v="2024-10-01T00:00:00"/>
    <n v="4789.3100000000004"/>
    <s v="Paid"/>
    <x v="1"/>
    <n v="30"/>
    <n v="0"/>
    <x v="0"/>
  </r>
  <r>
    <s v="AP-INV-5112"/>
    <s v="VEN-06"/>
    <d v="2024-09-05T00:00:00"/>
    <d v="2024-10-05T00:00:00"/>
    <n v="2736.66"/>
    <s v="Unpaid"/>
    <x v="0"/>
    <n v="30"/>
    <n v="2736.66"/>
    <x v="1"/>
  </r>
  <r>
    <s v="AP-INV-5332"/>
    <s v="VEN-02"/>
    <d v="2024-09-06T00:00:00"/>
    <d v="2024-10-06T00:00:00"/>
    <n v="4724.6499999999996"/>
    <s v="Unpaid"/>
    <x v="3"/>
    <n v="30"/>
    <n v="4724.6499999999996"/>
    <x v="1"/>
  </r>
  <r>
    <s v="AP-INV-5337"/>
    <s v="VEN-05"/>
    <d v="2024-09-10T00:00:00"/>
    <d v="2024-10-10T00:00:00"/>
    <n v="6232.72"/>
    <s v="Paid"/>
    <x v="2"/>
    <n v="30"/>
    <n v="0"/>
    <x v="0"/>
  </r>
  <r>
    <s v="AP-INV-5372"/>
    <s v="VEN-04"/>
    <d v="2024-09-13T00:00:00"/>
    <d v="2024-10-13T00:00:00"/>
    <n v="14057.67"/>
    <s v="Paid"/>
    <x v="1"/>
    <n v="30"/>
    <n v="0"/>
    <x v="0"/>
  </r>
  <r>
    <s v="AP-INV-5072"/>
    <s v="VEN-06"/>
    <d v="2024-09-14T00:00:00"/>
    <d v="2024-10-14T00:00:00"/>
    <n v="14561.14"/>
    <s v="Paid"/>
    <x v="0"/>
    <n v="30"/>
    <n v="0"/>
    <x v="0"/>
  </r>
  <r>
    <s v="AP-INV-5315"/>
    <s v="VEN-01"/>
    <d v="2024-09-17T00:00:00"/>
    <d v="2024-10-17T00:00:00"/>
    <n v="13245.94"/>
    <s v="Paid"/>
    <x v="5"/>
    <n v="30"/>
    <n v="0"/>
    <x v="0"/>
  </r>
  <r>
    <s v="AP-INV-5452"/>
    <s v="VEN-02"/>
    <d v="2024-09-18T00:00:00"/>
    <d v="2024-10-18T00:00:00"/>
    <n v="5182.0600000000004"/>
    <s v="Paid"/>
    <x v="3"/>
    <n v="30"/>
    <n v="0"/>
    <x v="0"/>
  </r>
  <r>
    <s v="AP-INV-5430"/>
    <s v="VEN-06"/>
    <d v="2024-09-21T00:00:00"/>
    <d v="2024-10-21T00:00:00"/>
    <n v="739.59"/>
    <s v="Unpaid"/>
    <x v="0"/>
    <n v="30"/>
    <n v="739.59"/>
    <x v="1"/>
  </r>
  <r>
    <s v="AP-INV-5119"/>
    <s v="VEN-06"/>
    <d v="2024-09-23T00:00:00"/>
    <d v="2024-10-23T00:00:00"/>
    <n v="11668.62"/>
    <s v="Paid"/>
    <x v="0"/>
    <n v="30"/>
    <n v="0"/>
    <x v="0"/>
  </r>
  <r>
    <s v="AP-INV-5196"/>
    <s v="VEN-03"/>
    <d v="2024-09-24T00:00:00"/>
    <d v="2024-10-24T00:00:00"/>
    <n v="2063.56"/>
    <s v="Paid"/>
    <x v="4"/>
    <n v="30"/>
    <n v="0"/>
    <x v="0"/>
  </r>
  <r>
    <s v="AP-INV-5353"/>
    <s v="VEN-02"/>
    <d v="2024-09-25T00:00:00"/>
    <d v="2024-10-25T00:00:00"/>
    <n v="742.65"/>
    <s v="Paid"/>
    <x v="3"/>
    <n v="30"/>
    <n v="0"/>
    <x v="0"/>
  </r>
  <r>
    <s v="AP-INV-5251"/>
    <s v="VEN-04"/>
    <d v="2024-09-26T00:00:00"/>
    <d v="2024-10-26T00:00:00"/>
    <n v="18009.63"/>
    <s v="Paid"/>
    <x v="1"/>
    <n v="30"/>
    <n v="0"/>
    <x v="0"/>
  </r>
  <r>
    <s v="AP-INV-5361"/>
    <s v="VEN-05"/>
    <d v="2024-09-29T00:00:00"/>
    <d v="2024-10-29T00:00:00"/>
    <n v="4144.08"/>
    <s v="Unpaid"/>
    <x v="2"/>
    <n v="30"/>
    <n v="4144.08"/>
    <x v="1"/>
  </r>
  <r>
    <s v="AP-INV-5424"/>
    <s v="VEN-01"/>
    <d v="2024-10-02T00:00:00"/>
    <d v="2024-11-01T00:00:00"/>
    <n v="6359.52"/>
    <s v="Unpaid"/>
    <x v="5"/>
    <n v="30"/>
    <n v="6359.52"/>
    <x v="1"/>
  </r>
  <r>
    <s v="AP-INV-5107"/>
    <s v="VEN-02"/>
    <d v="2024-10-04T00:00:00"/>
    <d v="2024-11-03T00:00:00"/>
    <n v="16868.7"/>
    <s v="Unpaid"/>
    <x v="3"/>
    <n v="30"/>
    <n v="16868.7"/>
    <x v="1"/>
  </r>
  <r>
    <s v="AP-INV-5356"/>
    <s v="VEN-04"/>
    <d v="2024-10-13T00:00:00"/>
    <d v="2024-11-12T00:00:00"/>
    <n v="11458.45"/>
    <s v="Paid"/>
    <x v="1"/>
    <n v="30"/>
    <n v="0"/>
    <x v="0"/>
  </r>
  <r>
    <s v="AP-INV-5465"/>
    <s v="VEN-02"/>
    <d v="2024-10-13T00:00:00"/>
    <d v="2024-11-12T00:00:00"/>
    <n v="11990.39"/>
    <s v="Unpaid"/>
    <x v="3"/>
    <n v="30"/>
    <n v="11990.39"/>
    <x v="1"/>
  </r>
  <r>
    <s v="AP-INV-5139"/>
    <s v="VEN-05"/>
    <d v="2024-10-15T00:00:00"/>
    <d v="2024-11-14T00:00:00"/>
    <n v="1528.14"/>
    <s v="Paid"/>
    <x v="2"/>
    <n v="30"/>
    <n v="0"/>
    <x v="0"/>
  </r>
  <r>
    <s v="AP-INV-5050"/>
    <s v="VEN-04"/>
    <d v="2024-10-18T00:00:00"/>
    <d v="2024-11-17T00:00:00"/>
    <n v="18692.77"/>
    <s v="Paid"/>
    <x v="1"/>
    <n v="30"/>
    <n v="0"/>
    <x v="0"/>
  </r>
  <r>
    <s v="AP-INV-5008"/>
    <s v="VEN-01"/>
    <d v="2024-10-19T00:00:00"/>
    <d v="2024-11-18T00:00:00"/>
    <n v="13576.89"/>
    <s v="Unpaid"/>
    <x v="5"/>
    <n v="30"/>
    <n v="13576.89"/>
    <x v="1"/>
  </r>
  <r>
    <s v="AP-INV-5041"/>
    <s v="VEN-02"/>
    <d v="2024-10-19T00:00:00"/>
    <d v="2024-11-18T00:00:00"/>
    <n v="8314.34"/>
    <s v="Paid"/>
    <x v="3"/>
    <n v="30"/>
    <n v="0"/>
    <x v="0"/>
  </r>
  <r>
    <s v="AP-INV-5095"/>
    <s v="VEN-04"/>
    <d v="2024-10-19T00:00:00"/>
    <d v="2024-11-18T00:00:00"/>
    <n v="1322.84"/>
    <s v="Paid"/>
    <x v="1"/>
    <n v="30"/>
    <n v="0"/>
    <x v="0"/>
  </r>
  <r>
    <s v="AP-INV-5267"/>
    <s v="VEN-04"/>
    <d v="2024-10-19T00:00:00"/>
    <d v="2024-11-18T00:00:00"/>
    <n v="15361.79"/>
    <s v="Paid"/>
    <x v="1"/>
    <n v="30"/>
    <n v="0"/>
    <x v="0"/>
  </r>
  <r>
    <s v="AP-INV-5393"/>
    <s v="VEN-01"/>
    <d v="2024-10-22T00:00:00"/>
    <d v="2024-11-21T00:00:00"/>
    <n v="1026.51"/>
    <s v="Paid"/>
    <x v="5"/>
    <n v="30"/>
    <n v="0"/>
    <x v="0"/>
  </r>
  <r>
    <s v="AP-INV-5188"/>
    <s v="VEN-04"/>
    <d v="2024-10-23T00:00:00"/>
    <d v="2024-11-22T00:00:00"/>
    <n v="19646.990000000002"/>
    <s v="Paid"/>
    <x v="1"/>
    <n v="30"/>
    <n v="0"/>
    <x v="0"/>
  </r>
  <r>
    <s v="AP-INV-5487"/>
    <s v="VEN-06"/>
    <d v="2024-10-23T00:00:00"/>
    <d v="2024-11-22T00:00:00"/>
    <n v="8489.93"/>
    <s v="Paid"/>
    <x v="0"/>
    <n v="30"/>
    <n v="0"/>
    <x v="0"/>
  </r>
  <r>
    <s v="AP-INV-5186"/>
    <s v="VEN-04"/>
    <d v="2024-10-27T00:00:00"/>
    <d v="2024-11-26T00:00:00"/>
    <n v="14975.72"/>
    <s v="Paid"/>
    <x v="1"/>
    <n v="30"/>
    <n v="0"/>
    <x v="0"/>
  </r>
  <r>
    <s v="AP-INV-5324"/>
    <s v="VEN-06"/>
    <d v="2024-11-02T00:00:00"/>
    <d v="2024-12-02T00:00:00"/>
    <n v="18351.53"/>
    <s v="Paid"/>
    <x v="0"/>
    <n v="30"/>
    <n v="0"/>
    <x v="0"/>
  </r>
  <r>
    <s v="AP-INV-5230"/>
    <s v="VEN-06"/>
    <d v="2024-11-08T00:00:00"/>
    <d v="2024-12-08T00:00:00"/>
    <n v="12676.66"/>
    <s v="Paid"/>
    <x v="0"/>
    <n v="30"/>
    <n v="0"/>
    <x v="0"/>
  </r>
  <r>
    <s v="AP-INV-5073"/>
    <s v="VEN-02"/>
    <d v="2024-11-10T00:00:00"/>
    <d v="2024-12-10T00:00:00"/>
    <n v="11881.86"/>
    <s v="Paid"/>
    <x v="3"/>
    <n v="30"/>
    <n v="0"/>
    <x v="0"/>
  </r>
  <r>
    <s v="AP-INV-5354"/>
    <s v="VEN-01"/>
    <d v="2024-11-11T00:00:00"/>
    <d v="2024-12-11T00:00:00"/>
    <n v="19577.189999999999"/>
    <s v="Paid"/>
    <x v="5"/>
    <n v="30"/>
    <n v="0"/>
    <x v="0"/>
  </r>
  <r>
    <s v="AP-INV-5148"/>
    <s v="VEN-06"/>
    <d v="2024-11-15T00:00:00"/>
    <d v="2024-12-15T00:00:00"/>
    <n v="5959.45"/>
    <s v="Unpaid"/>
    <x v="0"/>
    <n v="30"/>
    <n v="5959.45"/>
    <x v="1"/>
  </r>
  <r>
    <s v="AP-INV-5192"/>
    <s v="VEN-01"/>
    <d v="2024-11-15T00:00:00"/>
    <d v="2024-12-15T00:00:00"/>
    <n v="1640.47"/>
    <s v="Paid"/>
    <x v="5"/>
    <n v="30"/>
    <n v="0"/>
    <x v="0"/>
  </r>
  <r>
    <s v="AP-INV-5327"/>
    <s v="VEN-04"/>
    <d v="2024-11-18T00:00:00"/>
    <d v="2024-12-18T00:00:00"/>
    <n v="11552.78"/>
    <s v="Paid"/>
    <x v="1"/>
    <n v="30"/>
    <n v="0"/>
    <x v="0"/>
  </r>
  <r>
    <s v="AP-INV-5204"/>
    <s v="VEN-04"/>
    <d v="2024-11-25T00:00:00"/>
    <d v="2024-12-25T00:00:00"/>
    <n v="9142.9"/>
    <s v="Paid"/>
    <x v="1"/>
    <n v="30"/>
    <n v="0"/>
    <x v="0"/>
  </r>
  <r>
    <s v="AP-INV-5062"/>
    <s v="VEN-01"/>
    <d v="2024-11-29T00:00:00"/>
    <d v="2024-12-29T00:00:00"/>
    <n v="7446.58"/>
    <s v="Paid"/>
    <x v="5"/>
    <n v="30"/>
    <n v="0"/>
    <x v="0"/>
  </r>
  <r>
    <s v="AP-INV-5229"/>
    <s v="VEN-06"/>
    <d v="2024-11-29T00:00:00"/>
    <d v="2024-12-29T00:00:00"/>
    <n v="4430.25"/>
    <s v="Paid"/>
    <x v="0"/>
    <n v="30"/>
    <n v="0"/>
    <x v="0"/>
  </r>
  <r>
    <s v="AP-INV-5056"/>
    <s v="VEN-05"/>
    <d v="2024-11-30T00:00:00"/>
    <d v="2024-12-30T00:00:00"/>
    <n v="15703.41"/>
    <s v="Paid"/>
    <x v="2"/>
    <n v="30"/>
    <n v="0"/>
    <x v="0"/>
  </r>
  <r>
    <s v="AP-INV-5070"/>
    <s v="VEN-02"/>
    <d v="2024-11-30T00:00:00"/>
    <d v="2024-12-30T00:00:00"/>
    <n v="14525.44"/>
    <s v="Paid"/>
    <x v="3"/>
    <n v="30"/>
    <n v="0"/>
    <x v="0"/>
  </r>
  <r>
    <s v="AP-INV-5359"/>
    <s v="VEN-01"/>
    <d v="2024-12-01T00:00:00"/>
    <d v="2024-12-31T00:00:00"/>
    <n v="16559.64"/>
    <s v="Paid"/>
    <x v="5"/>
    <n v="30"/>
    <n v="0"/>
    <x v="0"/>
  </r>
  <r>
    <s v="AP-INV-5111"/>
    <s v="VEN-05"/>
    <d v="2024-12-08T00:00:00"/>
    <d v="2025-01-07T00:00:00"/>
    <n v="17463.88"/>
    <s v="Paid"/>
    <x v="2"/>
    <n v="30"/>
    <n v="0"/>
    <x v="0"/>
  </r>
  <r>
    <s v="AP-INV-5180"/>
    <s v="VEN-04"/>
    <d v="2024-12-08T00:00:00"/>
    <d v="2025-01-07T00:00:00"/>
    <n v="14524.55"/>
    <s v="Paid"/>
    <x v="1"/>
    <n v="30"/>
    <n v="0"/>
    <x v="0"/>
  </r>
  <r>
    <s v="AP-INV-5277"/>
    <s v="VEN-06"/>
    <d v="2024-12-12T00:00:00"/>
    <d v="2025-01-11T00:00:00"/>
    <n v="10715.5"/>
    <s v="Paid"/>
    <x v="0"/>
    <n v="30"/>
    <n v="0"/>
    <x v="0"/>
  </r>
  <r>
    <s v="AP-INV-5106"/>
    <s v="VEN-04"/>
    <d v="2024-12-14T00:00:00"/>
    <d v="2025-01-13T00:00:00"/>
    <n v="8460.7000000000007"/>
    <s v="Paid"/>
    <x v="1"/>
    <n v="30"/>
    <n v="0"/>
    <x v="0"/>
  </r>
  <r>
    <s v="AP-INV-5252"/>
    <s v="VEN-05"/>
    <d v="2024-12-20T00:00:00"/>
    <d v="2025-01-19T00:00:00"/>
    <n v="2144.56"/>
    <s v="Paid"/>
    <x v="2"/>
    <n v="30"/>
    <n v="0"/>
    <x v="0"/>
  </r>
  <r>
    <s v="AP-INV-5270"/>
    <s v="VEN-06"/>
    <d v="2024-12-24T00:00:00"/>
    <d v="2025-01-23T00:00:00"/>
    <n v="18958.43"/>
    <s v="Paid"/>
    <x v="0"/>
    <n v="30"/>
    <n v="0"/>
    <x v="0"/>
  </r>
  <r>
    <s v="AP-INV-5055"/>
    <s v="VEN-03"/>
    <d v="2025-01-04T00:00:00"/>
    <d v="2025-02-03T00:00:00"/>
    <n v="4601.03"/>
    <s v="Paid"/>
    <x v="4"/>
    <n v="30"/>
    <n v="0"/>
    <x v="0"/>
  </r>
  <r>
    <s v="AP-INV-5243"/>
    <s v="VEN-04"/>
    <d v="2025-01-04T00:00:00"/>
    <d v="2025-02-03T00:00:00"/>
    <n v="6944.08"/>
    <s v="Paid"/>
    <x v="1"/>
    <n v="30"/>
    <n v="0"/>
    <x v="0"/>
  </r>
  <r>
    <s v="AP-INV-5082"/>
    <s v="VEN-05"/>
    <d v="2025-01-05T00:00:00"/>
    <d v="2025-02-04T00:00:00"/>
    <n v="8410.65"/>
    <s v="Paid"/>
    <x v="2"/>
    <n v="30"/>
    <n v="0"/>
    <x v="0"/>
  </r>
  <r>
    <s v="AP-INV-5198"/>
    <s v="VEN-01"/>
    <d v="2025-01-07T00:00:00"/>
    <d v="2025-02-06T00:00:00"/>
    <n v="3164.81"/>
    <s v="Unpaid"/>
    <x v="5"/>
    <n v="30"/>
    <n v="3164.81"/>
    <x v="1"/>
  </r>
  <r>
    <s v="AP-INV-5190"/>
    <s v="VEN-03"/>
    <d v="2025-01-11T00:00:00"/>
    <d v="2025-02-10T00:00:00"/>
    <n v="11377.73"/>
    <s v="Paid"/>
    <x v="4"/>
    <n v="30"/>
    <n v="0"/>
    <x v="0"/>
  </r>
  <r>
    <s v="AP-INV-5466"/>
    <s v="VEN-03"/>
    <d v="2025-01-19T00:00:00"/>
    <d v="2025-02-18T00:00:00"/>
    <n v="14680.35"/>
    <s v="Paid"/>
    <x v="4"/>
    <n v="30"/>
    <n v="0"/>
    <x v="0"/>
  </r>
  <r>
    <s v="AP-INV-5010"/>
    <s v="VEN-02"/>
    <d v="2025-01-21T00:00:00"/>
    <d v="2025-02-20T00:00:00"/>
    <n v="19312.759999999998"/>
    <s v="Unpaid"/>
    <x v="3"/>
    <n v="30"/>
    <n v="19312.759999999998"/>
    <x v="1"/>
  </r>
  <r>
    <s v="AP-INV-5142"/>
    <s v="VEN-02"/>
    <d v="2025-01-21T00:00:00"/>
    <d v="2025-02-20T00:00:00"/>
    <n v="10252.540000000001"/>
    <s v="Paid"/>
    <x v="3"/>
    <n v="30"/>
    <n v="0"/>
    <x v="0"/>
  </r>
  <r>
    <s v="AP-INV-5019"/>
    <s v="VEN-05"/>
    <d v="2025-01-31T00:00:00"/>
    <d v="2025-03-02T00:00:00"/>
    <n v="12272.86"/>
    <s v="Unpaid"/>
    <x v="2"/>
    <n v="30"/>
    <n v="12272.86"/>
    <x v="1"/>
  </r>
  <r>
    <s v="AP-INV-5005"/>
    <s v="VEN-05"/>
    <d v="2025-02-04T00:00:00"/>
    <d v="2025-03-06T00:00:00"/>
    <n v="4295.97"/>
    <s v="Paid"/>
    <x v="2"/>
    <n v="30"/>
    <n v="0"/>
    <x v="0"/>
  </r>
  <r>
    <s v="AP-INV-5134"/>
    <s v="VEN-06"/>
    <d v="2025-02-06T00:00:00"/>
    <d v="2025-03-08T00:00:00"/>
    <n v="2194.25"/>
    <s v="Paid"/>
    <x v="0"/>
    <n v="30"/>
    <n v="0"/>
    <x v="0"/>
  </r>
  <r>
    <s v="AP-INV-5018"/>
    <s v="VEN-02"/>
    <d v="2025-02-11T00:00:00"/>
    <d v="2025-03-13T00:00:00"/>
    <n v="5753.21"/>
    <s v="Paid"/>
    <x v="3"/>
    <n v="30"/>
    <n v="0"/>
    <x v="0"/>
  </r>
  <r>
    <s v="AP-INV-5187"/>
    <s v="VEN-04"/>
    <d v="2025-02-15T00:00:00"/>
    <d v="2025-03-17T00:00:00"/>
    <n v="11229.91"/>
    <s v="Paid"/>
    <x v="1"/>
    <n v="30"/>
    <n v="0"/>
    <x v="0"/>
  </r>
  <r>
    <s v="AP-INV-5442"/>
    <s v="VEN-02"/>
    <d v="2025-02-15T00:00:00"/>
    <d v="2025-03-17T00:00:00"/>
    <n v="12181.96"/>
    <s v="Paid"/>
    <x v="3"/>
    <n v="30"/>
    <n v="0"/>
    <x v="0"/>
  </r>
  <r>
    <s v="AP-INV-5057"/>
    <s v="VEN-01"/>
    <d v="2025-02-25T00:00:00"/>
    <d v="2025-03-27T00:00:00"/>
    <n v="19367.54"/>
    <s v="Unpaid"/>
    <x v="5"/>
    <n v="30"/>
    <n v="19367.54"/>
    <x v="1"/>
  </r>
  <r>
    <s v="AP-INV-5249"/>
    <s v="VEN-03"/>
    <d v="2025-02-25T00:00:00"/>
    <d v="2025-03-27T00:00:00"/>
    <n v="11142.55"/>
    <s v="Paid"/>
    <x v="4"/>
    <n v="30"/>
    <n v="0"/>
    <x v="0"/>
  </r>
  <r>
    <s v="AP-INV-5415"/>
    <s v="VEN-05"/>
    <d v="2025-02-27T00:00:00"/>
    <d v="2025-03-29T00:00:00"/>
    <n v="5015.43"/>
    <s v="Paid"/>
    <x v="2"/>
    <n v="30"/>
    <n v="0"/>
    <x v="0"/>
  </r>
  <r>
    <s v="AP-INV-5121"/>
    <s v="VEN-03"/>
    <d v="2025-03-02T00:00:00"/>
    <d v="2025-04-01T00:00:00"/>
    <n v="1961.22"/>
    <s v="Paid"/>
    <x v="4"/>
    <n v="30"/>
    <n v="0"/>
    <x v="0"/>
  </r>
  <r>
    <s v="AP-INV-5431"/>
    <s v="VEN-03"/>
    <d v="2025-03-04T00:00:00"/>
    <d v="2025-04-03T00:00:00"/>
    <n v="2556.46"/>
    <s v="Paid"/>
    <x v="4"/>
    <n v="30"/>
    <n v="0"/>
    <x v="0"/>
  </r>
  <r>
    <s v="AP-INV-5241"/>
    <s v="VEN-03"/>
    <d v="2025-03-07T00:00:00"/>
    <d v="2025-04-06T00:00:00"/>
    <n v="1781.44"/>
    <s v="Paid"/>
    <x v="4"/>
    <n v="30"/>
    <n v="0"/>
    <x v="0"/>
  </r>
  <r>
    <s v="AP-INV-5207"/>
    <s v="VEN-06"/>
    <d v="2025-03-10T00:00:00"/>
    <d v="2025-04-09T00:00:00"/>
    <n v="11785.07"/>
    <s v="Unpaid"/>
    <x v="0"/>
    <n v="30"/>
    <n v="11785.07"/>
    <x v="1"/>
  </r>
  <r>
    <s v="AP-INV-5360"/>
    <s v="VEN-02"/>
    <d v="2025-03-10T00:00:00"/>
    <d v="2025-04-09T00:00:00"/>
    <n v="4092.47"/>
    <s v="Paid"/>
    <x v="3"/>
    <n v="30"/>
    <n v="0"/>
    <x v="0"/>
  </r>
  <r>
    <s v="AP-INV-5342"/>
    <s v="VEN-04"/>
    <d v="2025-03-17T00:00:00"/>
    <d v="2025-04-16T00:00:00"/>
    <n v="17587.29"/>
    <s v="Paid"/>
    <x v="1"/>
    <n v="30"/>
    <n v="0"/>
    <x v="0"/>
  </r>
  <r>
    <s v="AP-INV-5483"/>
    <s v="VEN-03"/>
    <d v="2025-03-18T00:00:00"/>
    <d v="2025-04-17T00:00:00"/>
    <n v="5192.1899999999996"/>
    <s v="Paid"/>
    <x v="4"/>
    <n v="30"/>
    <n v="0"/>
    <x v="0"/>
  </r>
  <r>
    <s v="AP-INV-5364"/>
    <s v="VEN-06"/>
    <d v="2025-03-27T00:00:00"/>
    <d v="2025-04-26T00:00:00"/>
    <n v="16353.16"/>
    <s v="Paid"/>
    <x v="0"/>
    <n v="30"/>
    <n v="0"/>
    <x v="0"/>
  </r>
  <r>
    <s v="AP-INV-5113"/>
    <s v="VEN-04"/>
    <d v="2025-03-29T00:00:00"/>
    <d v="2025-04-28T00:00:00"/>
    <n v="2924.65"/>
    <s v="Paid"/>
    <x v="1"/>
    <n v="30"/>
    <n v="0"/>
    <x v="0"/>
  </r>
  <r>
    <s v="AP-INV-5472"/>
    <s v="VEN-06"/>
    <d v="2025-04-02T00:00:00"/>
    <d v="2025-05-02T00:00:00"/>
    <n v="11761.29"/>
    <s v="Paid"/>
    <x v="0"/>
    <n v="30"/>
    <n v="0"/>
    <x v="0"/>
  </r>
  <r>
    <s v="AP-INV-5092"/>
    <s v="VEN-01"/>
    <d v="2025-04-08T00:00:00"/>
    <d v="2025-05-08T00:00:00"/>
    <n v="5538.67"/>
    <s v="Paid"/>
    <x v="5"/>
    <n v="30"/>
    <n v="0"/>
    <x v="0"/>
  </r>
  <r>
    <s v="AP-INV-5104"/>
    <s v="VEN-06"/>
    <d v="2025-04-10T00:00:00"/>
    <d v="2025-05-10T00:00:00"/>
    <n v="950.54"/>
    <s v="Paid"/>
    <x v="0"/>
    <n v="30"/>
    <n v="0"/>
    <x v="0"/>
  </r>
  <r>
    <s v="AP-INV-5124"/>
    <s v="VEN-03"/>
    <d v="2025-04-10T00:00:00"/>
    <d v="2025-05-10T00:00:00"/>
    <n v="19411.95"/>
    <s v="Paid"/>
    <x v="4"/>
    <n v="30"/>
    <n v="0"/>
    <x v="0"/>
  </r>
  <r>
    <s v="AP-INV-5097"/>
    <s v="VEN-05"/>
    <d v="2025-04-13T00:00:00"/>
    <d v="2025-05-13T00:00:00"/>
    <n v="6408.87"/>
    <s v="Unpaid"/>
    <x v="2"/>
    <n v="30"/>
    <n v="6408.87"/>
    <x v="1"/>
  </r>
  <r>
    <s v="AP-INV-5099"/>
    <s v="VEN-01"/>
    <d v="2025-04-17T00:00:00"/>
    <d v="2025-05-17T00:00:00"/>
    <n v="16120.1"/>
    <s v="Unpaid"/>
    <x v="5"/>
    <n v="30"/>
    <n v="16120.1"/>
    <x v="1"/>
  </r>
  <r>
    <s v="AP-INV-5351"/>
    <s v="VEN-02"/>
    <d v="2025-04-17T00:00:00"/>
    <d v="2025-05-17T00:00:00"/>
    <n v="15117.32"/>
    <s v="Paid"/>
    <x v="3"/>
    <n v="30"/>
    <n v="0"/>
    <x v="0"/>
  </r>
  <r>
    <s v="AP-INV-5468"/>
    <s v="VEN-01"/>
    <d v="2025-04-26T00:00:00"/>
    <d v="2025-05-26T00:00:00"/>
    <n v="8647.08"/>
    <s v="Paid"/>
    <x v="5"/>
    <n v="30"/>
    <n v="0"/>
    <x v="0"/>
  </r>
  <r>
    <s v="AP-INV-5363"/>
    <s v="VEN-01"/>
    <d v="2025-05-05T00:00:00"/>
    <d v="2025-06-04T00:00:00"/>
    <n v="15904.3"/>
    <s v="Paid"/>
    <x v="5"/>
    <n v="30"/>
    <n v="0"/>
    <x v="0"/>
  </r>
  <r>
    <s v="AP-INV-5169"/>
    <s v="VEN-02"/>
    <d v="2025-05-06T00:00:00"/>
    <d v="2025-06-05T00:00:00"/>
    <n v="7341.04"/>
    <s v="Paid"/>
    <x v="3"/>
    <n v="30"/>
    <n v="0"/>
    <x v="0"/>
  </r>
  <r>
    <s v="AP-INV-5262"/>
    <s v="VEN-06"/>
    <d v="2025-05-12T00:00:00"/>
    <d v="2025-06-11T00:00:00"/>
    <n v="5227.92"/>
    <s v="Paid"/>
    <x v="0"/>
    <n v="30"/>
    <n v="0"/>
    <x v="0"/>
  </r>
  <r>
    <s v="AP-INV-5224"/>
    <s v="VEN-06"/>
    <d v="2025-05-15T00:00:00"/>
    <d v="2025-06-14T00:00:00"/>
    <n v="15523.84"/>
    <s v="Paid"/>
    <x v="0"/>
    <n v="30"/>
    <n v="0"/>
    <x v="0"/>
  </r>
  <r>
    <s v="AP-INV-5428"/>
    <s v="VEN-02"/>
    <d v="2025-05-16T00:00:00"/>
    <d v="2025-06-15T00:00:00"/>
    <n v="17695.29"/>
    <s v="Paid"/>
    <x v="3"/>
    <n v="30"/>
    <n v="0"/>
    <x v="0"/>
  </r>
  <r>
    <s v="AP-INV-5045"/>
    <s v="VEN-02"/>
    <d v="2025-05-18T00:00:00"/>
    <d v="2025-06-17T00:00:00"/>
    <n v="8908.36"/>
    <s v="Paid"/>
    <x v="3"/>
    <n v="30"/>
    <n v="0"/>
    <x v="0"/>
  </r>
  <r>
    <s v="AP-INV-5066"/>
    <s v="VEN-02"/>
    <d v="2025-05-19T00:00:00"/>
    <d v="2025-06-18T00:00:00"/>
    <n v="18483.38"/>
    <s v="Paid"/>
    <x v="3"/>
    <n v="30"/>
    <n v="0"/>
    <x v="0"/>
  </r>
  <r>
    <s v="AP-INV-5368"/>
    <s v="VEN-01"/>
    <d v="2025-05-19T00:00:00"/>
    <d v="2025-06-18T00:00:00"/>
    <n v="4233.24"/>
    <s v="Paid"/>
    <x v="5"/>
    <n v="30"/>
    <n v="0"/>
    <x v="0"/>
  </r>
  <r>
    <s v="AP-INV-5146"/>
    <s v="VEN-01"/>
    <d v="2025-05-21T00:00:00"/>
    <d v="2025-06-20T00:00:00"/>
    <n v="2844.45"/>
    <s v="Paid"/>
    <x v="5"/>
    <n v="30"/>
    <n v="0"/>
    <x v="0"/>
  </r>
  <r>
    <s v="AP-INV-5408"/>
    <s v="VEN-02"/>
    <d v="2025-05-21T00:00:00"/>
    <d v="2025-06-20T00:00:00"/>
    <n v="9781.14"/>
    <s v="Unpaid"/>
    <x v="3"/>
    <n v="30"/>
    <n v="9781.14"/>
    <x v="1"/>
  </r>
  <r>
    <s v="AP-INV-5122"/>
    <s v="VEN-06"/>
    <d v="2025-05-23T00:00:00"/>
    <d v="2025-06-22T00:00:00"/>
    <n v="18838.28"/>
    <s v="Paid"/>
    <x v="0"/>
    <n v="30"/>
    <n v="0"/>
    <x v="0"/>
  </r>
  <r>
    <s v="AP-INV-5496"/>
    <s v="VEN-01"/>
    <d v="2025-05-26T00:00:00"/>
    <d v="2025-06-25T00:00:00"/>
    <n v="11104.36"/>
    <s v="Paid"/>
    <x v="5"/>
    <n v="30"/>
    <n v="0"/>
    <x v="0"/>
  </r>
  <r>
    <s v="AP-INV-5161"/>
    <s v="VEN-02"/>
    <d v="2025-05-27T00:00:00"/>
    <d v="2025-06-26T00:00:00"/>
    <n v="4214.01"/>
    <s v="Paid"/>
    <x v="3"/>
    <n v="30"/>
    <n v="0"/>
    <x v="0"/>
  </r>
  <r>
    <s v="AP-INV-5399"/>
    <s v="VEN-02"/>
    <d v="2025-05-31T00:00:00"/>
    <d v="2025-06-30T00:00:00"/>
    <n v="19078.93"/>
    <s v="Unpaid"/>
    <x v="3"/>
    <n v="30"/>
    <n v="19078.93"/>
    <x v="1"/>
  </r>
  <r>
    <s v="AP-INV-5296"/>
    <s v="VEN-01"/>
    <d v="2025-06-01T00:00:00"/>
    <d v="2025-07-01T00:00:00"/>
    <n v="19661.96"/>
    <s v="Paid"/>
    <x v="5"/>
    <n v="30"/>
    <n v="0"/>
    <x v="0"/>
  </r>
  <r>
    <s v="AP-INV-5006"/>
    <s v="VEN-02"/>
    <d v="2025-06-08T00:00:00"/>
    <d v="2025-07-08T00:00:00"/>
    <n v="16725.689999999999"/>
    <s v="Unpaid"/>
    <x v="3"/>
    <n v="30"/>
    <n v="16725.689999999999"/>
    <x v="1"/>
  </r>
  <r>
    <s v="AP-INV-5285"/>
    <s v="VEN-03"/>
    <d v="2025-06-11T00:00:00"/>
    <d v="2025-07-11T00:00:00"/>
    <n v="12353.81"/>
    <s v="Paid"/>
    <x v="4"/>
    <n v="30"/>
    <n v="0"/>
    <x v="0"/>
  </r>
  <r>
    <s v="AP-INV-5264"/>
    <s v="VEN-01"/>
    <d v="2025-06-12T00:00:00"/>
    <d v="2025-07-12T00:00:00"/>
    <n v="17398.73"/>
    <s v="Paid"/>
    <x v="5"/>
    <n v="30"/>
    <n v="0"/>
    <x v="0"/>
  </r>
  <r>
    <s v="AP-INV-5320"/>
    <s v="VEN-04"/>
    <d v="2025-06-16T00:00:00"/>
    <d v="2025-07-16T00:00:00"/>
    <n v="12808.68"/>
    <s v="Unpaid"/>
    <x v="1"/>
    <n v="30"/>
    <n v="12808.68"/>
    <x v="1"/>
  </r>
  <r>
    <s v="AP-INV-5061"/>
    <s v="VEN-04"/>
    <d v="2025-07-03T00:00:00"/>
    <d v="2025-08-02T00:00:00"/>
    <n v="3397.67"/>
    <s v="Paid"/>
    <x v="1"/>
    <n v="30"/>
    <n v="0"/>
    <x v="0"/>
  </r>
  <r>
    <s v="AP-INV-5100"/>
    <s v="VEN-01"/>
    <d v="2025-07-03T00:00:00"/>
    <d v="2025-08-02T00:00:00"/>
    <n v="6105.84"/>
    <s v="Paid"/>
    <x v="5"/>
    <n v="30"/>
    <n v="0"/>
    <x v="0"/>
  </r>
  <r>
    <s v="AP-INV-5404"/>
    <s v="VEN-05"/>
    <d v="2025-07-04T00:00:00"/>
    <d v="2025-08-03T00:00:00"/>
    <n v="5135.04"/>
    <s v="Paid"/>
    <x v="2"/>
    <n v="30"/>
    <n v="0"/>
    <x v="0"/>
  </r>
  <r>
    <s v="AP-INV-5421"/>
    <s v="VEN-05"/>
    <d v="2025-07-08T00:00:00"/>
    <d v="2025-08-07T00:00:00"/>
    <n v="1869.64"/>
    <s v="Paid"/>
    <x v="2"/>
    <n v="30"/>
    <n v="0"/>
    <x v="0"/>
  </r>
  <r>
    <s v="AP-INV-5123"/>
    <s v="VEN-01"/>
    <d v="2025-07-11T00:00:00"/>
    <d v="2025-08-10T00:00:00"/>
    <n v="848.63"/>
    <s v="Unpaid"/>
    <x v="5"/>
    <n v="30"/>
    <n v="848.63"/>
    <x v="1"/>
  </r>
  <r>
    <s v="AP-INV-5131"/>
    <s v="VEN-06"/>
    <d v="2025-07-12T00:00:00"/>
    <d v="2025-08-11T00:00:00"/>
    <n v="6830.38"/>
    <s v="Paid"/>
    <x v="0"/>
    <n v="30"/>
    <n v="0"/>
    <x v="0"/>
  </r>
  <r>
    <s v="AP-INV-5127"/>
    <s v="VEN-05"/>
    <d v="2025-07-14T00:00:00"/>
    <d v="2025-08-13T00:00:00"/>
    <n v="615.78"/>
    <s v="Unpaid"/>
    <x v="2"/>
    <n v="30"/>
    <n v="615.78"/>
    <x v="1"/>
  </r>
  <r>
    <s v="AP-INV-5183"/>
    <s v="VEN-05"/>
    <d v="2025-07-18T00:00:00"/>
    <d v="2025-08-17T00:00:00"/>
    <n v="1712"/>
    <s v="Paid"/>
    <x v="2"/>
    <n v="30"/>
    <n v="0"/>
    <x v="0"/>
  </r>
  <r>
    <s v="AP-INV-5054"/>
    <s v="VEN-01"/>
    <d v="2025-07-19T00:00:00"/>
    <d v="2025-08-18T00:00:00"/>
    <n v="17782.71"/>
    <s v="Unpaid"/>
    <x v="5"/>
    <n v="30"/>
    <n v="17782.71"/>
    <x v="1"/>
  </r>
  <r>
    <s v="AP-INV-5216"/>
    <s v="VEN-04"/>
    <d v="2025-07-24T00:00:00"/>
    <d v="2025-08-23T00:00:00"/>
    <n v="3460.89"/>
    <s v="Paid"/>
    <x v="1"/>
    <n v="30"/>
    <n v="0"/>
    <x v="0"/>
  </r>
  <r>
    <s v="AP-INV-5079"/>
    <s v="VEN-05"/>
    <d v="2025-07-28T00:00:00"/>
    <d v="2025-08-27T00:00:00"/>
    <n v="11128.94"/>
    <s v="Paid"/>
    <x v="2"/>
    <n v="30"/>
    <n v="0"/>
    <x v="0"/>
  </r>
  <r>
    <s v="AP-INV-5323"/>
    <s v="VEN-05"/>
    <d v="2025-08-05T00:00:00"/>
    <d v="2025-09-04T00:00:00"/>
    <n v="12514.04"/>
    <s v="Paid"/>
    <x v="2"/>
    <n v="30"/>
    <n v="0"/>
    <x v="0"/>
  </r>
  <r>
    <s v="AP-INV-5083"/>
    <s v="VEN-01"/>
    <d v="2025-08-08T00:00:00"/>
    <d v="2025-09-07T00:00:00"/>
    <n v="11614.68"/>
    <s v="Paid"/>
    <x v="5"/>
    <n v="30"/>
    <n v="0"/>
    <x v="0"/>
  </r>
  <r>
    <s v="AP-INV-5037"/>
    <s v="VEN-02"/>
    <d v="2025-08-09T00:00:00"/>
    <d v="2025-09-08T00:00:00"/>
    <n v="15109.44"/>
    <s v="Paid"/>
    <x v="3"/>
    <n v="30"/>
    <n v="0"/>
    <x v="0"/>
  </r>
  <r>
    <s v="AP-INV-5310"/>
    <s v="VEN-01"/>
    <d v="2025-08-19T00:00:00"/>
    <d v="2025-09-18T00:00:00"/>
    <n v="17466.07"/>
    <s v="Unpaid"/>
    <x v="5"/>
    <n v="30"/>
    <n v="17466.07"/>
    <x v="1"/>
  </r>
  <r>
    <s v="AP-INV-5193"/>
    <s v="VEN-01"/>
    <d v="2025-08-21T00:00:00"/>
    <d v="2025-09-20T00:00:00"/>
    <n v="19635.73"/>
    <s v="Paid"/>
    <x v="5"/>
    <n v="30"/>
    <n v="0"/>
    <x v="0"/>
  </r>
  <r>
    <s v="AP-INV-5242"/>
    <s v="VEN-01"/>
    <d v="2025-08-21T00:00:00"/>
    <d v="2025-09-20T00:00:00"/>
    <n v="6729.34"/>
    <s v="Paid"/>
    <x v="5"/>
    <n v="30"/>
    <n v="0"/>
    <x v="0"/>
  </r>
  <r>
    <s v="AP-INV-5286"/>
    <s v="VEN-02"/>
    <d v="2025-08-21T00:00:00"/>
    <d v="2025-09-20T00:00:00"/>
    <n v="15379.13"/>
    <s v="Paid"/>
    <x v="3"/>
    <n v="30"/>
    <n v="0"/>
    <x v="0"/>
  </r>
  <r>
    <s v="AP-INV-5343"/>
    <s v="VEN-01"/>
    <d v="2025-08-21T00:00:00"/>
    <d v="2025-09-20T00:00:00"/>
    <n v="11370.1"/>
    <s v="Unpaid"/>
    <x v="5"/>
    <n v="30"/>
    <n v="11370.1"/>
    <x v="1"/>
  </r>
  <r>
    <s v="AP-INV-5280"/>
    <s v="VEN-02"/>
    <d v="2025-08-25T00:00:00"/>
    <d v="2025-09-24T00:00:00"/>
    <n v="5461.76"/>
    <s v="Paid"/>
    <x v="3"/>
    <n v="30"/>
    <n v="0"/>
    <x v="0"/>
  </r>
  <r>
    <s v="AP-INV-5494"/>
    <s v="VEN-04"/>
    <d v="2025-08-26T00:00:00"/>
    <d v="2025-09-25T00:00:00"/>
    <n v="12090.48"/>
    <s v="Unpaid"/>
    <x v="1"/>
    <n v="30"/>
    <n v="12090.48"/>
    <x v="1"/>
  </r>
  <r>
    <s v="AP-INV-5247"/>
    <s v="VEN-01"/>
    <d v="2025-08-28T00:00:00"/>
    <d v="2025-09-27T00:00:00"/>
    <n v="2938.45"/>
    <s v="Paid"/>
    <x v="5"/>
    <n v="30"/>
    <n v="0"/>
    <x v="0"/>
  </r>
  <r>
    <s v="AP-INV-5292"/>
    <s v="VEN-06"/>
    <d v="2025-08-28T00:00:00"/>
    <d v="2025-09-27T00:00:00"/>
    <n v="7071.66"/>
    <s v="Paid"/>
    <x v="0"/>
    <n v="30"/>
    <n v="0"/>
    <x v="0"/>
  </r>
  <r>
    <s v="AP-INV-5102"/>
    <s v="VEN-03"/>
    <d v="2025-08-29T00:00:00"/>
    <d v="2025-09-28T00:00:00"/>
    <n v="1740.84"/>
    <s v="Paid"/>
    <x v="4"/>
    <n v="30"/>
    <n v="0"/>
    <x v="0"/>
  </r>
  <r>
    <s v="AP-INV-5093"/>
    <s v="VEN-01"/>
    <d v="2025-09-02T00:00:00"/>
    <d v="2025-10-02T00:00:00"/>
    <n v="5905.59"/>
    <s v="Paid"/>
    <x v="5"/>
    <n v="30"/>
    <n v="0"/>
    <x v="0"/>
  </r>
  <r>
    <s v="AP-INV-5422"/>
    <s v="VEN-04"/>
    <d v="2025-09-08T00:00:00"/>
    <d v="2025-10-08T00:00:00"/>
    <n v="10320.200000000001"/>
    <s v="Unpaid"/>
    <x v="1"/>
    <n v="30"/>
    <n v="10320.200000000001"/>
    <x v="1"/>
  </r>
  <r>
    <s v="AP-INV-5260"/>
    <s v="VEN-06"/>
    <d v="2025-09-10T00:00:00"/>
    <d v="2025-10-10T00:00:00"/>
    <n v="6765.39"/>
    <s v="Paid"/>
    <x v="0"/>
    <n v="30"/>
    <n v="0"/>
    <x v="0"/>
  </r>
  <r>
    <s v="AP-INV-5403"/>
    <s v="VEN-04"/>
    <d v="2025-09-12T00:00:00"/>
    <d v="2025-10-12T00:00:00"/>
    <n v="4700.6499999999996"/>
    <s v="Paid"/>
    <x v="1"/>
    <n v="30"/>
    <n v="0"/>
    <x v="0"/>
  </r>
  <r>
    <s v="AP-INV-5227"/>
    <s v="VEN-05"/>
    <d v="2025-09-14T00:00:00"/>
    <d v="2025-10-14T00:00:00"/>
    <n v="5443.84"/>
    <s v="Paid"/>
    <x v="2"/>
    <n v="30"/>
    <n v="0"/>
    <x v="0"/>
  </r>
  <r>
    <s v="AP-INV-5467"/>
    <s v="VEN-04"/>
    <d v="2025-09-14T00:00:00"/>
    <d v="2025-10-14T00:00:00"/>
    <n v="755.51"/>
    <s v="Paid"/>
    <x v="1"/>
    <n v="30"/>
    <n v="0"/>
    <x v="0"/>
  </r>
  <r>
    <s v="AP-INV-5084"/>
    <s v="VEN-04"/>
    <d v="2025-09-15T00:00:00"/>
    <d v="2025-10-15T00:00:00"/>
    <n v="10691.06"/>
    <s v="Unpaid"/>
    <x v="1"/>
    <n v="30"/>
    <n v="10691.06"/>
    <x v="1"/>
  </r>
  <r>
    <s v="AP-INV-5373"/>
    <s v="VEN-03"/>
    <d v="2025-09-19T00:00:00"/>
    <d v="2025-10-19T00:00:00"/>
    <n v="6322.37"/>
    <s v="Paid"/>
    <x v="4"/>
    <n v="30"/>
    <n v="0"/>
    <x v="0"/>
  </r>
  <r>
    <s v="AP-INV-5126"/>
    <s v="VEN-05"/>
    <d v="2025-09-20T00:00:00"/>
    <d v="2025-10-20T00:00:00"/>
    <n v="15412.52"/>
    <s v="Paid"/>
    <x v="2"/>
    <n v="30"/>
    <n v="0"/>
    <x v="0"/>
  </r>
  <r>
    <s v="AP-INV-5258"/>
    <s v="VEN-04"/>
    <d v="2025-09-20T00:00:00"/>
    <d v="2025-10-20T00:00:00"/>
    <n v="14745.61"/>
    <s v="Paid"/>
    <x v="1"/>
    <n v="30"/>
    <n v="0"/>
    <x v="0"/>
  </r>
  <r>
    <s v="AP-INV-5263"/>
    <s v="VEN-05"/>
    <d v="2025-09-23T00:00:00"/>
    <d v="2025-10-23T00:00:00"/>
    <n v="19310.189999999999"/>
    <s v="Paid"/>
    <x v="2"/>
    <n v="30"/>
    <n v="0"/>
    <x v="0"/>
  </r>
  <r>
    <s v="AP-INV-5135"/>
    <s v="VEN-03"/>
    <d v="2025-09-26T00:00:00"/>
    <d v="2025-10-26T00:00:00"/>
    <n v="12571.65"/>
    <s v="Paid"/>
    <x v="4"/>
    <n v="30"/>
    <n v="0"/>
    <x v="0"/>
  </r>
  <r>
    <s v="AP-INV-5004"/>
    <s v="VEN-06"/>
    <d v="2025-09-29T00:00:00"/>
    <d v="2025-10-29T00:00:00"/>
    <n v="11228.89"/>
    <s v="Paid"/>
    <x v="0"/>
    <n v="30"/>
    <n v="0"/>
    <x v="0"/>
  </r>
  <r>
    <s v="AP-INV-5376"/>
    <s v="VEN-03"/>
    <d v="2025-10-07T00:00:00"/>
    <d v="2025-11-06T00:00:00"/>
    <n v="2946.72"/>
    <s v="Unpaid"/>
    <x v="4"/>
    <n v="30"/>
    <n v="2946.72"/>
    <x v="1"/>
  </r>
  <r>
    <s v="AP-INV-5076"/>
    <s v="VEN-05"/>
    <d v="2025-10-10T00:00:00"/>
    <d v="2025-11-09T00:00:00"/>
    <n v="2970.46"/>
    <s v="Paid"/>
    <x v="2"/>
    <n v="30"/>
    <n v="0"/>
    <x v="0"/>
  </r>
  <r>
    <s v="AP-INV-5382"/>
    <s v="VEN-04"/>
    <d v="2025-10-14T00:00:00"/>
    <d v="2025-11-13T00:00:00"/>
    <n v="8299.7800000000007"/>
    <s v="Unpaid"/>
    <x v="1"/>
    <n v="30"/>
    <n v="8299.7800000000007"/>
    <x v="1"/>
  </r>
  <r>
    <s v="AP-INV-5137"/>
    <s v="VEN-06"/>
    <d v="2025-10-17T00:00:00"/>
    <d v="2025-11-16T00:00:00"/>
    <n v="8698.6200000000008"/>
    <s v="Paid"/>
    <x v="0"/>
    <n v="30"/>
    <n v="0"/>
    <x v="0"/>
  </r>
  <r>
    <s v="AP-INV-5346"/>
    <s v="VEN-04"/>
    <d v="2025-10-21T00:00:00"/>
    <d v="2025-11-20T00:00:00"/>
    <n v="1256.4000000000001"/>
    <s v="Paid"/>
    <x v="1"/>
    <n v="30"/>
    <n v="0"/>
    <x v="0"/>
  </r>
  <r>
    <s v="AP-INV-5015"/>
    <s v="VEN-02"/>
    <d v="2025-10-23T00:00:00"/>
    <d v="2025-11-22T00:00:00"/>
    <n v="7058.2"/>
    <s v="Paid"/>
    <x v="3"/>
    <n v="30"/>
    <n v="0"/>
    <x v="0"/>
  </r>
  <r>
    <s v="AP-INV-5301"/>
    <s v="VEN-04"/>
    <d v="2025-10-26T00:00:00"/>
    <d v="2025-11-25T00:00:00"/>
    <n v="5664.06"/>
    <s v="Paid"/>
    <x v="1"/>
    <n v="30"/>
    <n v="0"/>
    <x v="0"/>
  </r>
  <r>
    <s v="AP-INV-5167"/>
    <s v="VEN-05"/>
    <d v="2025-10-30T00:00:00"/>
    <d v="2025-11-29T00:00:00"/>
    <n v="12742.54"/>
    <s v="Paid"/>
    <x v="2"/>
    <n v="30"/>
    <n v="0"/>
    <x v="0"/>
  </r>
  <r>
    <s v="AP-INV-5271"/>
    <s v="VEN-03"/>
    <d v="2025-10-31T00:00:00"/>
    <d v="2025-11-30T00:00:00"/>
    <n v="15268.01"/>
    <s v="Paid"/>
    <x v="4"/>
    <n v="30"/>
    <n v="0"/>
    <x v="0"/>
  </r>
  <r>
    <s v="AP-INV-5448"/>
    <s v="VEN-02"/>
    <d v="2025-11-03T00:00:00"/>
    <d v="2025-12-03T00:00:00"/>
    <n v="4953.8599999999997"/>
    <s v="Paid"/>
    <x v="3"/>
    <n v="30"/>
    <n v="0"/>
    <x v="0"/>
  </r>
  <r>
    <s v="AP-INV-5454"/>
    <s v="VEN-04"/>
    <d v="2025-11-07T00:00:00"/>
    <d v="2025-12-07T00:00:00"/>
    <n v="1122.82"/>
    <s v="Unpaid"/>
    <x v="1"/>
    <n v="30"/>
    <n v="1122.82"/>
    <x v="1"/>
  </r>
  <r>
    <s v="AP-INV-5341"/>
    <s v="VEN-01"/>
    <d v="2025-11-09T00:00:00"/>
    <d v="2025-12-09T00:00:00"/>
    <n v="18703.03"/>
    <s v="Paid"/>
    <x v="5"/>
    <n v="30"/>
    <n v="0"/>
    <x v="0"/>
  </r>
  <r>
    <s v="AP-INV-5450"/>
    <s v="VEN-05"/>
    <d v="2025-11-11T00:00:00"/>
    <d v="2025-12-11T00:00:00"/>
    <n v="3900.35"/>
    <s v="Paid"/>
    <x v="2"/>
    <n v="30"/>
    <n v="0"/>
    <x v="0"/>
  </r>
  <r>
    <s v="AP-INV-5300"/>
    <s v="VEN-03"/>
    <d v="2025-11-13T00:00:00"/>
    <d v="2025-12-13T00:00:00"/>
    <n v="12312.19"/>
    <s v="Paid"/>
    <x v="4"/>
    <n v="30"/>
    <n v="0"/>
    <x v="0"/>
  </r>
  <r>
    <s v="AP-INV-5088"/>
    <s v="VEN-05"/>
    <d v="2025-11-14T00:00:00"/>
    <d v="2025-12-14T00:00:00"/>
    <n v="5315.92"/>
    <s v="Paid"/>
    <x v="2"/>
    <n v="30"/>
    <n v="0"/>
    <x v="0"/>
  </r>
  <r>
    <s v="AP-INV-5493"/>
    <s v="VEN-01"/>
    <d v="2025-11-16T00:00:00"/>
    <d v="2025-12-16T00:00:00"/>
    <n v="669.31"/>
    <s v="Paid"/>
    <x v="5"/>
    <n v="30"/>
    <n v="0"/>
    <x v="0"/>
  </r>
  <r>
    <s v="AP-INV-5053"/>
    <s v="VEN-02"/>
    <d v="2025-11-18T00:00:00"/>
    <d v="2025-12-18T00:00:00"/>
    <n v="14893.88"/>
    <s v="Unpaid"/>
    <x v="3"/>
    <n v="30"/>
    <n v="14893.88"/>
    <x v="1"/>
  </r>
  <r>
    <s v="AP-INV-5298"/>
    <s v="VEN-02"/>
    <d v="2025-11-18T00:00:00"/>
    <d v="2025-12-18T00:00:00"/>
    <n v="15715.02"/>
    <s v="Unpaid"/>
    <x v="3"/>
    <n v="30"/>
    <n v="15715.02"/>
    <x v="1"/>
  </r>
  <r>
    <s v="AP-INV-5233"/>
    <s v="VEN-01"/>
    <d v="2025-11-19T00:00:00"/>
    <d v="2025-12-19T00:00:00"/>
    <n v="1635.11"/>
    <s v="Paid"/>
    <x v="5"/>
    <n v="30"/>
    <n v="0"/>
    <x v="0"/>
  </r>
  <r>
    <s v="AP-INV-5290"/>
    <s v="VEN-03"/>
    <d v="2025-11-21T00:00:00"/>
    <d v="2025-12-21T00:00:00"/>
    <n v="4050.23"/>
    <s v="Paid"/>
    <x v="4"/>
    <n v="30"/>
    <n v="0"/>
    <x v="0"/>
  </r>
  <r>
    <s v="AP-INV-5214"/>
    <s v="VEN-05"/>
    <d v="2025-11-23T00:00:00"/>
    <d v="2025-12-23T00:00:00"/>
    <n v="3937.64"/>
    <s v="Paid"/>
    <x v="2"/>
    <n v="30"/>
    <n v="0"/>
    <x v="0"/>
  </r>
  <r>
    <s v="AP-INV-5460"/>
    <s v="VEN-02"/>
    <d v="2025-11-23T00:00:00"/>
    <d v="2025-12-23T00:00:00"/>
    <n v="19006.37"/>
    <s v="Paid"/>
    <x v="3"/>
    <n v="30"/>
    <n v="0"/>
    <x v="0"/>
  </r>
  <r>
    <s v="AP-INV-5461"/>
    <s v="VEN-02"/>
    <d v="2025-11-27T00:00:00"/>
    <d v="2025-12-27T00:00:00"/>
    <n v="3064.09"/>
    <s v="Paid"/>
    <x v="3"/>
    <n v="30"/>
    <n v="0"/>
    <x v="0"/>
  </r>
  <r>
    <s v="AP-INV-5384"/>
    <s v="VEN-01"/>
    <d v="2025-12-01T00:00:00"/>
    <d v="2025-12-31T00:00:00"/>
    <n v="18154.169999999998"/>
    <s v="Paid"/>
    <x v="5"/>
    <n v="30"/>
    <n v="0"/>
    <x v="0"/>
  </r>
  <r>
    <s v="AP-INV-5282"/>
    <s v="VEN-05"/>
    <d v="2025-12-02T00:00:00"/>
    <d v="2026-01-01T00:00:00"/>
    <n v="18132.87"/>
    <s v="Paid"/>
    <x v="2"/>
    <n v="30"/>
    <n v="0"/>
    <x v="0"/>
  </r>
  <r>
    <s v="AP-INV-5246"/>
    <s v="VEN-03"/>
    <d v="2025-12-04T00:00:00"/>
    <d v="2026-01-03T00:00:00"/>
    <n v="7515.88"/>
    <s v="Paid"/>
    <x v="4"/>
    <n v="30"/>
    <n v="0"/>
    <x v="0"/>
  </r>
  <r>
    <s v="AP-INV-5318"/>
    <s v="VEN-06"/>
    <d v="2025-12-06T00:00:00"/>
    <d v="2026-01-05T00:00:00"/>
    <n v="10512.78"/>
    <s v="Paid"/>
    <x v="0"/>
    <n v="30"/>
    <n v="0"/>
    <x v="0"/>
  </r>
  <r>
    <s v="AP-INV-5036"/>
    <s v="VEN-04"/>
    <d v="2025-12-09T00:00:00"/>
    <d v="2026-01-08T00:00:00"/>
    <n v="7316.27"/>
    <s v="Paid"/>
    <x v="1"/>
    <n v="30"/>
    <n v="0"/>
    <x v="0"/>
  </r>
  <r>
    <s v="AP-INV-5191"/>
    <s v="VEN-02"/>
    <d v="2025-12-12T00:00:00"/>
    <d v="2026-01-11T00:00:00"/>
    <n v="19903.47"/>
    <s v="Paid"/>
    <x v="3"/>
    <n v="30"/>
    <n v="0"/>
    <x v="0"/>
  </r>
  <r>
    <s v="AP-INV-5133"/>
    <s v="VEN-04"/>
    <d v="2025-12-13T00:00:00"/>
    <d v="2026-01-12T00:00:00"/>
    <n v="15960.27"/>
    <s v="Paid"/>
    <x v="1"/>
    <n v="30"/>
    <n v="0"/>
    <x v="0"/>
  </r>
  <r>
    <s v="AP-INV-5182"/>
    <s v="VEN-01"/>
    <d v="2025-12-21T00:00:00"/>
    <d v="2026-01-20T00:00:00"/>
    <n v="6063.39"/>
    <s v="Unpaid"/>
    <x v="5"/>
    <n v="30"/>
    <n v="6063.39"/>
    <x v="1"/>
  </r>
  <r>
    <s v="AP-INV-5105"/>
    <s v="VEN-01"/>
    <d v="2025-12-26T00:00:00"/>
    <d v="2026-01-25T00:00:00"/>
    <n v="2290.67"/>
    <s v="Unpaid"/>
    <x v="5"/>
    <n v="30"/>
    <n v="2290.67"/>
    <x v="1"/>
  </r>
  <r>
    <s v="AP-INV-5044"/>
    <s v="VEN-01"/>
    <d v="2025-12-29T00:00:00"/>
    <d v="2026-01-28T00:00:00"/>
    <n v="17399.189999999999"/>
    <s v="Paid"/>
    <x v="5"/>
    <n v="30"/>
    <n v="0"/>
    <x v="0"/>
  </r>
  <r>
    <s v="AP-INV-5427"/>
    <s v="VEN-02"/>
    <d v="2026-01-01T00:00:00"/>
    <d v="2026-01-31T00:00:00"/>
    <n v="11135.59"/>
    <s v="Unpaid"/>
    <x v="3"/>
    <n v="30"/>
    <n v="11135.59"/>
    <x v="1"/>
  </r>
  <r>
    <s v="AP-INV-5253"/>
    <s v="VEN-02"/>
    <d v="2026-01-04T00:00:00"/>
    <d v="2026-02-03T00:00:00"/>
    <n v="12804.98"/>
    <s v="Unpaid"/>
    <x v="3"/>
    <n v="30"/>
    <n v="12804.98"/>
    <x v="1"/>
  </r>
  <r>
    <s v="AP-INV-5370"/>
    <s v="VEN-02"/>
    <d v="2026-01-08T00:00:00"/>
    <d v="2026-02-07T00:00:00"/>
    <n v="19766.23"/>
    <s v="Paid"/>
    <x v="3"/>
    <n v="30"/>
    <n v="0"/>
    <x v="0"/>
  </r>
  <r>
    <s v="AP-INV-5089"/>
    <s v="VEN-03"/>
    <d v="2026-01-11T00:00:00"/>
    <d v="2026-02-10T00:00:00"/>
    <n v="6089.53"/>
    <s v="Unpaid"/>
    <x v="4"/>
    <n v="30"/>
    <n v="6089.53"/>
    <x v="1"/>
  </r>
  <r>
    <s v="AP-INV-5103"/>
    <s v="VEN-02"/>
    <d v="2026-01-12T00:00:00"/>
    <d v="2026-02-11T00:00:00"/>
    <n v="6259.39"/>
    <s v="Paid"/>
    <x v="3"/>
    <n v="30"/>
    <n v="0"/>
    <x v="0"/>
  </r>
  <r>
    <s v="AP-INV-5303"/>
    <s v="VEN-05"/>
    <d v="2026-01-13T00:00:00"/>
    <d v="2026-02-12T00:00:00"/>
    <n v="18755.060000000001"/>
    <s v="Paid"/>
    <x v="2"/>
    <n v="30"/>
    <n v="0"/>
    <x v="0"/>
  </r>
  <r>
    <s v="AP-INV-5418"/>
    <s v="VEN-02"/>
    <d v="2026-01-13T00:00:00"/>
    <d v="2026-02-12T00:00:00"/>
    <n v="19724.68"/>
    <s v="Paid"/>
    <x v="3"/>
    <n v="30"/>
    <n v="0"/>
    <x v="0"/>
  </r>
  <r>
    <s v="AP-INV-5094"/>
    <s v="VEN-05"/>
    <d v="2026-01-16T00:00:00"/>
    <d v="2026-02-15T00:00:00"/>
    <n v="3640.43"/>
    <s v="Unpaid"/>
    <x v="2"/>
    <n v="30"/>
    <n v="3640.43"/>
    <x v="1"/>
  </r>
  <r>
    <s v="AP-INV-5307"/>
    <s v="VEN-03"/>
    <d v="2026-01-21T00:00:00"/>
    <d v="2026-02-20T00:00:00"/>
    <n v="12545.94"/>
    <s v="Unpaid"/>
    <x v="4"/>
    <n v="30"/>
    <n v="12545.94"/>
    <x v="1"/>
  </r>
  <r>
    <s v="AP-INV-5189"/>
    <s v="VEN-01"/>
    <d v="2026-01-24T00:00:00"/>
    <d v="2026-02-23T00:00:00"/>
    <n v="13575.18"/>
    <s v="Unpaid"/>
    <x v="5"/>
    <n v="30"/>
    <n v="13575.18"/>
    <x v="1"/>
  </r>
  <r>
    <s v="AP-INV-5156"/>
    <s v="VEN-03"/>
    <d v="2026-01-26T00:00:00"/>
    <d v="2026-02-25T00:00:00"/>
    <n v="18221.349999999999"/>
    <s v="Paid"/>
    <x v="4"/>
    <n v="30"/>
    <n v="0"/>
    <x v="0"/>
  </r>
  <r>
    <s v="AP-INV-5178"/>
    <s v="VEN-02"/>
    <d v="2026-01-27T00:00:00"/>
    <d v="2026-02-26T00:00:00"/>
    <n v="17113.55"/>
    <s v="Paid"/>
    <x v="3"/>
    <n v="30"/>
    <n v="0"/>
    <x v="0"/>
  </r>
  <r>
    <s v="AP-INV-5013"/>
    <s v="VEN-01"/>
    <d v="2026-02-02T00:00:00"/>
    <d v="2026-03-04T00:00:00"/>
    <n v="13580.31"/>
    <s v="Paid"/>
    <x v="5"/>
    <n v="30"/>
    <n v="0"/>
    <x v="0"/>
  </r>
  <r>
    <s v="AP-INV-5256"/>
    <s v="VEN-02"/>
    <d v="2026-02-08T00:00:00"/>
    <d v="2026-03-10T00:00:00"/>
    <n v="9417.42"/>
    <s v="Paid"/>
    <x v="3"/>
    <n v="30"/>
    <n v="0"/>
    <x v="0"/>
  </r>
  <r>
    <s v="AP-INV-5245"/>
    <s v="VEN-06"/>
    <d v="2026-02-10T00:00:00"/>
    <d v="2026-03-12T00:00:00"/>
    <n v="5005.8900000000003"/>
    <s v="Paid"/>
    <x v="0"/>
    <n v="30"/>
    <n v="0"/>
    <x v="0"/>
  </r>
  <r>
    <s v="AP-INV-5152"/>
    <s v="VEN-03"/>
    <d v="2026-02-12T00:00:00"/>
    <d v="2026-03-14T00:00:00"/>
    <n v="8139.08"/>
    <s v="Paid"/>
    <x v="4"/>
    <n v="30"/>
    <n v="0"/>
    <x v="0"/>
  </r>
  <r>
    <s v="AP-INV-5386"/>
    <s v="VEN-06"/>
    <d v="2026-02-16T00:00:00"/>
    <d v="2026-03-18T00:00:00"/>
    <n v="8360.5499999999993"/>
    <s v="Paid"/>
    <x v="0"/>
    <n v="30"/>
    <n v="0"/>
    <x v="0"/>
  </r>
  <r>
    <s v="AP-INV-5009"/>
    <s v="VEN-02"/>
    <d v="2026-02-18T00:00:00"/>
    <d v="2026-03-20T00:00:00"/>
    <n v="2407.17"/>
    <s v="Paid"/>
    <x v="3"/>
    <n v="30"/>
    <n v="0"/>
    <x v="0"/>
  </r>
  <r>
    <s v="AP-INV-5031"/>
    <s v="VEN-01"/>
    <d v="2026-02-21T00:00:00"/>
    <d v="2026-03-23T00:00:00"/>
    <n v="12394.19"/>
    <s v="Paid"/>
    <x v="5"/>
    <n v="30"/>
    <n v="0"/>
    <x v="0"/>
  </r>
  <r>
    <s v="AP-INV-5398"/>
    <s v="VEN-01"/>
    <d v="2026-02-21T00:00:00"/>
    <d v="2026-03-23T00:00:00"/>
    <n v="14486.14"/>
    <s v="Unpaid"/>
    <x v="5"/>
    <n v="30"/>
    <n v="14486.14"/>
    <x v="1"/>
  </r>
  <r>
    <s v="AP-INV-5021"/>
    <s v="VEN-05"/>
    <d v="2026-02-23T00:00:00"/>
    <d v="2026-03-25T00:00:00"/>
    <n v="10200.540000000001"/>
    <s v="Paid"/>
    <x v="2"/>
    <n v="30"/>
    <n v="0"/>
    <x v="0"/>
  </r>
  <r>
    <s v="AP-INV-5173"/>
    <s v="VEN-01"/>
    <d v="2026-02-24T00:00:00"/>
    <d v="2026-03-26T00:00:00"/>
    <n v="2326.48"/>
    <s v="Paid"/>
    <x v="5"/>
    <n v="30"/>
    <n v="0"/>
    <x v="0"/>
  </r>
  <r>
    <s v="AP-INV-5096"/>
    <s v="VEN-01"/>
    <d v="2026-02-25T00:00:00"/>
    <d v="2026-03-27T00:00:00"/>
    <n v="3251.5"/>
    <s v="Paid"/>
    <x v="5"/>
    <n v="30"/>
    <n v="0"/>
    <x v="0"/>
  </r>
  <r>
    <s v="AP-INV-5443"/>
    <s v="VEN-02"/>
    <d v="2026-02-27T00:00:00"/>
    <d v="2026-03-29T00:00:00"/>
    <n v="7258.81"/>
    <s v="Paid"/>
    <x v="3"/>
    <n v="30"/>
    <n v="0"/>
    <x v="0"/>
  </r>
  <r>
    <s v="AP-INV-5145"/>
    <s v="VEN-04"/>
    <d v="2026-02-28T00:00:00"/>
    <d v="2026-03-30T00:00:00"/>
    <n v="11724.81"/>
    <s v="Paid"/>
    <x v="1"/>
    <n v="30"/>
    <n v="0"/>
    <x v="0"/>
  </r>
  <r>
    <s v="AP-INV-5437"/>
    <s v="VEN-03"/>
    <d v="2026-02-28T00:00:00"/>
    <d v="2026-03-30T00:00:00"/>
    <n v="11758.57"/>
    <s v="Paid"/>
    <x v="4"/>
    <n v="30"/>
    <n v="0"/>
    <x v="0"/>
  </r>
  <r>
    <s v="AP-INV-5026"/>
    <s v="VEN-03"/>
    <d v="2026-03-02T00:00:00"/>
    <d v="2026-04-01T00:00:00"/>
    <n v="748.46"/>
    <s v="Paid"/>
    <x v="4"/>
    <n v="30"/>
    <n v="0"/>
    <x v="0"/>
  </r>
  <r>
    <s v="AP-INV-5064"/>
    <s v="VEN-03"/>
    <d v="2026-03-02T00:00:00"/>
    <d v="2026-04-01T00:00:00"/>
    <n v="10702.62"/>
    <s v="Paid"/>
    <x v="4"/>
    <n v="30"/>
    <n v="0"/>
    <x v="0"/>
  </r>
  <r>
    <s v="AP-INV-5067"/>
    <s v="VEN-05"/>
    <d v="2026-03-07T00:00:00"/>
    <d v="2026-04-06T00:00:00"/>
    <n v="11997.53"/>
    <s v="Unpaid"/>
    <x v="2"/>
    <n v="30"/>
    <n v="11997.53"/>
    <x v="1"/>
  </r>
  <r>
    <s v="AP-INV-5375"/>
    <s v="VEN-02"/>
    <d v="2026-03-08T00:00:00"/>
    <d v="2026-04-07T00:00:00"/>
    <n v="8009.05"/>
    <s v="Unpaid"/>
    <x v="3"/>
    <n v="30"/>
    <n v="8009.05"/>
    <x v="1"/>
  </r>
  <r>
    <s v="AP-INV-5392"/>
    <s v="VEN-04"/>
    <d v="2026-03-16T00:00:00"/>
    <d v="2026-04-15T00:00:00"/>
    <n v="12134.57"/>
    <s v="Paid"/>
    <x v="1"/>
    <n v="30"/>
    <n v="0"/>
    <x v="0"/>
  </r>
  <r>
    <s v="AP-INV-5291"/>
    <s v="VEN-03"/>
    <d v="2026-03-19T00:00:00"/>
    <d v="2026-04-18T00:00:00"/>
    <n v="14004.33"/>
    <s v="Paid"/>
    <x v="4"/>
    <n v="30"/>
    <n v="0"/>
    <x v="0"/>
  </r>
  <r>
    <s v="AP-INV-5313"/>
    <s v="VEN-01"/>
    <d v="2026-03-19T00:00:00"/>
    <d v="2026-04-18T00:00:00"/>
    <n v="15384.05"/>
    <s v="Paid"/>
    <x v="5"/>
    <n v="30"/>
    <n v="0"/>
    <x v="0"/>
  </r>
  <r>
    <s v="AP-INV-5075"/>
    <s v="VEN-03"/>
    <d v="2026-03-20T00:00:00"/>
    <d v="2026-04-19T00:00:00"/>
    <n v="7978.29"/>
    <s v="Unpaid"/>
    <x v="4"/>
    <n v="30"/>
    <n v="7978.29"/>
    <x v="1"/>
  </r>
  <r>
    <s v="AP-INV-5432"/>
    <s v="VEN-03"/>
    <d v="2026-03-20T00:00:00"/>
    <d v="2026-04-19T00:00:00"/>
    <n v="10383.530000000001"/>
    <s v="Paid"/>
    <x v="4"/>
    <n v="30"/>
    <n v="0"/>
    <x v="0"/>
  </r>
  <r>
    <s v="AP-INV-5481"/>
    <s v="VEN-03"/>
    <d v="2026-03-21T00:00:00"/>
    <d v="2026-04-20T00:00:00"/>
    <n v="14010.05"/>
    <s v="Paid"/>
    <x v="4"/>
    <n v="30"/>
    <n v="0"/>
    <x v="0"/>
  </r>
  <r>
    <s v="AP-INV-5035"/>
    <s v="VEN-03"/>
    <d v="2026-03-24T00:00:00"/>
    <d v="2026-04-23T00:00:00"/>
    <n v="14883.07"/>
    <s v="Paid"/>
    <x v="4"/>
    <n v="30"/>
    <n v="0"/>
    <x v="0"/>
  </r>
  <r>
    <s v="AP-INV-5350"/>
    <s v="VEN-05"/>
    <d v="2026-03-25T00:00:00"/>
    <d v="2026-04-24T00:00:00"/>
    <n v="8162.57"/>
    <s v="Paid"/>
    <x v="2"/>
    <n v="30"/>
    <n v="0"/>
    <x v="0"/>
  </r>
  <r>
    <s v="AP-INV-5426"/>
    <s v="VEN-05"/>
    <d v="2026-03-31T00:00:00"/>
    <d v="2026-04-30T00:00:00"/>
    <n v="6629.79"/>
    <s v="Paid"/>
    <x v="2"/>
    <n v="30"/>
    <n v="0"/>
    <x v="0"/>
  </r>
  <r>
    <s v="AP-INV-5434"/>
    <s v="VEN-04"/>
    <d v="2026-04-05T00:00:00"/>
    <d v="2026-05-05T00:00:00"/>
    <n v="11074.94"/>
    <s v="Paid"/>
    <x v="1"/>
    <n v="30"/>
    <n v="0"/>
    <x v="0"/>
  </r>
  <r>
    <s v="AP-INV-5033"/>
    <s v="VEN-05"/>
    <d v="2026-04-10T00:00:00"/>
    <d v="2026-05-10T00:00:00"/>
    <n v="6612.42"/>
    <s v="Paid"/>
    <x v="2"/>
    <n v="30"/>
    <n v="0"/>
    <x v="0"/>
  </r>
  <r>
    <s v="AP-INV-5391"/>
    <s v="VEN-05"/>
    <d v="2026-04-12T00:00:00"/>
    <d v="2026-05-12T00:00:00"/>
    <n v="8582"/>
    <s v="Unpaid"/>
    <x v="2"/>
    <n v="30"/>
    <n v="8582"/>
    <x v="1"/>
  </r>
  <r>
    <s v="AP-INV-5397"/>
    <s v="VEN-04"/>
    <d v="2026-04-12T00:00:00"/>
    <d v="2026-05-12T00:00:00"/>
    <n v="14701.26"/>
    <s v="Paid"/>
    <x v="1"/>
    <n v="30"/>
    <n v="0"/>
    <x v="0"/>
  </r>
  <r>
    <s v="AP-INV-5077"/>
    <s v="VEN-02"/>
    <d v="2026-04-13T00:00:00"/>
    <d v="2026-05-13T00:00:00"/>
    <n v="18482.5"/>
    <s v="Paid"/>
    <x v="3"/>
    <n v="30"/>
    <n v="0"/>
    <x v="0"/>
  </r>
  <r>
    <s v="AP-INV-5022"/>
    <s v="VEN-05"/>
    <d v="2026-04-15T00:00:00"/>
    <d v="2026-05-15T00:00:00"/>
    <n v="1541.05"/>
    <s v="Paid"/>
    <x v="2"/>
    <n v="30"/>
    <n v="0"/>
    <x v="0"/>
  </r>
  <r>
    <s v="AP-INV-5278"/>
    <s v="VEN-04"/>
    <d v="2026-04-16T00:00:00"/>
    <d v="2026-05-16T00:00:00"/>
    <n v="1898.01"/>
    <s v="Paid"/>
    <x v="1"/>
    <n v="30"/>
    <n v="0"/>
    <x v="0"/>
  </r>
  <r>
    <s v="AP-INV-5294"/>
    <s v="VEN-03"/>
    <d v="2026-04-17T00:00:00"/>
    <d v="2026-05-17T00:00:00"/>
    <n v="3438.35"/>
    <s v="Paid"/>
    <x v="4"/>
    <n v="30"/>
    <n v="0"/>
    <x v="0"/>
  </r>
  <r>
    <s v="AP-INV-5279"/>
    <s v="VEN-01"/>
    <d v="2026-04-19T00:00:00"/>
    <d v="2026-05-19T00:00:00"/>
    <n v="725.87"/>
    <s v="Unpaid"/>
    <x v="5"/>
    <n v="30"/>
    <n v="725.87"/>
    <x v="1"/>
  </r>
  <r>
    <s v="AP-INV-5177"/>
    <s v="VEN-01"/>
    <d v="2026-04-23T00:00:00"/>
    <d v="2026-05-23T00:00:00"/>
    <n v="1185.42"/>
    <s v="Paid"/>
    <x v="5"/>
    <n v="30"/>
    <n v="0"/>
    <x v="0"/>
  </r>
  <r>
    <s v="AP-INV-5213"/>
    <s v="VEN-01"/>
    <d v="2026-04-23T00:00:00"/>
    <d v="2026-05-23T00:00:00"/>
    <n v="18458.46"/>
    <s v="Paid"/>
    <x v="5"/>
    <n v="30"/>
    <n v="0"/>
    <x v="0"/>
  </r>
  <r>
    <s v="AP-INV-5457"/>
    <s v="VEN-02"/>
    <d v="2026-04-27T00:00:00"/>
    <d v="2026-05-27T00:00:00"/>
    <n v="1225.94"/>
    <s v="Unpaid"/>
    <x v="3"/>
    <n v="30"/>
    <n v="1225.94"/>
    <x v="1"/>
  </r>
  <r>
    <s v="AP-INV-5147"/>
    <s v="VEN-04"/>
    <d v="2026-04-29T00:00:00"/>
    <d v="2026-05-29T00:00:00"/>
    <n v="4114.8100000000004"/>
    <s v="Paid"/>
    <x v="1"/>
    <n v="30"/>
    <n v="0"/>
    <x v="0"/>
  </r>
  <r>
    <s v="AP-INV-5203"/>
    <s v="VEN-06"/>
    <d v="2026-04-29T00:00:00"/>
    <d v="2026-05-29T00:00:00"/>
    <n v="1344.37"/>
    <s v="Unpaid"/>
    <x v="0"/>
    <n v="30"/>
    <n v="1344.37"/>
    <x v="1"/>
  </r>
  <r>
    <s v="AP-INV-5108"/>
    <s v="VEN-04"/>
    <d v="2026-05-06T00:00:00"/>
    <d v="2026-06-05T00:00:00"/>
    <n v="6140"/>
    <s v="Paid"/>
    <x v="1"/>
    <n v="30"/>
    <n v="0"/>
    <x v="0"/>
  </r>
  <r>
    <s v="AP-INV-5040"/>
    <s v="VEN-04"/>
    <d v="2026-05-20T00:00:00"/>
    <d v="2026-06-19T00:00:00"/>
    <n v="18941.439999999999"/>
    <s v="Paid"/>
    <x v="1"/>
    <n v="30"/>
    <n v="0"/>
    <x v="0"/>
  </r>
  <r>
    <s v="AP-INV-5284"/>
    <s v="VEN-06"/>
    <d v="2026-05-24T00:00:00"/>
    <d v="2026-06-23T00:00:00"/>
    <n v="2213.61"/>
    <s v="Paid"/>
    <x v="0"/>
    <n v="30"/>
    <n v="0"/>
    <x v="0"/>
  </r>
  <r>
    <s v="AP-INV-5051"/>
    <s v="VEN-02"/>
    <d v="2026-06-01T00:00:00"/>
    <d v="2026-07-01T00:00:00"/>
    <n v="6105.55"/>
    <s v="Paid"/>
    <x v="3"/>
    <n v="30"/>
    <n v="0"/>
    <x v="0"/>
  </r>
  <r>
    <s v="AP-INV-5406"/>
    <s v="VEN-06"/>
    <d v="2026-06-01T00:00:00"/>
    <d v="2026-07-01T00:00:00"/>
    <n v="9576.74"/>
    <s v="Paid"/>
    <x v="0"/>
    <n v="30"/>
    <n v="0"/>
    <x v="0"/>
  </r>
  <r>
    <s v="AP-INV-5165"/>
    <s v="VEN-02"/>
    <d v="2026-06-02T00:00:00"/>
    <d v="2026-07-02T00:00:00"/>
    <n v="15386.75"/>
    <s v="Paid"/>
    <x v="3"/>
    <n v="30"/>
    <n v="0"/>
    <x v="0"/>
  </r>
  <r>
    <s v="AP-INV-5150"/>
    <s v="VEN-03"/>
    <d v="2026-06-08T00:00:00"/>
    <d v="2026-07-08T00:00:00"/>
    <n v="11806.97"/>
    <s v="Paid"/>
    <x v="4"/>
    <n v="30"/>
    <n v="0"/>
    <x v="0"/>
  </r>
  <r>
    <s v="AP-INV-5202"/>
    <s v="VEN-01"/>
    <d v="2026-06-12T00:00:00"/>
    <d v="2026-07-12T00:00:00"/>
    <n v="12294.38"/>
    <s v="Paid"/>
    <x v="5"/>
    <n v="30"/>
    <n v="0"/>
    <x v="0"/>
  </r>
  <r>
    <s v="AP-INV-5029"/>
    <s v="VEN-04"/>
    <d v="2026-06-13T00:00:00"/>
    <d v="2026-07-13T00:00:00"/>
    <n v="11205.37"/>
    <s v="Paid"/>
    <x v="1"/>
    <n v="30"/>
    <n v="0"/>
    <x v="0"/>
  </r>
  <r>
    <s v="AP-INV-5387"/>
    <s v="VEN-04"/>
    <d v="2026-06-13T00:00:00"/>
    <d v="2026-07-13T00:00:00"/>
    <n v="5832.09"/>
    <s v="Paid"/>
    <x v="1"/>
    <n v="30"/>
    <n v="0"/>
    <x v="0"/>
  </r>
  <r>
    <s v="AP-INV-5451"/>
    <s v="VEN-06"/>
    <d v="2026-06-13T00:00:00"/>
    <d v="2026-07-13T00:00:00"/>
    <n v="13440.07"/>
    <s v="Paid"/>
    <x v="0"/>
    <n v="30"/>
    <n v="0"/>
    <x v="0"/>
  </r>
  <r>
    <s v="AP-INV-5179"/>
    <s v="VEN-06"/>
    <d v="2026-06-15T00:00:00"/>
    <d v="2026-07-15T00:00:00"/>
    <n v="9098.99"/>
    <s v="Paid"/>
    <x v="0"/>
    <n v="30"/>
    <n v="0"/>
    <x v="0"/>
  </r>
  <r>
    <s v="AP-INV-5236"/>
    <s v="VEN-01"/>
    <d v="2026-06-17T00:00:00"/>
    <d v="2026-07-17T00:00:00"/>
    <n v="12390.46"/>
    <s v="Unpaid"/>
    <x v="5"/>
    <n v="30"/>
    <n v="12390.46"/>
    <x v="1"/>
  </r>
  <r>
    <s v="AP-INV-5058"/>
    <s v="VEN-02"/>
    <d v="2026-06-26T00:00:00"/>
    <d v="2026-07-26T00:00:00"/>
    <n v="13749.97"/>
    <s v="Paid"/>
    <x v="3"/>
    <n v="30"/>
    <n v="0"/>
    <x v="0"/>
  </r>
  <r>
    <s v="AP-INV-5210"/>
    <s v="VEN-01"/>
    <d v="2026-06-26T00:00:00"/>
    <d v="2026-07-26T00:00:00"/>
    <n v="3384.47"/>
    <s v="Paid"/>
    <x v="5"/>
    <n v="30"/>
    <n v="0"/>
    <x v="0"/>
  </r>
  <r>
    <s v="AP-INV-5476"/>
    <s v="VEN-01"/>
    <d v="2026-07-02T00:00:00"/>
    <d v="2026-08-01T00:00:00"/>
    <n v="2960.25"/>
    <s v="Unpaid"/>
    <x v="5"/>
    <n v="30"/>
    <n v="2960.25"/>
    <x v="1"/>
  </r>
  <r>
    <s v="AP-INV-5175"/>
    <s v="VEN-05"/>
    <d v="2026-07-06T00:00:00"/>
    <d v="2026-08-05T00:00:00"/>
    <n v="2968.72"/>
    <s v="Paid"/>
    <x v="2"/>
    <n v="30"/>
    <n v="0"/>
    <x v="0"/>
  </r>
  <r>
    <s v="AP-INV-5269"/>
    <s v="VEN-01"/>
    <d v="2026-07-06T00:00:00"/>
    <d v="2026-08-05T00:00:00"/>
    <n v="3986.88"/>
    <s v="Paid"/>
    <x v="5"/>
    <n v="30"/>
    <n v="0"/>
    <x v="0"/>
  </r>
  <r>
    <s v="AP-INV-5498"/>
    <s v="VEN-01"/>
    <d v="2026-07-06T00:00:00"/>
    <d v="2026-08-05T00:00:00"/>
    <n v="14094.79"/>
    <s v="Paid"/>
    <x v="5"/>
    <n v="30"/>
    <n v="0"/>
    <x v="0"/>
  </r>
  <r>
    <s v="AP-INV-5390"/>
    <s v="VEN-01"/>
    <d v="2026-07-09T00:00:00"/>
    <d v="2026-08-08T00:00:00"/>
    <n v="8014.86"/>
    <s v="Paid"/>
    <x v="5"/>
    <n v="30"/>
    <n v="0"/>
    <x v="0"/>
  </r>
  <r>
    <s v="AP-INV-5445"/>
    <s v="VEN-04"/>
    <d v="2026-07-11T00:00:00"/>
    <d v="2026-08-10T00:00:00"/>
    <n v="13857.71"/>
    <s v="Paid"/>
    <x v="1"/>
    <n v="30"/>
    <n v="0"/>
    <x v="0"/>
  </r>
  <r>
    <s v="AP-INV-5357"/>
    <s v="VEN-04"/>
    <d v="2026-07-13T00:00:00"/>
    <d v="2026-08-12T00:00:00"/>
    <n v="8866.06"/>
    <s v="Paid"/>
    <x v="1"/>
    <n v="30"/>
    <n v="0"/>
    <x v="0"/>
  </r>
  <r>
    <s v="AP-INV-5440"/>
    <s v="VEN-06"/>
    <d v="2026-07-13T00:00:00"/>
    <d v="2026-08-12T00:00:00"/>
    <n v="1133.25"/>
    <s v="Paid"/>
    <x v="0"/>
    <n v="30"/>
    <n v="0"/>
    <x v="0"/>
  </r>
  <r>
    <s v="AP-INV-5355"/>
    <s v="VEN-02"/>
    <d v="2026-07-17T00:00:00"/>
    <d v="2026-08-16T00:00:00"/>
    <n v="14605.62"/>
    <s v="Paid"/>
    <x v="3"/>
    <n v="30"/>
    <n v="0"/>
    <x v="0"/>
  </r>
  <r>
    <s v="AP-INV-5235"/>
    <s v="VEN-02"/>
    <d v="2026-07-22T00:00:00"/>
    <d v="2026-08-21T00:00:00"/>
    <n v="16073.36"/>
    <s v="Paid"/>
    <x v="3"/>
    <n v="30"/>
    <n v="0"/>
    <x v="0"/>
  </r>
  <r>
    <s v="AP-INV-5394"/>
    <s v="VEN-03"/>
    <d v="2026-07-22T00:00:00"/>
    <d v="2026-08-21T00:00:00"/>
    <n v="17807.21"/>
    <s v="Paid"/>
    <x v="4"/>
    <n v="30"/>
    <n v="0"/>
    <x v="0"/>
  </r>
  <r>
    <s v="AP-INV-5405"/>
    <s v="VEN-05"/>
    <d v="2026-07-30T00:00:00"/>
    <d v="2026-08-29T00:00:00"/>
    <n v="3303.16"/>
    <s v="Paid"/>
    <x v="2"/>
    <n v="30"/>
    <n v="0"/>
    <x v="0"/>
  </r>
  <r>
    <s v="AP-INV-5479"/>
    <s v="VEN-04"/>
    <d v="2026-07-30T00:00:00"/>
    <d v="2026-08-29T00:00:00"/>
    <n v="6241.32"/>
    <s v="Paid"/>
    <x v="1"/>
    <n v="30"/>
    <n v="0"/>
    <x v="0"/>
  </r>
  <r>
    <s v="AP-INV-5438"/>
    <s v="VEN-02"/>
    <d v="2026-08-02T00:00:00"/>
    <d v="2026-09-01T00:00:00"/>
    <n v="18547.37"/>
    <s v="Paid"/>
    <x v="3"/>
    <n v="30"/>
    <n v="0"/>
    <x v="0"/>
  </r>
  <r>
    <s v="AP-INV-5261"/>
    <s v="VEN-04"/>
    <d v="2026-08-06T00:00:00"/>
    <d v="2026-09-05T00:00:00"/>
    <n v="12299.93"/>
    <s v="Paid"/>
    <x v="1"/>
    <n v="30"/>
    <n v="0"/>
    <x v="0"/>
  </r>
  <r>
    <s v="AP-INV-5407"/>
    <s v="VEN-02"/>
    <d v="2026-08-10T00:00:00"/>
    <d v="2026-09-09T00:00:00"/>
    <n v="1227.6600000000001"/>
    <s v="Paid"/>
    <x v="3"/>
    <n v="30"/>
    <n v="0"/>
    <x v="0"/>
  </r>
  <r>
    <s v="AP-INV-5199"/>
    <s v="VEN-05"/>
    <d v="2026-08-12T00:00:00"/>
    <d v="2026-09-11T00:00:00"/>
    <n v="17130.82"/>
    <s v="Paid"/>
    <x v="2"/>
    <n v="30"/>
    <n v="0"/>
    <x v="0"/>
  </r>
  <r>
    <s v="AP-INV-5228"/>
    <s v="VEN-04"/>
    <d v="2026-08-14T00:00:00"/>
    <d v="2026-09-13T00:00:00"/>
    <n v="19359.96"/>
    <s v="Paid"/>
    <x v="1"/>
    <n v="30"/>
    <n v="0"/>
    <x v="0"/>
  </r>
  <r>
    <s v="AP-INV-5239"/>
    <s v="VEN-02"/>
    <d v="2026-08-16T00:00:00"/>
    <d v="2026-09-15T00:00:00"/>
    <n v="15681.57"/>
    <s v="Paid"/>
    <x v="3"/>
    <n v="30"/>
    <n v="0"/>
    <x v="0"/>
  </r>
  <r>
    <s v="AP-INV-5338"/>
    <s v="VEN-05"/>
    <d v="2026-08-18T00:00:00"/>
    <d v="2026-09-17T00:00:00"/>
    <n v="17978.419999999998"/>
    <s v="Paid"/>
    <x v="2"/>
    <n v="30"/>
    <n v="0"/>
    <x v="0"/>
  </r>
  <r>
    <s v="AP-INV-5410"/>
    <s v="VEN-01"/>
    <d v="2026-08-18T00:00:00"/>
    <d v="2026-09-17T00:00:00"/>
    <n v="16743.03"/>
    <s v="Paid"/>
    <x v="5"/>
    <n v="30"/>
    <n v="0"/>
    <x v="0"/>
  </r>
  <r>
    <s v="AP-INV-5086"/>
    <s v="VEN-06"/>
    <d v="2026-08-19T00:00:00"/>
    <d v="2026-09-18T00:00:00"/>
    <n v="13244.08"/>
    <s v="Paid"/>
    <x v="0"/>
    <n v="30"/>
    <n v="0"/>
    <x v="0"/>
  </r>
  <r>
    <s v="AP-INV-5499"/>
    <s v="VEN-05"/>
    <d v="2026-08-22T00:00:00"/>
    <d v="2026-09-21T00:00:00"/>
    <n v="3024.54"/>
    <s v="Unpaid"/>
    <x v="2"/>
    <n v="30"/>
    <n v="3024.54"/>
    <x v="1"/>
  </r>
  <r>
    <s v="AP-INV-5488"/>
    <s v="VEN-04"/>
    <d v="2026-08-24T00:00:00"/>
    <d v="2026-09-23T00:00:00"/>
    <n v="1017.74"/>
    <s v="Unpaid"/>
    <x v="1"/>
    <n v="30"/>
    <n v="1017.74"/>
    <x v="1"/>
  </r>
  <r>
    <s v="AP-INV-5453"/>
    <s v="VEN-03"/>
    <d v="2026-08-25T00:00:00"/>
    <d v="2026-09-24T00:00:00"/>
    <n v="17979.810000000001"/>
    <s v="Unpaid"/>
    <x v="4"/>
    <n v="30"/>
    <n v="17979.810000000001"/>
    <x v="1"/>
  </r>
  <r>
    <s v="AP-INV-5489"/>
    <s v="VEN-06"/>
    <d v="2026-09-03T00:00:00"/>
    <d v="2026-10-03T00:00:00"/>
    <n v="13656.14"/>
    <s v="Unpaid"/>
    <x v="0"/>
    <n v="30"/>
    <n v="13656.14"/>
    <x v="1"/>
  </r>
  <r>
    <s v="AP-INV-5274"/>
    <s v="VEN-06"/>
    <d v="2026-09-11T00:00:00"/>
    <d v="2026-10-11T00:00:00"/>
    <n v="17432.650000000001"/>
    <s v="Paid"/>
    <x v="0"/>
    <n v="30"/>
    <n v="0"/>
    <x v="0"/>
  </r>
  <r>
    <s v="AP-INV-5171"/>
    <s v="VEN-02"/>
    <d v="2026-09-12T00:00:00"/>
    <d v="2026-10-12T00:00:00"/>
    <n v="9741.84"/>
    <s v="Paid"/>
    <x v="3"/>
    <n v="30"/>
    <n v="0"/>
    <x v="0"/>
  </r>
  <r>
    <s v="AP-INV-5482"/>
    <s v="VEN-02"/>
    <d v="2026-09-19T00:00:00"/>
    <d v="2026-10-19T00:00:00"/>
    <n v="2396.5100000000002"/>
    <s v="Paid"/>
    <x v="3"/>
    <n v="30"/>
    <n v="0"/>
    <x v="0"/>
  </r>
  <r>
    <s v="AP-INV-5125"/>
    <s v="VEN-03"/>
    <d v="2026-09-21T00:00:00"/>
    <d v="2026-10-21T00:00:00"/>
    <n v="5029.54"/>
    <s v="Paid"/>
    <x v="4"/>
    <n v="30"/>
    <n v="0"/>
    <x v="0"/>
  </r>
  <r>
    <s v="AP-INV-5379"/>
    <s v="VEN-05"/>
    <d v="2026-09-29T00:00:00"/>
    <d v="2026-10-29T00:00:00"/>
    <n v="11640.44"/>
    <s v="Unpaid"/>
    <x v="2"/>
    <n v="30"/>
    <n v="11640.44"/>
    <x v="2"/>
  </r>
  <r>
    <s v="AP-INV-5414"/>
    <s v="VEN-02"/>
    <d v="2026-09-30T00:00:00"/>
    <d v="2026-10-30T00:00:00"/>
    <n v="11675.13"/>
    <s v="Paid"/>
    <x v="3"/>
    <n v="30"/>
    <n v="0"/>
    <x v="0"/>
  </r>
  <r>
    <s v="AP-INV-5197"/>
    <s v="VEN-02"/>
    <d v="2026-10-01T00:00:00"/>
    <d v="2026-10-31T00:00:00"/>
    <n v="16381.13"/>
    <s v="Paid"/>
    <x v="3"/>
    <n v="30"/>
    <n v="0"/>
    <x v="0"/>
  </r>
  <r>
    <s v="AP-INV-5348"/>
    <s v="VEN-02"/>
    <d v="2026-10-01T00:00:00"/>
    <d v="2026-10-31T00:00:00"/>
    <n v="2645.48"/>
    <s v="Paid"/>
    <x v="3"/>
    <n v="30"/>
    <n v="0"/>
    <x v="0"/>
  </r>
  <r>
    <s v="AP-INV-5462"/>
    <s v="VEN-03"/>
    <d v="2026-10-01T00:00:00"/>
    <d v="2026-10-31T00:00:00"/>
    <n v="12627.04"/>
    <s v="Paid"/>
    <x v="4"/>
    <n v="30"/>
    <n v="0"/>
    <x v="0"/>
  </r>
  <r>
    <s v="AP-INV-5011"/>
    <s v="VEN-03"/>
    <d v="2026-10-02T00:00:00"/>
    <d v="2026-11-01T00:00:00"/>
    <n v="9358.0499999999993"/>
    <s v="Paid"/>
    <x v="4"/>
    <n v="30"/>
    <n v="0"/>
    <x v="0"/>
  </r>
  <r>
    <s v="AP-INV-5012"/>
    <s v="VEN-05"/>
    <d v="2026-10-03T00:00:00"/>
    <d v="2026-11-02T00:00:00"/>
    <n v="3413.43"/>
    <s v="Unpaid"/>
    <x v="2"/>
    <n v="30"/>
    <n v="3413.43"/>
    <x v="2"/>
  </r>
  <r>
    <s v="AP-INV-5306"/>
    <s v="VEN-01"/>
    <d v="2026-10-04T00:00:00"/>
    <d v="2026-11-03T00:00:00"/>
    <n v="2201.91"/>
    <s v="Paid"/>
    <x v="5"/>
    <n v="30"/>
    <n v="0"/>
    <x v="0"/>
  </r>
  <r>
    <s v="AP-INV-5250"/>
    <s v="VEN-03"/>
    <d v="2026-10-05T00:00:00"/>
    <d v="2026-11-04T00:00:00"/>
    <n v="8770.2999999999993"/>
    <s v="Paid"/>
    <x v="4"/>
    <n v="30"/>
    <n v="0"/>
    <x v="0"/>
  </r>
  <r>
    <s v="AP-INV-5436"/>
    <s v="VEN-03"/>
    <d v="2026-10-05T00:00:00"/>
    <d v="2026-11-04T00:00:00"/>
    <n v="18432.560000000001"/>
    <s v="Paid"/>
    <x v="4"/>
    <n v="30"/>
    <n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GL-237"/>
    <n v="44927"/>
    <n v="5010"/>
    <n v="1058.55"/>
    <n v="0"/>
    <s v="COGS for Invoice AP-INV-5060"/>
    <x v="0"/>
    <s v="Expenses"/>
    <n v="1058.55"/>
    <x v="0"/>
    <d v="2023-01-01T00:00:00"/>
  </r>
  <r>
    <s v="GL-238"/>
    <d v="2023-01-01T00:00:00"/>
    <n v="2010"/>
    <n v="0"/>
    <n v="1058.55"/>
    <s v="AP for Invoice AP-INV-5060"/>
    <x v="1"/>
    <s v="Liabilities"/>
    <n v="-1058.55"/>
    <x v="0"/>
    <d v="2023-01-01T00:00:00"/>
  </r>
  <r>
    <s v="GL-1415"/>
    <d v="2023-01-03T00:00:00"/>
    <n v="1200"/>
    <n v="21065.42"/>
    <n v="0"/>
    <s v="AR for Invoice AR-INV-7354"/>
    <x v="2"/>
    <s v="Assets"/>
    <n v="21065.42"/>
    <x v="0"/>
    <d v="2023-01-01T00:00:00"/>
  </r>
  <r>
    <s v="GL-1416"/>
    <d v="2023-01-03T00:00:00"/>
    <n v="4010"/>
    <n v="0"/>
    <n v="21065.42"/>
    <s v="Sales for Invoice AR-INV-7354"/>
    <x v="3"/>
    <s v="Revenue"/>
    <n v="-21065.42"/>
    <x v="0"/>
    <d v="2023-01-01T00:00:00"/>
  </r>
  <r>
    <s v="GL-693"/>
    <d v="2023-01-05T00:00:00"/>
    <n v="5010"/>
    <n v="13354.74"/>
    <n v="0"/>
    <s v="COGS for Invoice AP-INV-5174"/>
    <x v="0"/>
    <s v="Expenses"/>
    <n v="13354.74"/>
    <x v="0"/>
    <d v="2023-01-01T00:00:00"/>
  </r>
  <r>
    <s v="GL-694"/>
    <d v="2023-01-05T00:00:00"/>
    <n v="2010"/>
    <n v="0"/>
    <n v="13354.74"/>
    <s v="AP for Invoice AP-INV-5174"/>
    <x v="1"/>
    <s v="Liabilities"/>
    <n v="-13354.74"/>
    <x v="0"/>
    <d v="2023-01-01T00:00:00"/>
  </r>
  <r>
    <s v="GL-1403"/>
    <d v="2023-01-08T00:00:00"/>
    <n v="1200"/>
    <n v="30481.4"/>
    <n v="0"/>
    <s v="AR for Invoice AR-INV-7351"/>
    <x v="2"/>
    <s v="Assets"/>
    <n v="30481.4"/>
    <x v="0"/>
    <d v="2023-01-01T00:00:00"/>
  </r>
  <r>
    <s v="GL-1404"/>
    <d v="2023-01-08T00:00:00"/>
    <n v="4010"/>
    <n v="0"/>
    <n v="30481.4"/>
    <s v="Sales for Invoice AR-INV-7351"/>
    <x v="3"/>
    <s v="Revenue"/>
    <n v="-30481.4"/>
    <x v="0"/>
    <d v="2023-01-01T00:00:00"/>
  </r>
  <r>
    <s v="GL-399"/>
    <d v="2023-01-14T00:00:00"/>
    <n v="1200"/>
    <n v="7656.71"/>
    <n v="0"/>
    <s v="AR for Invoice AR-INV-7100"/>
    <x v="2"/>
    <s v="Assets"/>
    <n v="7656.71"/>
    <x v="0"/>
    <d v="2023-01-01T00:00:00"/>
  </r>
  <r>
    <s v="GL-400"/>
    <d v="2023-01-14T00:00:00"/>
    <n v="4010"/>
    <n v="0"/>
    <n v="7656.71"/>
    <s v="Sales for Invoice AR-INV-7100"/>
    <x v="3"/>
    <s v="Revenue"/>
    <n v="-7656.71"/>
    <x v="0"/>
    <d v="2023-01-01T00:00:00"/>
  </r>
  <r>
    <s v="GL-869"/>
    <d v="2023-01-15T00:00:00"/>
    <n v="5010"/>
    <n v="3675.59"/>
    <n v="0"/>
    <s v="COGS for Invoice AP-INV-5218"/>
    <x v="0"/>
    <s v="Expenses"/>
    <n v="3675.59"/>
    <x v="0"/>
    <d v="2023-01-01T00:00:00"/>
  </r>
  <r>
    <s v="GL-870"/>
    <d v="2023-01-15T00:00:00"/>
    <n v="2010"/>
    <n v="0"/>
    <n v="3675.59"/>
    <s v="AP for Invoice AP-INV-5218"/>
    <x v="1"/>
    <s v="Liabilities"/>
    <n v="-3675.59"/>
    <x v="0"/>
    <d v="2023-01-01T00:00:00"/>
  </r>
  <r>
    <s v="GL-1957"/>
    <d v="2023-01-16T00:00:00"/>
    <n v="5010"/>
    <n v="19483.96"/>
    <n v="0"/>
    <s v="COGS for Invoice AP-INV-5490"/>
    <x v="0"/>
    <s v="Expenses"/>
    <n v="19483.96"/>
    <x v="0"/>
    <d v="2023-01-01T00:00:00"/>
  </r>
  <r>
    <s v="GL-1958"/>
    <d v="2023-01-16T00:00:00"/>
    <n v="2010"/>
    <n v="0"/>
    <n v="19483.96"/>
    <s v="AP for Invoice AP-INV-5490"/>
    <x v="1"/>
    <s v="Liabilities"/>
    <n v="-19483.96"/>
    <x v="0"/>
    <d v="2023-01-01T00:00:00"/>
  </r>
  <r>
    <s v="GL-1375"/>
    <d v="2023-01-17T00:00:00"/>
    <n v="1200"/>
    <n v="17667.78"/>
    <n v="0"/>
    <s v="AR for Invoice AR-INV-7344"/>
    <x v="2"/>
    <s v="Assets"/>
    <n v="17667.78"/>
    <x v="0"/>
    <d v="2023-01-01T00:00:00"/>
  </r>
  <r>
    <s v="GL-1376"/>
    <d v="2023-01-17T00:00:00"/>
    <n v="4010"/>
    <n v="0"/>
    <n v="17667.78"/>
    <s v="Sales for Invoice AR-INV-7344"/>
    <x v="3"/>
    <s v="Revenue"/>
    <n v="-17667.78"/>
    <x v="0"/>
    <d v="2023-01-01T00:00:00"/>
  </r>
  <r>
    <s v="GL-453"/>
    <d v="2023-01-17T00:00:00"/>
    <n v="5010"/>
    <n v="1983.3"/>
    <n v="0"/>
    <s v="COGS for Invoice AP-INV-5114"/>
    <x v="0"/>
    <s v="Expenses"/>
    <n v="1983.3"/>
    <x v="0"/>
    <d v="2023-01-01T00:00:00"/>
  </r>
  <r>
    <s v="GL-454"/>
    <d v="2023-01-17T00:00:00"/>
    <n v="2010"/>
    <n v="0"/>
    <n v="1983.3"/>
    <s v="AP for Invoice AP-INV-5114"/>
    <x v="1"/>
    <s v="Liabilities"/>
    <n v="-1983.3"/>
    <x v="0"/>
    <d v="2023-01-01T00:00:00"/>
  </r>
  <r>
    <s v="GL-1373"/>
    <d v="2023-01-19T00:00:00"/>
    <n v="5010"/>
    <n v="8486.36"/>
    <n v="0"/>
    <s v="COGS for Invoice AP-INV-5344"/>
    <x v="0"/>
    <s v="Expenses"/>
    <n v="8486.36"/>
    <x v="0"/>
    <d v="2023-01-01T00:00:00"/>
  </r>
  <r>
    <s v="GL-1374"/>
    <d v="2023-01-19T00:00:00"/>
    <n v="2010"/>
    <n v="0"/>
    <n v="8486.36"/>
    <s v="AP for Invoice AP-INV-5344"/>
    <x v="1"/>
    <s v="Liabilities"/>
    <n v="-8486.36"/>
    <x v="0"/>
    <d v="2023-01-01T00:00:00"/>
  </r>
  <r>
    <s v="GL-465"/>
    <d v="2023-01-20T00:00:00"/>
    <n v="5010"/>
    <n v="16861.39"/>
    <n v="0"/>
    <s v="COGS for Invoice AP-INV-5117"/>
    <x v="0"/>
    <s v="Expenses"/>
    <n v="16861.39"/>
    <x v="0"/>
    <d v="2023-01-01T00:00:00"/>
  </r>
  <r>
    <s v="GL-466"/>
    <d v="2023-01-20T00:00:00"/>
    <n v="2010"/>
    <n v="0"/>
    <n v="16861.39"/>
    <s v="AP for Invoice AP-INV-5117"/>
    <x v="1"/>
    <s v="Liabilities"/>
    <n v="-16861.39"/>
    <x v="0"/>
    <d v="2023-01-01T00:00:00"/>
  </r>
  <r>
    <s v="GL-1337"/>
    <d v="2023-01-21T00:00:00"/>
    <n v="5010"/>
    <n v="15098.49"/>
    <n v="0"/>
    <s v="COGS for Invoice AP-INV-5335"/>
    <x v="0"/>
    <s v="Expenses"/>
    <n v="15098.49"/>
    <x v="0"/>
    <d v="2023-01-01T00:00:00"/>
  </r>
  <r>
    <s v="GL-1338"/>
    <d v="2023-01-21T00:00:00"/>
    <n v="2010"/>
    <n v="0"/>
    <n v="15098.49"/>
    <s v="AP for Invoice AP-INV-5335"/>
    <x v="1"/>
    <s v="Liabilities"/>
    <n v="-15098.49"/>
    <x v="0"/>
    <d v="2023-01-01T00:00:00"/>
  </r>
  <r>
    <s v="GL-317"/>
    <d v="2023-01-21T00:00:00"/>
    <n v="5010"/>
    <n v="7921.86"/>
    <n v="0"/>
    <s v="COGS for Invoice AP-INV-5080"/>
    <x v="0"/>
    <s v="Expenses"/>
    <n v="7921.86"/>
    <x v="0"/>
    <d v="2023-01-01T00:00:00"/>
  </r>
  <r>
    <s v="GL-318"/>
    <d v="2023-01-21T00:00:00"/>
    <n v="2010"/>
    <n v="0"/>
    <n v="7921.86"/>
    <s v="AP for Invoice AP-INV-5080"/>
    <x v="1"/>
    <s v="Liabilities"/>
    <n v="-7921.86"/>
    <x v="0"/>
    <d v="2023-01-01T00:00:00"/>
  </r>
  <r>
    <s v="GL-7"/>
    <d v="2023-01-21T00:00:00"/>
    <n v="1200"/>
    <n v="28680.04"/>
    <n v="0"/>
    <s v="AR for Invoice AR-INV-7002"/>
    <x v="2"/>
    <s v="Assets"/>
    <n v="28680.04"/>
    <x v="0"/>
    <d v="2023-01-01T00:00:00"/>
  </r>
  <r>
    <s v="GL-8"/>
    <d v="2023-01-21T00:00:00"/>
    <n v="4010"/>
    <n v="0"/>
    <n v="28680.04"/>
    <s v="Sales for Invoice AR-INV-7002"/>
    <x v="3"/>
    <s v="Revenue"/>
    <n v="-28680.04"/>
    <x v="0"/>
    <d v="2023-01-01T00:00:00"/>
  </r>
  <r>
    <s v="GL-269"/>
    <d v="2023-01-22T00:00:00"/>
    <n v="5010"/>
    <n v="4687.8500000000004"/>
    <n v="0"/>
    <s v="COGS for Invoice AP-INV-5068"/>
    <x v="0"/>
    <s v="Expenses"/>
    <n v="4687.8500000000004"/>
    <x v="0"/>
    <d v="2023-01-01T00:00:00"/>
  </r>
  <r>
    <s v="GL-270"/>
    <d v="2023-01-22T00:00:00"/>
    <n v="2010"/>
    <n v="0"/>
    <n v="4687.8500000000004"/>
    <s v="AP for Invoice AP-INV-5068"/>
    <x v="1"/>
    <s v="Liabilities"/>
    <n v="-4687.8500000000004"/>
    <x v="0"/>
    <d v="2023-01-01T00:00:00"/>
  </r>
  <r>
    <s v="GL-827"/>
    <d v="2023-01-24T00:00:00"/>
    <n v="1200"/>
    <n v="36291.51"/>
    <n v="0"/>
    <s v="AR for Invoice AR-INV-7207"/>
    <x v="2"/>
    <s v="Assets"/>
    <n v="36291.51"/>
    <x v="0"/>
    <d v="2023-01-01T00:00:00"/>
  </r>
  <r>
    <s v="GL-828"/>
    <d v="2023-01-24T00:00:00"/>
    <n v="4010"/>
    <n v="0"/>
    <n v="36291.51"/>
    <s v="Sales for Invoice AR-INV-7207"/>
    <x v="3"/>
    <s v="Revenue"/>
    <n v="-36291.51"/>
    <x v="0"/>
    <d v="2023-01-01T00:00:00"/>
  </r>
  <r>
    <s v="GL-1445"/>
    <d v="2023-01-25T00:00:00"/>
    <n v="5010"/>
    <n v="8003.06"/>
    <n v="0"/>
    <s v="COGS for Invoice AP-INV-5362"/>
    <x v="0"/>
    <s v="Expenses"/>
    <n v="8003.06"/>
    <x v="0"/>
    <d v="2023-01-01T00:00:00"/>
  </r>
  <r>
    <s v="GL-1446"/>
    <d v="2023-01-25T00:00:00"/>
    <n v="2010"/>
    <n v="0"/>
    <n v="8003.06"/>
    <s v="AP for Invoice AP-INV-5362"/>
    <x v="1"/>
    <s v="Liabilities"/>
    <n v="-8003.06"/>
    <x v="0"/>
    <d v="2023-01-01T00:00:00"/>
  </r>
  <r>
    <s v="GL-613"/>
    <d v="2023-01-25T00:00:00"/>
    <n v="5010"/>
    <n v="3203.42"/>
    <n v="0"/>
    <s v="COGS for Invoice AP-INV-5154"/>
    <x v="0"/>
    <s v="Expenses"/>
    <n v="3203.42"/>
    <x v="0"/>
    <d v="2023-01-01T00:00:00"/>
  </r>
  <r>
    <s v="GL-614"/>
    <d v="2023-01-25T00:00:00"/>
    <n v="2010"/>
    <n v="0"/>
    <n v="3203.42"/>
    <s v="AP for Invoice AP-INV-5154"/>
    <x v="1"/>
    <s v="Liabilities"/>
    <n v="-3203.42"/>
    <x v="0"/>
    <d v="2023-01-01T00:00:00"/>
  </r>
  <r>
    <s v="GL-707"/>
    <d v="2023-01-26T00:00:00"/>
    <n v="1200"/>
    <n v="25665.01"/>
    <n v="0"/>
    <s v="AR for Invoice AR-INV-7177"/>
    <x v="2"/>
    <s v="Assets"/>
    <n v="25665.01"/>
    <x v="0"/>
    <d v="2023-01-01T00:00:00"/>
  </r>
  <r>
    <s v="GL-708"/>
    <d v="2023-01-26T00:00:00"/>
    <n v="4010"/>
    <n v="0"/>
    <n v="25665.01"/>
    <s v="Sales for Invoice AR-INV-7177"/>
    <x v="3"/>
    <s v="Revenue"/>
    <n v="-25665.01"/>
    <x v="0"/>
    <d v="2023-01-01T00:00:00"/>
  </r>
  <r>
    <s v="GL-1211"/>
    <d v="2023-01-27T00:00:00"/>
    <n v="1200"/>
    <n v="39798.97"/>
    <n v="0"/>
    <s v="AR for Invoice AR-INV-7303"/>
    <x v="2"/>
    <s v="Assets"/>
    <n v="39798.97"/>
    <x v="0"/>
    <d v="2023-01-01T00:00:00"/>
  </r>
  <r>
    <s v="GL-1212"/>
    <d v="2023-01-27T00:00:00"/>
    <n v="4010"/>
    <n v="0"/>
    <n v="39798.97"/>
    <s v="Sales for Invoice AR-INV-7303"/>
    <x v="3"/>
    <s v="Revenue"/>
    <n v="-39798.97"/>
    <x v="0"/>
    <d v="2023-01-01T00:00:00"/>
  </r>
  <r>
    <s v="GL-91"/>
    <d v="2023-01-29T00:00:00"/>
    <n v="1200"/>
    <n v="17826.97"/>
    <n v="0"/>
    <s v="AR for Invoice AR-INV-7023"/>
    <x v="2"/>
    <s v="Assets"/>
    <n v="17826.97"/>
    <x v="0"/>
    <d v="2023-01-01T00:00:00"/>
  </r>
  <r>
    <s v="GL-92"/>
    <d v="2023-01-29T00:00:00"/>
    <n v="4010"/>
    <n v="0"/>
    <n v="17826.97"/>
    <s v="Sales for Invoice AR-INV-7023"/>
    <x v="3"/>
    <s v="Revenue"/>
    <n v="-17826.97"/>
    <x v="0"/>
    <d v="2023-01-01T00:00:00"/>
  </r>
  <r>
    <s v="GL-797"/>
    <d v="2023-02-03T00:00:00"/>
    <n v="5010"/>
    <n v="1651.55"/>
    <n v="0"/>
    <s v="COGS for Invoice AP-INV-5200"/>
    <x v="0"/>
    <s v="Expenses"/>
    <n v="1651.55"/>
    <x v="0"/>
    <d v="2023-02-01T00:00:00"/>
  </r>
  <r>
    <s v="GL-798"/>
    <d v="2023-02-03T00:00:00"/>
    <n v="2010"/>
    <n v="0"/>
    <n v="1651.55"/>
    <s v="AP for Invoice AP-INV-5200"/>
    <x v="1"/>
    <s v="Liabilities"/>
    <n v="-1651.55"/>
    <x v="0"/>
    <d v="2023-02-01T00:00:00"/>
  </r>
  <r>
    <s v="GL-821"/>
    <d v="2023-02-03T00:00:00"/>
    <n v="5010"/>
    <n v="17401.39"/>
    <n v="0"/>
    <s v="COGS for Invoice AP-INV-5206"/>
    <x v="0"/>
    <s v="Expenses"/>
    <n v="17401.39"/>
    <x v="0"/>
    <d v="2023-02-01T00:00:00"/>
  </r>
  <r>
    <s v="GL-822"/>
    <d v="2023-02-03T00:00:00"/>
    <n v="2010"/>
    <n v="0"/>
    <n v="17401.39"/>
    <s v="AP for Invoice AP-INV-5206"/>
    <x v="1"/>
    <s v="Liabilities"/>
    <n v="-17401.39"/>
    <x v="0"/>
    <d v="2023-02-01T00:00:00"/>
  </r>
  <r>
    <s v="GL-53"/>
    <d v="2023-02-05T00:00:00"/>
    <n v="5010"/>
    <n v="11504.91"/>
    <n v="0"/>
    <s v="COGS for Invoice AP-INV-5014"/>
    <x v="0"/>
    <s v="Expenses"/>
    <n v="11504.91"/>
    <x v="0"/>
    <d v="2023-02-01T00:00:00"/>
  </r>
  <r>
    <s v="GL-54"/>
    <d v="2023-02-05T00:00:00"/>
    <n v="2010"/>
    <n v="0"/>
    <n v="11504.91"/>
    <s v="AP for Invoice AP-INV-5014"/>
    <x v="1"/>
    <s v="Liabilities"/>
    <n v="-11504.91"/>
    <x v="0"/>
    <d v="2023-02-01T00:00:00"/>
  </r>
  <r>
    <s v="GL-747"/>
    <d v="2023-02-05T00:00:00"/>
    <n v="1200"/>
    <n v="33727.589999999997"/>
    <n v="0"/>
    <s v="AR for Invoice AR-INV-7187"/>
    <x v="2"/>
    <s v="Assets"/>
    <n v="33727.589999999997"/>
    <x v="0"/>
    <d v="2023-02-01T00:00:00"/>
  </r>
  <r>
    <s v="GL-748"/>
    <d v="2023-02-05T00:00:00"/>
    <n v="4010"/>
    <n v="0"/>
    <n v="33727.589999999997"/>
    <s v="Sales for Invoice AR-INV-7187"/>
    <x v="3"/>
    <s v="Revenue"/>
    <n v="-33727.589999999997"/>
    <x v="0"/>
    <d v="2023-02-01T00:00:00"/>
  </r>
  <r>
    <s v="GL-1463"/>
    <d v="2023-02-08T00:00:00"/>
    <n v="1200"/>
    <n v="2970.39"/>
    <n v="0"/>
    <s v="AR for Invoice AR-INV-7366"/>
    <x v="2"/>
    <s v="Assets"/>
    <n v="2970.39"/>
    <x v="0"/>
    <d v="2023-02-01T00:00:00"/>
  </r>
  <r>
    <s v="GL-1464"/>
    <d v="2023-02-08T00:00:00"/>
    <n v="4010"/>
    <n v="0"/>
    <n v="2970.39"/>
    <s v="Sales for Invoice AR-INV-7366"/>
    <x v="3"/>
    <s v="Revenue"/>
    <n v="-2970.39"/>
    <x v="0"/>
    <d v="2023-02-01T00:00:00"/>
  </r>
  <r>
    <s v="GL-1761"/>
    <d v="2023-02-08T00:00:00"/>
    <n v="5010"/>
    <n v="14272.04"/>
    <n v="0"/>
    <s v="COGS for Invoice AP-INV-5441"/>
    <x v="0"/>
    <s v="Expenses"/>
    <n v="14272.04"/>
    <x v="0"/>
    <d v="2023-02-01T00:00:00"/>
  </r>
  <r>
    <s v="GL-1762"/>
    <d v="2023-02-08T00:00:00"/>
    <n v="2010"/>
    <n v="0"/>
    <n v="14272.04"/>
    <s v="AP for Invoice AP-INV-5441"/>
    <x v="1"/>
    <s v="Liabilities"/>
    <n v="-14272.04"/>
    <x v="0"/>
    <d v="2023-02-01T00:00:00"/>
  </r>
  <r>
    <s v="GL-235"/>
    <d v="2023-02-08T00:00:00"/>
    <n v="1200"/>
    <n v="32901.919999999998"/>
    <n v="0"/>
    <s v="AR for Invoice AR-INV-7059"/>
    <x v="2"/>
    <s v="Assets"/>
    <n v="32901.919999999998"/>
    <x v="0"/>
    <d v="2023-02-01T00:00:00"/>
  </r>
  <r>
    <s v="GL-236"/>
    <d v="2023-02-08T00:00:00"/>
    <n v="4010"/>
    <n v="0"/>
    <n v="32901.919999999998"/>
    <s v="Sales for Invoice AR-INV-7059"/>
    <x v="3"/>
    <s v="Revenue"/>
    <n v="-32901.919999999998"/>
    <x v="0"/>
    <d v="2023-02-01T00:00:00"/>
  </r>
  <r>
    <s v="GL-653"/>
    <d v="2023-02-08T00:00:00"/>
    <n v="5010"/>
    <n v="13042.47"/>
    <n v="0"/>
    <s v="COGS for Invoice AP-INV-5164"/>
    <x v="0"/>
    <s v="Expenses"/>
    <n v="13042.47"/>
    <x v="0"/>
    <d v="2023-02-01T00:00:00"/>
  </r>
  <r>
    <s v="GL-654"/>
    <d v="2023-02-08T00:00:00"/>
    <n v="2010"/>
    <n v="0"/>
    <n v="13042.47"/>
    <s v="AP for Invoice AP-INV-5164"/>
    <x v="1"/>
    <s v="Liabilities"/>
    <n v="-13042.47"/>
    <x v="0"/>
    <d v="2023-02-01T00:00:00"/>
  </r>
  <r>
    <s v="GL-1447"/>
    <d v="2023-02-14T00:00:00"/>
    <n v="1200"/>
    <n v="25020.080000000002"/>
    <n v="0"/>
    <s v="AR for Invoice AR-INV-7362"/>
    <x v="2"/>
    <s v="Assets"/>
    <n v="25020.080000000002"/>
    <x v="0"/>
    <d v="2023-02-01T00:00:00"/>
  </r>
  <r>
    <s v="GL-1448"/>
    <d v="2023-02-14T00:00:00"/>
    <n v="4010"/>
    <n v="0"/>
    <n v="25020.080000000002"/>
    <s v="Sales for Invoice AR-INV-7362"/>
    <x v="3"/>
    <s v="Revenue"/>
    <n v="-25020.080000000002"/>
    <x v="0"/>
    <d v="2023-02-01T00:00:00"/>
  </r>
  <r>
    <s v="GL-169"/>
    <d v="2023-02-14T00:00:00"/>
    <n v="5010"/>
    <n v="17151.28"/>
    <n v="0"/>
    <s v="COGS for Invoice AP-INV-5043"/>
    <x v="0"/>
    <s v="Expenses"/>
    <n v="17151.28"/>
    <x v="0"/>
    <d v="2023-02-01T00:00:00"/>
  </r>
  <r>
    <s v="GL-170"/>
    <d v="2023-02-14T00:00:00"/>
    <n v="2010"/>
    <n v="0"/>
    <n v="17151.28"/>
    <s v="AP for Invoice AP-INV-5043"/>
    <x v="1"/>
    <s v="Liabilities"/>
    <n v="-17151.28"/>
    <x v="0"/>
    <d v="2023-02-01T00:00:00"/>
  </r>
  <r>
    <s v="GL-1983"/>
    <d v="2023-02-14T00:00:00"/>
    <n v="1200"/>
    <n v="48874.99"/>
    <n v="0"/>
    <s v="AR for Invoice AR-INV-7496"/>
    <x v="2"/>
    <s v="Assets"/>
    <n v="48874.99"/>
    <x v="0"/>
    <d v="2023-02-01T00:00:00"/>
  </r>
  <r>
    <s v="GL-1984"/>
    <d v="2023-02-14T00:00:00"/>
    <n v="4010"/>
    <n v="0"/>
    <n v="48874.99"/>
    <s v="Sales for Invoice AR-INV-7496"/>
    <x v="3"/>
    <s v="Revenue"/>
    <n v="-48874.99"/>
    <x v="0"/>
    <d v="2023-02-01T00:00:00"/>
  </r>
  <r>
    <s v="GL-1395"/>
    <d v="2023-02-17T00:00:00"/>
    <n v="1200"/>
    <n v="32589.05"/>
    <n v="0"/>
    <s v="AR for Invoice AR-INV-7349"/>
    <x v="2"/>
    <s v="Assets"/>
    <n v="32589.05"/>
    <x v="0"/>
    <d v="2023-02-01T00:00:00"/>
  </r>
  <r>
    <s v="GL-1396"/>
    <d v="2023-02-17T00:00:00"/>
    <n v="4010"/>
    <n v="0"/>
    <n v="32589.05"/>
    <s v="Sales for Invoice AR-INV-7349"/>
    <x v="3"/>
    <s v="Revenue"/>
    <n v="-32589.05"/>
    <x v="0"/>
    <d v="2023-02-01T00:00:00"/>
  </r>
  <r>
    <s v="GL-1915"/>
    <d v="2023-02-17T00:00:00"/>
    <n v="1200"/>
    <n v="39239.949999999997"/>
    <n v="0"/>
    <s v="AR for Invoice AR-INV-7479"/>
    <x v="2"/>
    <s v="Assets"/>
    <n v="39239.949999999997"/>
    <x v="0"/>
    <d v="2023-02-01T00:00:00"/>
  </r>
  <r>
    <s v="GL-1916"/>
    <d v="2023-02-17T00:00:00"/>
    <n v="4010"/>
    <n v="0"/>
    <n v="39239.949999999997"/>
    <s v="Sales for Invoice AR-INV-7479"/>
    <x v="3"/>
    <s v="Revenue"/>
    <n v="-39239.949999999997"/>
    <x v="0"/>
    <d v="2023-02-01T00:00:00"/>
  </r>
  <r>
    <s v="GL-1977"/>
    <d v="2023-02-17T00:00:00"/>
    <n v="5010"/>
    <n v="12004.08"/>
    <n v="0"/>
    <s v="COGS for Invoice AP-INV-5495"/>
    <x v="0"/>
    <s v="Expenses"/>
    <n v="12004.08"/>
    <x v="0"/>
    <d v="2023-02-01T00:00:00"/>
  </r>
  <r>
    <s v="GL-1978"/>
    <d v="2023-02-17T00:00:00"/>
    <n v="2010"/>
    <n v="0"/>
    <n v="12004.08"/>
    <s v="AP for Invoice AP-INV-5495"/>
    <x v="1"/>
    <s v="Liabilities"/>
    <n v="-12004.08"/>
    <x v="0"/>
    <d v="2023-02-01T00:00:00"/>
  </r>
  <r>
    <s v="GL-123"/>
    <d v="2023-02-19T00:00:00"/>
    <n v="1200"/>
    <n v="13820.52"/>
    <n v="0"/>
    <s v="AR for Invoice AR-INV-7031"/>
    <x v="2"/>
    <s v="Assets"/>
    <n v="13820.52"/>
    <x v="0"/>
    <d v="2023-02-01T00:00:00"/>
  </r>
  <r>
    <s v="GL-124"/>
    <d v="2023-02-19T00:00:00"/>
    <n v="4010"/>
    <n v="0"/>
    <n v="13820.52"/>
    <s v="Sales for Invoice AR-INV-7031"/>
    <x v="3"/>
    <s v="Revenue"/>
    <n v="-13820.52"/>
    <x v="0"/>
    <d v="2023-02-01T00:00:00"/>
  </r>
  <r>
    <s v="GL-337"/>
    <d v="2023-02-20T00:00:00"/>
    <n v="5010"/>
    <n v="7157.36"/>
    <n v="0"/>
    <s v="COGS for Invoice AP-INV-5085"/>
    <x v="0"/>
    <s v="Expenses"/>
    <n v="7157.36"/>
    <x v="0"/>
    <d v="2023-02-01T00:00:00"/>
  </r>
  <r>
    <s v="GL-338"/>
    <d v="2023-02-20T00:00:00"/>
    <n v="2010"/>
    <n v="0"/>
    <n v="7157.36"/>
    <s v="AP for Invoice AP-INV-5085"/>
    <x v="1"/>
    <s v="Liabilities"/>
    <n v="-7157.36"/>
    <x v="0"/>
    <d v="2023-02-01T00:00:00"/>
  </r>
  <r>
    <s v="GL-1737"/>
    <d v="2023-02-25T00:00:00"/>
    <n v="5010"/>
    <n v="9840.08"/>
    <n v="0"/>
    <s v="COGS for Invoice AP-INV-5435"/>
    <x v="0"/>
    <s v="Expenses"/>
    <n v="9840.08"/>
    <x v="0"/>
    <d v="2023-02-01T00:00:00"/>
  </r>
  <r>
    <s v="GL-1738"/>
    <d v="2023-02-25T00:00:00"/>
    <n v="2010"/>
    <n v="0"/>
    <n v="9840.08"/>
    <s v="AP for Invoice AP-INV-5435"/>
    <x v="1"/>
    <s v="Liabilities"/>
    <n v="-9840.08"/>
    <x v="0"/>
    <d v="2023-02-01T00:00:00"/>
  </r>
  <r>
    <s v="GL-573"/>
    <d v="2023-02-25T00:00:00"/>
    <n v="5010"/>
    <n v="6875.49"/>
    <n v="0"/>
    <s v="COGS for Invoice AP-INV-5144"/>
    <x v="0"/>
    <s v="Expenses"/>
    <n v="6875.49"/>
    <x v="0"/>
    <d v="2023-02-01T00:00:00"/>
  </r>
  <r>
    <s v="GL-574"/>
    <d v="2023-02-25T00:00:00"/>
    <n v="2010"/>
    <n v="0"/>
    <n v="6875.49"/>
    <s v="AP for Invoice AP-INV-5144"/>
    <x v="1"/>
    <s v="Liabilities"/>
    <n v="-6875.49"/>
    <x v="0"/>
    <d v="2023-02-01T00:00:00"/>
  </r>
  <r>
    <s v="GL-1461"/>
    <d v="2023-02-26T00:00:00"/>
    <n v="5010"/>
    <n v="11608.94"/>
    <n v="0"/>
    <s v="COGS for Invoice AP-INV-5366"/>
    <x v="0"/>
    <s v="Expenses"/>
    <n v="11608.94"/>
    <x v="0"/>
    <d v="2023-02-01T00:00:00"/>
  </r>
  <r>
    <s v="GL-1462"/>
    <d v="2023-02-26T00:00:00"/>
    <n v="2010"/>
    <n v="0"/>
    <n v="11608.94"/>
    <s v="AP for Invoice AP-INV-5366"/>
    <x v="1"/>
    <s v="Liabilities"/>
    <n v="-11608.94"/>
    <x v="0"/>
    <d v="2023-02-01T00:00:00"/>
  </r>
  <r>
    <s v="GL-1153"/>
    <d v="2023-02-27T00:00:00"/>
    <n v="5010"/>
    <n v="17524.23"/>
    <n v="0"/>
    <s v="COGS for Invoice AP-INV-5289"/>
    <x v="0"/>
    <s v="Expenses"/>
    <n v="17524.23"/>
    <x v="0"/>
    <d v="2023-02-01T00:00:00"/>
  </r>
  <r>
    <s v="GL-1154"/>
    <d v="2023-02-27T00:00:00"/>
    <n v="2010"/>
    <n v="0"/>
    <n v="17524.23"/>
    <s v="AP for Invoice AP-INV-5289"/>
    <x v="1"/>
    <s v="Liabilities"/>
    <n v="-17524.23"/>
    <x v="0"/>
    <d v="2023-02-01T00:00:00"/>
  </r>
  <r>
    <s v="GL-11"/>
    <d v="2023-02-28T00:00:00"/>
    <n v="1200"/>
    <n v="32543.62"/>
    <n v="0"/>
    <s v="AR for Invoice AR-INV-7003"/>
    <x v="2"/>
    <s v="Assets"/>
    <n v="32543.62"/>
    <x v="0"/>
    <d v="2023-02-01T00:00:00"/>
  </r>
  <r>
    <s v="GL-12"/>
    <d v="2023-02-28T00:00:00"/>
    <n v="4010"/>
    <n v="0"/>
    <n v="32543.62"/>
    <s v="Sales for Invoice AR-INV-7003"/>
    <x v="3"/>
    <s v="Revenue"/>
    <n v="-32543.62"/>
    <x v="0"/>
    <d v="2023-02-01T00:00:00"/>
  </r>
  <r>
    <s v="GL-933"/>
    <d v="2023-02-28T00:00:00"/>
    <n v="5010"/>
    <n v="5469.68"/>
    <n v="0"/>
    <s v="COGS for Invoice AP-INV-5234"/>
    <x v="0"/>
    <s v="Expenses"/>
    <n v="5469.68"/>
    <x v="0"/>
    <d v="2023-02-01T00:00:00"/>
  </r>
  <r>
    <s v="GL-934"/>
    <d v="2023-02-28T00:00:00"/>
    <n v="2010"/>
    <n v="0"/>
    <n v="5469.68"/>
    <s v="AP for Invoice AP-INV-5234"/>
    <x v="1"/>
    <s v="Liabilities"/>
    <n v="-5469.68"/>
    <x v="0"/>
    <d v="2023-02-01T00:00:00"/>
  </r>
  <r>
    <s v="GL-1875"/>
    <d v="2023-03-01T00:00:00"/>
    <n v="1200"/>
    <n v="39400.120000000003"/>
    <n v="0"/>
    <s v="AR for Invoice AR-INV-7469"/>
    <x v="2"/>
    <s v="Assets"/>
    <n v="39400.120000000003"/>
    <x v="0"/>
    <d v="2023-03-01T00:00:00"/>
  </r>
  <r>
    <s v="GL-1876"/>
    <d v="2023-03-01T00:00:00"/>
    <n v="4010"/>
    <n v="0"/>
    <n v="39400.120000000003"/>
    <s v="Sales for Invoice AR-INV-7469"/>
    <x v="3"/>
    <s v="Revenue"/>
    <n v="-39400.120000000003"/>
    <x v="0"/>
    <d v="2023-03-01T00:00:00"/>
  </r>
  <r>
    <s v="GL-531"/>
    <d v="2023-03-01T00:00:00"/>
    <n v="1200"/>
    <n v="43506.96"/>
    <n v="0"/>
    <s v="AR for Invoice AR-INV-7133"/>
    <x v="2"/>
    <s v="Assets"/>
    <n v="43506.96"/>
    <x v="0"/>
    <d v="2023-03-01T00:00:00"/>
  </r>
  <r>
    <s v="GL-532"/>
    <d v="2023-03-01T00:00:00"/>
    <n v="4010"/>
    <n v="0"/>
    <n v="43506.96"/>
    <s v="Sales for Invoice AR-INV-7133"/>
    <x v="3"/>
    <s v="Revenue"/>
    <n v="-43506.96"/>
    <x v="0"/>
    <d v="2023-03-01T00:00:00"/>
  </r>
  <r>
    <s v="GL-433"/>
    <d v="2023-03-02T00:00:00"/>
    <n v="5010"/>
    <n v="5552.08"/>
    <n v="0"/>
    <s v="COGS for Invoice AP-INV-5109"/>
    <x v="0"/>
    <s v="Expenses"/>
    <n v="5552.08"/>
    <x v="0"/>
    <d v="2023-03-01T00:00:00"/>
  </r>
  <r>
    <s v="GL-434"/>
    <d v="2023-03-02T00:00:00"/>
    <n v="2010"/>
    <n v="0"/>
    <n v="5552.08"/>
    <s v="AP for Invoice AP-INV-5109"/>
    <x v="1"/>
    <s v="Liabilities"/>
    <n v="-5552.08"/>
    <x v="0"/>
    <d v="2023-03-01T00:00:00"/>
  </r>
  <r>
    <s v="GL-1393"/>
    <d v="2023-03-03T00:00:00"/>
    <n v="5010"/>
    <n v="11613.83"/>
    <n v="0"/>
    <s v="COGS for Invoice AP-INV-5349"/>
    <x v="0"/>
    <s v="Expenses"/>
    <n v="11613.83"/>
    <x v="0"/>
    <d v="2023-03-01T00:00:00"/>
  </r>
  <r>
    <s v="GL-1394"/>
    <d v="2023-03-03T00:00:00"/>
    <n v="2010"/>
    <n v="0"/>
    <n v="11613.83"/>
    <s v="AP for Invoice AP-INV-5349"/>
    <x v="1"/>
    <s v="Liabilities"/>
    <n v="-11613.83"/>
    <x v="0"/>
    <d v="2023-03-01T00:00:00"/>
  </r>
  <r>
    <s v="GL-77"/>
    <d v="2023-03-04T00:00:00"/>
    <n v="5010"/>
    <n v="4602.6000000000004"/>
    <n v="0"/>
    <s v="COGS for Invoice AP-INV-5020"/>
    <x v="0"/>
    <s v="Expenses"/>
    <n v="4602.6000000000004"/>
    <x v="0"/>
    <d v="2023-03-01T00:00:00"/>
  </r>
  <r>
    <s v="GL-78"/>
    <d v="2023-03-04T00:00:00"/>
    <n v="2010"/>
    <n v="0"/>
    <n v="4602.6000000000004"/>
    <s v="AP for Invoice AP-INV-5020"/>
    <x v="1"/>
    <s v="Liabilities"/>
    <n v="-4602.6000000000004"/>
    <x v="0"/>
    <d v="2023-03-01T00:00:00"/>
  </r>
  <r>
    <s v="GL-1245"/>
    <d v="2023-03-05T00:00:00"/>
    <n v="5010"/>
    <n v="16365.21"/>
    <n v="0"/>
    <s v="COGS for Invoice AP-INV-5312"/>
    <x v="0"/>
    <s v="Expenses"/>
    <n v="16365.21"/>
    <x v="0"/>
    <d v="2023-03-01T00:00:00"/>
  </r>
  <r>
    <s v="GL-1246"/>
    <d v="2023-03-05T00:00:00"/>
    <n v="2010"/>
    <n v="0"/>
    <n v="16365.21"/>
    <s v="AP for Invoice AP-INV-5312"/>
    <x v="1"/>
    <s v="Liabilities"/>
    <n v="-16365.21"/>
    <x v="0"/>
    <d v="2023-03-01T00:00:00"/>
  </r>
  <r>
    <s v="GL-547"/>
    <d v="2023-03-05T00:00:00"/>
    <n v="1200"/>
    <n v="34959.199999999997"/>
    <n v="0"/>
    <s v="AR for Invoice AR-INV-7137"/>
    <x v="2"/>
    <s v="Assets"/>
    <n v="34959.199999999997"/>
    <x v="0"/>
    <d v="2023-03-01T00:00:00"/>
  </r>
  <r>
    <s v="GL-548"/>
    <d v="2023-03-05T00:00:00"/>
    <n v="4010"/>
    <n v="0"/>
    <n v="34959.199999999997"/>
    <s v="Sales for Invoice AR-INV-7137"/>
    <x v="3"/>
    <s v="Revenue"/>
    <n v="-34959.199999999997"/>
    <x v="0"/>
    <d v="2023-03-01T00:00:00"/>
  </r>
  <r>
    <s v="GL-181"/>
    <d v="2023-03-09T00:00:00"/>
    <n v="5010"/>
    <n v="2021.71"/>
    <n v="0"/>
    <s v="COGS for Invoice AP-INV-5046"/>
    <x v="0"/>
    <s v="Expenses"/>
    <n v="2021.71"/>
    <x v="0"/>
    <d v="2023-03-01T00:00:00"/>
  </r>
  <r>
    <s v="GL-182"/>
    <d v="2023-03-09T00:00:00"/>
    <n v="2010"/>
    <n v="0"/>
    <n v="2021.71"/>
    <s v="AP for Invoice AP-INV-5046"/>
    <x v="1"/>
    <s v="Liabilities"/>
    <n v="-2021.71"/>
    <x v="0"/>
    <d v="2023-03-01T00:00:00"/>
  </r>
  <r>
    <s v="GL-947"/>
    <d v="2023-03-12T00:00:00"/>
    <n v="1200"/>
    <n v="27547.72"/>
    <n v="0"/>
    <s v="AR for Invoice AR-INV-7237"/>
    <x v="2"/>
    <s v="Assets"/>
    <n v="27547.72"/>
    <x v="0"/>
    <d v="2023-03-01T00:00:00"/>
  </r>
  <r>
    <s v="GL-948"/>
    <d v="2023-03-12T00:00:00"/>
    <n v="4010"/>
    <n v="0"/>
    <n v="27547.72"/>
    <s v="Sales for Invoice AR-INV-7237"/>
    <x v="3"/>
    <s v="Revenue"/>
    <n v="-27547.72"/>
    <x v="0"/>
    <d v="2023-03-01T00:00:00"/>
  </r>
  <r>
    <s v="GL-1085"/>
    <d v="2023-03-13T00:00:00"/>
    <n v="5010"/>
    <n v="12285.28"/>
    <n v="0"/>
    <s v="COGS for Invoice AP-INV-5272"/>
    <x v="0"/>
    <s v="Expenses"/>
    <n v="12285.28"/>
    <x v="0"/>
    <d v="2023-03-01T00:00:00"/>
  </r>
  <r>
    <s v="GL-1086"/>
    <d v="2023-03-13T00:00:00"/>
    <n v="2010"/>
    <n v="0"/>
    <n v="12285.28"/>
    <s v="AP for Invoice AP-INV-5272"/>
    <x v="1"/>
    <s v="Liabilities"/>
    <n v="-12285.28"/>
    <x v="0"/>
    <d v="2023-03-01T00:00:00"/>
  </r>
  <r>
    <s v="GL-711"/>
    <d v="2023-03-13T00:00:00"/>
    <n v="1200"/>
    <n v="4141.92"/>
    <n v="0"/>
    <s v="AR for Invoice AR-INV-7178"/>
    <x v="2"/>
    <s v="Assets"/>
    <n v="4141.92"/>
    <x v="0"/>
    <d v="2023-03-01T00:00:00"/>
  </r>
  <r>
    <s v="GL-712"/>
    <d v="2023-03-13T00:00:00"/>
    <n v="4010"/>
    <n v="0"/>
    <n v="4141.92"/>
    <s v="Sales for Invoice AR-INV-7178"/>
    <x v="3"/>
    <s v="Revenue"/>
    <n v="-4141.92"/>
    <x v="0"/>
    <d v="2023-03-01T00:00:00"/>
  </r>
  <r>
    <s v="GL-927"/>
    <d v="2023-03-15T00:00:00"/>
    <n v="1200"/>
    <n v="27457.45"/>
    <n v="0"/>
    <s v="AR for Invoice AR-INV-7232"/>
    <x v="2"/>
    <s v="Assets"/>
    <n v="27457.45"/>
    <x v="0"/>
    <d v="2023-03-01T00:00:00"/>
  </r>
  <r>
    <s v="GL-928"/>
    <d v="2023-03-15T00:00:00"/>
    <n v="4010"/>
    <n v="0"/>
    <n v="27457.45"/>
    <s v="Sales for Invoice AR-INV-7232"/>
    <x v="3"/>
    <s v="Revenue"/>
    <n v="-27457.45"/>
    <x v="0"/>
    <d v="2023-03-01T00:00:00"/>
  </r>
  <r>
    <s v="GL-609"/>
    <d v="2023-03-17T00:00:00"/>
    <n v="5010"/>
    <n v="18278.060000000001"/>
    <n v="0"/>
    <s v="COGS for Invoice AP-INV-5153"/>
    <x v="0"/>
    <s v="Expenses"/>
    <n v="18278.060000000001"/>
    <x v="0"/>
    <d v="2023-03-01T00:00:00"/>
  </r>
  <r>
    <s v="GL-610"/>
    <d v="2023-03-17T00:00:00"/>
    <n v="2010"/>
    <n v="0"/>
    <n v="18278.060000000001"/>
    <s v="AP for Invoice AP-INV-5153"/>
    <x v="1"/>
    <s v="Liabilities"/>
    <n v="-18278.060000000001"/>
    <x v="0"/>
    <d v="2023-03-01T00:00:00"/>
  </r>
  <r>
    <s v="GL-911"/>
    <d v="2023-03-18T00:00:00"/>
    <n v="1200"/>
    <n v="17196.240000000002"/>
    <n v="0"/>
    <s v="AR for Invoice AR-INV-7228"/>
    <x v="2"/>
    <s v="Assets"/>
    <n v="17196.240000000002"/>
    <x v="0"/>
    <d v="2023-03-01T00:00:00"/>
  </r>
  <r>
    <s v="GL-912"/>
    <d v="2023-03-18T00:00:00"/>
    <n v="4010"/>
    <n v="0"/>
    <n v="17196.240000000002"/>
    <s v="Sales for Invoice AR-INV-7228"/>
    <x v="3"/>
    <s v="Revenue"/>
    <n v="-17196.240000000002"/>
    <x v="0"/>
    <d v="2023-03-01T00:00:00"/>
  </r>
  <r>
    <s v="GL-1175"/>
    <d v="2023-03-22T00:00:00"/>
    <n v="1200"/>
    <n v="8473.19"/>
    <n v="0"/>
    <s v="AR for Invoice AR-INV-7294"/>
    <x v="2"/>
    <s v="Assets"/>
    <n v="8473.19"/>
    <x v="0"/>
    <d v="2023-03-01T00:00:00"/>
  </r>
  <r>
    <s v="GL-1176"/>
    <d v="2023-03-22T00:00:00"/>
    <n v="4010"/>
    <n v="0"/>
    <n v="8473.19"/>
    <s v="Sales for Invoice AR-INV-7294"/>
    <x v="3"/>
    <s v="Revenue"/>
    <n v="-8473.19"/>
    <x v="0"/>
    <d v="2023-03-01T00:00:00"/>
  </r>
  <r>
    <s v="GL-1185"/>
    <d v="2023-03-24T00:00:00"/>
    <n v="5010"/>
    <n v="14014.98"/>
    <n v="0"/>
    <s v="COGS for Invoice AP-INV-5297"/>
    <x v="0"/>
    <s v="Expenses"/>
    <n v="14014.98"/>
    <x v="0"/>
    <d v="2023-03-01T00:00:00"/>
  </r>
  <r>
    <s v="GL-1186"/>
    <d v="2023-03-24T00:00:00"/>
    <n v="2010"/>
    <n v="0"/>
    <n v="14014.98"/>
    <s v="AP for Invoice AP-INV-5297"/>
    <x v="1"/>
    <s v="Liabilities"/>
    <n v="-14014.98"/>
    <x v="0"/>
    <d v="2023-03-01T00:00:00"/>
  </r>
  <r>
    <s v="GL-1047"/>
    <d v="2023-03-26T00:00:00"/>
    <n v="1200"/>
    <n v="44130.22"/>
    <n v="0"/>
    <s v="AR for Invoice AR-INV-7262"/>
    <x v="2"/>
    <s v="Assets"/>
    <n v="44130.22"/>
    <x v="0"/>
    <d v="2023-03-01T00:00:00"/>
  </r>
  <r>
    <s v="GL-1048"/>
    <d v="2023-03-26T00:00:00"/>
    <n v="4010"/>
    <n v="0"/>
    <n v="44130.22"/>
    <s v="Sales for Invoice AR-INV-7262"/>
    <x v="3"/>
    <s v="Revenue"/>
    <n v="-44130.22"/>
    <x v="0"/>
    <d v="2023-03-01T00:00:00"/>
  </r>
  <r>
    <s v="GL-737"/>
    <d v="2023-03-26T00:00:00"/>
    <n v="5010"/>
    <n v="10568.05"/>
    <n v="0"/>
    <s v="COGS for Invoice AP-INV-5185"/>
    <x v="0"/>
    <s v="Expenses"/>
    <n v="10568.05"/>
    <x v="0"/>
    <d v="2023-03-01T00:00:00"/>
  </r>
  <r>
    <s v="GL-738"/>
    <d v="2023-03-26T00:00:00"/>
    <n v="2010"/>
    <n v="0"/>
    <n v="10568.05"/>
    <s v="AP for Invoice AP-INV-5185"/>
    <x v="1"/>
    <s v="Liabilities"/>
    <n v="-10568.05"/>
    <x v="0"/>
    <d v="2023-03-01T00:00:00"/>
  </r>
  <r>
    <s v="GL-1241"/>
    <d v="2023-03-28T00:00:00"/>
    <n v="5010"/>
    <n v="4781.04"/>
    <n v="0"/>
    <s v="COGS for Invoice AP-INV-5311"/>
    <x v="0"/>
    <s v="Expenses"/>
    <n v="4781.04"/>
    <x v="0"/>
    <d v="2023-03-01T00:00:00"/>
  </r>
  <r>
    <s v="GL-1242"/>
    <d v="2023-03-28T00:00:00"/>
    <n v="2010"/>
    <n v="0"/>
    <n v="4781.04"/>
    <s v="AP for Invoice AP-INV-5311"/>
    <x v="1"/>
    <s v="Liabilities"/>
    <n v="-4781.04"/>
    <x v="0"/>
    <d v="2023-03-01T00:00:00"/>
  </r>
  <r>
    <s v="GL-1323"/>
    <d v="2023-03-29T00:00:00"/>
    <n v="1200"/>
    <n v="23642.79"/>
    <n v="0"/>
    <s v="AR for Invoice AR-INV-7331"/>
    <x v="2"/>
    <s v="Assets"/>
    <n v="23642.79"/>
    <x v="0"/>
    <d v="2023-03-01T00:00:00"/>
  </r>
  <r>
    <s v="GL-1324"/>
    <d v="2023-03-29T00:00:00"/>
    <n v="4010"/>
    <n v="0"/>
    <n v="23642.79"/>
    <s v="Sales for Invoice AR-INV-7331"/>
    <x v="3"/>
    <s v="Revenue"/>
    <n v="-23642.79"/>
    <x v="0"/>
    <d v="2023-03-01T00:00:00"/>
  </r>
  <r>
    <s v="GL-611"/>
    <d v="2023-03-29T00:00:00"/>
    <n v="1200"/>
    <n v="44717.3"/>
    <n v="0"/>
    <s v="AR for Invoice AR-INV-7153"/>
    <x v="2"/>
    <s v="Assets"/>
    <n v="44717.3"/>
    <x v="0"/>
    <d v="2023-03-01T00:00:00"/>
  </r>
  <r>
    <s v="GL-612"/>
    <d v="2023-03-29T00:00:00"/>
    <n v="4010"/>
    <n v="0"/>
    <n v="44717.3"/>
    <s v="Sales for Invoice AR-INV-7153"/>
    <x v="3"/>
    <s v="Revenue"/>
    <n v="-44717.3"/>
    <x v="0"/>
    <d v="2023-03-01T00:00:00"/>
  </r>
  <r>
    <s v="GL-627"/>
    <d v="2023-03-29T00:00:00"/>
    <n v="1200"/>
    <n v="30466.240000000002"/>
    <n v="0"/>
    <s v="AR for Invoice AR-INV-7157"/>
    <x v="2"/>
    <s v="Assets"/>
    <n v="30466.240000000002"/>
    <x v="0"/>
    <d v="2023-03-01T00:00:00"/>
  </r>
  <r>
    <s v="GL-628"/>
    <d v="2023-03-29T00:00:00"/>
    <n v="4010"/>
    <n v="0"/>
    <n v="30466.240000000002"/>
    <s v="Sales for Invoice AR-INV-7157"/>
    <x v="3"/>
    <s v="Revenue"/>
    <n v="-30466.240000000002"/>
    <x v="0"/>
    <d v="2023-03-01T00:00:00"/>
  </r>
  <r>
    <s v="GL-783"/>
    <d v="2023-03-29T00:00:00"/>
    <n v="1200"/>
    <n v="49427.8"/>
    <n v="0"/>
    <s v="AR for Invoice AR-INV-7196"/>
    <x v="2"/>
    <s v="Assets"/>
    <n v="49427.8"/>
    <x v="0"/>
    <d v="2023-03-01T00:00:00"/>
  </r>
  <r>
    <s v="GL-784"/>
    <d v="2023-03-29T00:00:00"/>
    <n v="4010"/>
    <n v="0"/>
    <n v="49427.8"/>
    <s v="Sales for Invoice AR-INV-7196"/>
    <x v="3"/>
    <s v="Revenue"/>
    <n v="-49427.8"/>
    <x v="0"/>
    <d v="2023-03-01T00:00:00"/>
  </r>
  <r>
    <s v="GL-403"/>
    <d v="2023-04-02T00:00:00"/>
    <n v="1200"/>
    <n v="11444.83"/>
    <n v="0"/>
    <s v="AR for Invoice AR-INV-7101"/>
    <x v="2"/>
    <s v="Assets"/>
    <n v="11444.83"/>
    <x v="0"/>
    <d v="2023-04-01T00:00:00"/>
  </r>
  <r>
    <s v="GL-404"/>
    <d v="2023-04-02T00:00:00"/>
    <n v="4010"/>
    <n v="0"/>
    <n v="11444.83"/>
    <s v="Sales for Invoice AR-INV-7101"/>
    <x v="3"/>
    <s v="Revenue"/>
    <n v="-11444.83"/>
    <x v="0"/>
    <d v="2023-04-01T00:00:00"/>
  </r>
  <r>
    <s v="GL-151"/>
    <d v="2023-04-07T00:00:00"/>
    <n v="1200"/>
    <n v="35570.080000000002"/>
    <n v="0"/>
    <s v="AR for Invoice AR-INV-7038"/>
    <x v="2"/>
    <s v="Assets"/>
    <n v="35570.080000000002"/>
    <x v="0"/>
    <d v="2023-04-01T00:00:00"/>
  </r>
  <r>
    <s v="GL-152"/>
    <d v="2023-04-07T00:00:00"/>
    <n v="4010"/>
    <n v="0"/>
    <n v="35570.080000000002"/>
    <s v="Sales for Invoice AR-INV-7038"/>
    <x v="3"/>
    <s v="Revenue"/>
    <n v="-35570.080000000002"/>
    <x v="0"/>
    <d v="2023-04-01T00:00:00"/>
  </r>
  <r>
    <s v="GL-1839"/>
    <d v="2023-04-08T00:00:00"/>
    <n v="1200"/>
    <n v="5485.81"/>
    <n v="0"/>
    <s v="AR for Invoice AR-INV-7460"/>
    <x v="2"/>
    <s v="Assets"/>
    <n v="5485.81"/>
    <x v="0"/>
    <d v="2023-04-01T00:00:00"/>
  </r>
  <r>
    <s v="GL-1840"/>
    <d v="2023-04-08T00:00:00"/>
    <n v="4010"/>
    <n v="0"/>
    <n v="5485.81"/>
    <s v="Sales for Invoice AR-INV-7460"/>
    <x v="3"/>
    <s v="Revenue"/>
    <n v="-5485.81"/>
    <x v="0"/>
    <d v="2023-04-01T00:00:00"/>
  </r>
  <r>
    <s v="GL-1119"/>
    <d v="2023-04-10T00:00:00"/>
    <n v="1200"/>
    <n v="49913.63"/>
    <n v="0"/>
    <s v="AR for Invoice AR-INV-7280"/>
    <x v="2"/>
    <s v="Assets"/>
    <n v="49913.63"/>
    <x v="0"/>
    <d v="2023-04-01T00:00:00"/>
  </r>
  <r>
    <s v="GL-1120"/>
    <d v="2023-04-10T00:00:00"/>
    <n v="4010"/>
    <n v="0"/>
    <n v="49913.63"/>
    <s v="Sales for Invoice AR-INV-7280"/>
    <x v="3"/>
    <s v="Revenue"/>
    <n v="-49913.63"/>
    <x v="0"/>
    <d v="2023-04-01T00:00:00"/>
  </r>
  <r>
    <s v="GL-1995"/>
    <d v="2023-04-10T00:00:00"/>
    <n v="1200"/>
    <n v="6997.88"/>
    <n v="0"/>
    <s v="AR for Invoice AR-INV-7499"/>
    <x v="2"/>
    <s v="Assets"/>
    <n v="6997.88"/>
    <x v="0"/>
    <d v="2023-04-01T00:00:00"/>
  </r>
  <r>
    <s v="GL-1996"/>
    <d v="2023-04-10T00:00:00"/>
    <n v="4010"/>
    <n v="0"/>
    <n v="6997.88"/>
    <s v="Sales for Invoice AR-INV-7499"/>
    <x v="3"/>
    <s v="Revenue"/>
    <n v="-6997.88"/>
    <x v="0"/>
    <d v="2023-04-01T00:00:00"/>
  </r>
  <r>
    <s v="GL-117"/>
    <d v="2023-04-11T00:00:00"/>
    <n v="5010"/>
    <n v="5871.32"/>
    <n v="0"/>
    <s v="COGS for Invoice AP-INV-5030"/>
    <x v="0"/>
    <s v="Expenses"/>
    <n v="5871.32"/>
    <x v="0"/>
    <d v="2023-04-01T00:00:00"/>
  </r>
  <r>
    <s v="GL-118"/>
    <d v="2023-04-11T00:00:00"/>
    <n v="2010"/>
    <n v="0"/>
    <n v="5871.32"/>
    <s v="AP for Invoice AP-INV-5030"/>
    <x v="1"/>
    <s v="Liabilities"/>
    <n v="-5871.32"/>
    <x v="0"/>
    <d v="2023-04-01T00:00:00"/>
  </r>
  <r>
    <s v="GL-1313"/>
    <d v="2023-04-11T00:00:00"/>
    <n v="5010"/>
    <n v="16567.59"/>
    <n v="0"/>
    <s v="COGS for Invoice AP-INV-5329"/>
    <x v="0"/>
    <s v="Expenses"/>
    <n v="16567.59"/>
    <x v="0"/>
    <d v="2023-04-01T00:00:00"/>
  </r>
  <r>
    <s v="GL-1314"/>
    <d v="2023-04-11T00:00:00"/>
    <n v="2010"/>
    <n v="0"/>
    <n v="16567.59"/>
    <s v="AP for Invoice AP-INV-5329"/>
    <x v="1"/>
    <s v="Liabilities"/>
    <n v="-16567.59"/>
    <x v="0"/>
    <d v="2023-04-01T00:00:00"/>
  </r>
  <r>
    <s v="GL-1677"/>
    <d v="2023-04-12T00:00:00"/>
    <n v="5010"/>
    <n v="18119.16"/>
    <n v="0"/>
    <s v="COGS for Invoice AP-INV-5420"/>
    <x v="0"/>
    <s v="Expenses"/>
    <n v="18119.16"/>
    <x v="0"/>
    <d v="2023-04-01T00:00:00"/>
  </r>
  <r>
    <s v="GL-1678"/>
    <d v="2023-04-12T00:00:00"/>
    <n v="2010"/>
    <n v="0"/>
    <n v="18119.16"/>
    <s v="AP for Invoice AP-INV-5420"/>
    <x v="1"/>
    <s v="Liabilities"/>
    <n v="-18119.16"/>
    <x v="0"/>
    <d v="2023-04-01T00:00:00"/>
  </r>
  <r>
    <s v="GL-1785"/>
    <d v="2023-04-13T00:00:00"/>
    <n v="5010"/>
    <n v="11656.27"/>
    <n v="0"/>
    <s v="COGS for Invoice AP-INV-5447"/>
    <x v="0"/>
    <s v="Expenses"/>
    <n v="11656.27"/>
    <x v="0"/>
    <d v="2023-04-01T00:00:00"/>
  </r>
  <r>
    <s v="GL-1786"/>
    <d v="2023-04-13T00:00:00"/>
    <n v="2010"/>
    <n v="0"/>
    <n v="11656.27"/>
    <s v="AP for Invoice AP-INV-5447"/>
    <x v="1"/>
    <s v="Liabilities"/>
    <n v="-11656.27"/>
    <x v="0"/>
    <d v="2023-04-01T00:00:00"/>
  </r>
  <r>
    <s v="GL-89"/>
    <d v="2023-04-14T00:00:00"/>
    <n v="5010"/>
    <n v="3953.04"/>
    <n v="0"/>
    <s v="COGS for Invoice AP-INV-5023"/>
    <x v="0"/>
    <s v="Expenses"/>
    <n v="3953.04"/>
    <x v="0"/>
    <d v="2023-04-01T00:00:00"/>
  </r>
  <r>
    <s v="GL-90"/>
    <d v="2023-04-14T00:00:00"/>
    <n v="2010"/>
    <n v="0"/>
    <n v="3953.04"/>
    <s v="AP for Invoice AP-INV-5023"/>
    <x v="1"/>
    <s v="Liabilities"/>
    <n v="-3953.04"/>
    <x v="0"/>
    <d v="2023-04-01T00:00:00"/>
  </r>
  <r>
    <s v="GL-1965"/>
    <d v="2023-04-16T00:00:00"/>
    <n v="5010"/>
    <n v="13521.73"/>
    <n v="0"/>
    <s v="COGS for Invoice AP-INV-5492"/>
    <x v="0"/>
    <s v="Expenses"/>
    <n v="13521.73"/>
    <x v="0"/>
    <d v="2023-04-01T00:00:00"/>
  </r>
  <r>
    <s v="GL-1966"/>
    <d v="2023-04-16T00:00:00"/>
    <n v="2010"/>
    <n v="0"/>
    <n v="13521.73"/>
    <s v="AP for Invoice AP-INV-5492"/>
    <x v="1"/>
    <s v="Liabilities"/>
    <n v="-13521.73"/>
    <x v="0"/>
    <d v="2023-04-01T00:00:00"/>
  </r>
  <r>
    <s v="GL-443"/>
    <d v="2023-04-19T00:00:00"/>
    <n v="1200"/>
    <n v="21490.33"/>
    <n v="0"/>
    <s v="AR for Invoice AR-INV-7111"/>
    <x v="2"/>
    <s v="Assets"/>
    <n v="21490.33"/>
    <x v="0"/>
    <d v="2023-04-01T00:00:00"/>
  </r>
  <r>
    <s v="GL-444"/>
    <d v="2023-04-19T00:00:00"/>
    <n v="4010"/>
    <n v="0"/>
    <n v="21490.33"/>
    <s v="Sales for Invoice AR-INV-7111"/>
    <x v="3"/>
    <s v="Revenue"/>
    <n v="-21490.33"/>
    <x v="0"/>
    <d v="2023-04-01T00:00:00"/>
  </r>
  <r>
    <s v="GL-455"/>
    <d v="2023-04-19T00:00:00"/>
    <n v="1200"/>
    <n v="32663.05"/>
    <n v="0"/>
    <s v="AR for Invoice AR-INV-7114"/>
    <x v="2"/>
    <s v="Assets"/>
    <n v="32663.05"/>
    <x v="0"/>
    <d v="2023-04-01T00:00:00"/>
  </r>
  <r>
    <s v="GL-456"/>
    <d v="2023-04-19T00:00:00"/>
    <n v="4010"/>
    <n v="0"/>
    <n v="32663.05"/>
    <s v="Sales for Invoice AR-INV-7114"/>
    <x v="3"/>
    <s v="Revenue"/>
    <n v="-32663.05"/>
    <x v="0"/>
    <d v="2023-04-01T00:00:00"/>
  </r>
  <r>
    <s v="GL-185"/>
    <d v="2023-04-22T00:00:00"/>
    <n v="5010"/>
    <n v="11330.47"/>
    <n v="0"/>
    <s v="COGS for Invoice AP-INV-5047"/>
    <x v="0"/>
    <s v="Expenses"/>
    <n v="11330.47"/>
    <x v="0"/>
    <d v="2023-04-01T00:00:00"/>
  </r>
  <r>
    <s v="GL-186"/>
    <d v="2023-04-22T00:00:00"/>
    <n v="2010"/>
    <n v="0"/>
    <n v="11330.47"/>
    <s v="AP for Invoice AP-INV-5047"/>
    <x v="1"/>
    <s v="Liabilities"/>
    <n v="-11330.47"/>
    <x v="0"/>
    <d v="2023-04-01T00:00:00"/>
  </r>
  <r>
    <s v="GL-259"/>
    <d v="2023-04-23T00:00:00"/>
    <n v="1200"/>
    <n v="44143.97"/>
    <n v="0"/>
    <s v="AR for Invoice AR-INV-7065"/>
    <x v="2"/>
    <s v="Assets"/>
    <n v="44143.97"/>
    <x v="0"/>
    <d v="2023-04-01T00:00:00"/>
  </r>
  <r>
    <s v="GL-260"/>
    <d v="2023-04-23T00:00:00"/>
    <n v="4010"/>
    <n v="0"/>
    <n v="44143.97"/>
    <s v="Sales for Invoice AR-INV-7065"/>
    <x v="3"/>
    <s v="Revenue"/>
    <n v="-44143.97"/>
    <x v="0"/>
    <d v="2023-04-01T00:00:00"/>
  </r>
  <r>
    <s v="GL-669"/>
    <d v="2023-04-24T00:00:00"/>
    <n v="5010"/>
    <n v="14367.67"/>
    <n v="0"/>
    <s v="COGS for Invoice AP-INV-5168"/>
    <x v="0"/>
    <s v="Expenses"/>
    <n v="14367.67"/>
    <x v="0"/>
    <d v="2023-04-01T00:00:00"/>
  </r>
  <r>
    <s v="GL-670"/>
    <d v="2023-04-24T00:00:00"/>
    <n v="2010"/>
    <n v="0"/>
    <n v="14367.67"/>
    <s v="AP for Invoice AP-INV-5168"/>
    <x v="1"/>
    <s v="Liabilities"/>
    <n v="-14367.67"/>
    <x v="0"/>
    <d v="2023-04-01T00:00:00"/>
  </r>
  <r>
    <s v="GL-957"/>
    <d v="2023-04-24T00:00:00"/>
    <n v="5010"/>
    <n v="7954.67"/>
    <n v="0"/>
    <s v="COGS for Invoice AP-INV-5240"/>
    <x v="0"/>
    <s v="Expenses"/>
    <n v="7954.67"/>
    <x v="0"/>
    <d v="2023-04-01T00:00:00"/>
  </r>
  <r>
    <s v="GL-958"/>
    <d v="2023-04-24T00:00:00"/>
    <n v="2010"/>
    <n v="0"/>
    <n v="7954.67"/>
    <s v="AP for Invoice AP-INV-5240"/>
    <x v="1"/>
    <s v="Liabilities"/>
    <n v="-7954.67"/>
    <x v="0"/>
    <d v="2023-04-01T00:00:00"/>
  </r>
  <r>
    <s v="GL-1479"/>
    <d v="2023-04-25T00:00:00"/>
    <n v="1200"/>
    <n v="16248.82"/>
    <n v="0"/>
    <s v="AR for Invoice AR-INV-7370"/>
    <x v="2"/>
    <s v="Assets"/>
    <n v="16248.82"/>
    <x v="0"/>
    <d v="2023-04-01T00:00:00"/>
  </r>
  <r>
    <s v="GL-1480"/>
    <d v="2023-04-25T00:00:00"/>
    <n v="4010"/>
    <n v="0"/>
    <n v="16248.82"/>
    <s v="Sales for Invoice AR-INV-7370"/>
    <x v="3"/>
    <s v="Revenue"/>
    <n v="-16248.82"/>
    <x v="0"/>
    <d v="2023-04-01T00:00:00"/>
  </r>
  <r>
    <s v="GL-243"/>
    <d v="2023-04-26T00:00:00"/>
    <n v="1200"/>
    <n v="23705.17"/>
    <n v="0"/>
    <s v="AR for Invoice AR-INV-7061"/>
    <x v="2"/>
    <s v="Assets"/>
    <n v="23705.17"/>
    <x v="0"/>
    <d v="2023-04-01T00:00:00"/>
  </r>
  <r>
    <s v="GL-244"/>
    <d v="2023-04-26T00:00:00"/>
    <n v="4010"/>
    <n v="0"/>
    <n v="23705.17"/>
    <s v="Sales for Invoice AR-INV-7061"/>
    <x v="3"/>
    <s v="Revenue"/>
    <n v="-23705.17"/>
    <x v="0"/>
    <d v="2023-04-01T00:00:00"/>
  </r>
  <r>
    <s v="GL-431"/>
    <d v="2023-04-28T00:00:00"/>
    <n v="1200"/>
    <n v="49419.46"/>
    <n v="0"/>
    <s v="AR for Invoice AR-INV-7108"/>
    <x v="2"/>
    <s v="Assets"/>
    <n v="49419.46"/>
    <x v="0"/>
    <d v="2023-04-01T00:00:00"/>
  </r>
  <r>
    <s v="GL-432"/>
    <d v="2023-04-28T00:00:00"/>
    <n v="4010"/>
    <n v="0"/>
    <n v="49419.46"/>
    <s v="Sales for Invoice AR-INV-7108"/>
    <x v="3"/>
    <s v="Revenue"/>
    <n v="-49419.46"/>
    <x v="0"/>
    <d v="2023-04-01T00:00:00"/>
  </r>
  <r>
    <s v="GL-1059"/>
    <d v="2023-05-03T00:00:00"/>
    <n v="1200"/>
    <n v="21989.21"/>
    <n v="0"/>
    <s v="AR for Invoice AR-INV-7265"/>
    <x v="2"/>
    <s v="Assets"/>
    <n v="21989.21"/>
    <x v="0"/>
    <d v="2023-05-01T00:00:00"/>
  </r>
  <r>
    <s v="GL-1060"/>
    <d v="2023-05-03T00:00:00"/>
    <n v="4010"/>
    <n v="0"/>
    <n v="21989.21"/>
    <s v="Sales for Invoice AR-INV-7265"/>
    <x v="3"/>
    <s v="Revenue"/>
    <n v="-21989.21"/>
    <x v="0"/>
    <d v="2023-05-01T00:00:00"/>
  </r>
  <r>
    <s v="GL-1659"/>
    <d v="2023-05-04T00:00:00"/>
    <n v="1200"/>
    <n v="4244.24"/>
    <n v="0"/>
    <s v="AR for Invoice AR-INV-7415"/>
    <x v="2"/>
    <s v="Assets"/>
    <n v="4244.24"/>
    <x v="0"/>
    <d v="2023-05-01T00:00:00"/>
  </r>
  <r>
    <s v="GL-1660"/>
    <d v="2023-05-04T00:00:00"/>
    <n v="4010"/>
    <n v="0"/>
    <n v="4244.24"/>
    <s v="Sales for Invoice AR-INV-7415"/>
    <x v="3"/>
    <s v="Revenue"/>
    <n v="-4244.24"/>
    <x v="0"/>
    <d v="2023-05-01T00:00:00"/>
  </r>
  <r>
    <s v="GL-817"/>
    <d v="2023-05-04T00:00:00"/>
    <n v="5010"/>
    <n v="4390.21"/>
    <n v="0"/>
    <s v="COGS for Invoice AP-INV-5205"/>
    <x v="0"/>
    <s v="Expenses"/>
    <n v="4390.21"/>
    <x v="0"/>
    <d v="2023-05-01T00:00:00"/>
  </r>
  <r>
    <s v="GL-818"/>
    <d v="2023-05-04T00:00:00"/>
    <n v="2010"/>
    <n v="0"/>
    <n v="4390.21"/>
    <s v="AP for Invoice AP-INV-5205"/>
    <x v="1"/>
    <s v="Liabilities"/>
    <n v="-4390.21"/>
    <x v="0"/>
    <d v="2023-05-01T00:00:00"/>
  </r>
  <r>
    <s v="GL-1887"/>
    <d v="2023-05-09T00:00:00"/>
    <n v="1200"/>
    <n v="44155.08"/>
    <n v="0"/>
    <s v="AR for Invoice AR-INV-7472"/>
    <x v="2"/>
    <s v="Assets"/>
    <n v="44155.08"/>
    <x v="0"/>
    <d v="2023-05-01T00:00:00"/>
  </r>
  <r>
    <s v="GL-1888"/>
    <d v="2023-05-09T00:00:00"/>
    <n v="4010"/>
    <n v="0"/>
    <n v="44155.08"/>
    <s v="Sales for Invoice AR-INV-7472"/>
    <x v="3"/>
    <s v="Revenue"/>
    <n v="-44155.08"/>
    <x v="0"/>
    <d v="2023-05-01T00:00:00"/>
  </r>
  <r>
    <s v="GL-845"/>
    <d v="2023-05-12T00:00:00"/>
    <n v="5010"/>
    <n v="15491.55"/>
    <n v="0"/>
    <s v="COGS for Invoice AP-INV-5212"/>
    <x v="0"/>
    <s v="Expenses"/>
    <n v="15491.55"/>
    <x v="0"/>
    <d v="2023-05-01T00:00:00"/>
  </r>
  <r>
    <s v="GL-846"/>
    <d v="2023-05-12T00:00:00"/>
    <n v="2010"/>
    <n v="0"/>
    <n v="15491.55"/>
    <s v="AP for Invoice AP-INV-5212"/>
    <x v="1"/>
    <s v="Liabilities"/>
    <n v="-15491.55"/>
    <x v="0"/>
    <d v="2023-05-01T00:00:00"/>
  </r>
  <r>
    <s v="GL-1353"/>
    <d v="2023-05-15T00:00:00"/>
    <n v="5010"/>
    <n v="2529.31"/>
    <n v="0"/>
    <s v="COGS for Invoice AP-INV-5339"/>
    <x v="0"/>
    <s v="Expenses"/>
    <n v="2529.31"/>
    <x v="0"/>
    <d v="2023-05-01T00:00:00"/>
  </r>
  <r>
    <s v="GL-1354"/>
    <d v="2023-05-15T00:00:00"/>
    <n v="2010"/>
    <n v="0"/>
    <n v="2529.31"/>
    <s v="AP for Invoice AP-INV-5339"/>
    <x v="1"/>
    <s v="Liabilities"/>
    <n v="-2529.31"/>
    <x v="0"/>
    <d v="2023-05-01T00:00:00"/>
  </r>
  <r>
    <s v="GL-93"/>
    <d v="2023-05-16T00:00:00"/>
    <n v="5010"/>
    <n v="10464.27"/>
    <n v="0"/>
    <s v="COGS for Invoice AP-INV-5024"/>
    <x v="0"/>
    <s v="Expenses"/>
    <n v="10464.27"/>
    <x v="0"/>
    <d v="2023-05-01T00:00:00"/>
  </r>
  <r>
    <s v="GL-94"/>
    <d v="2023-05-16T00:00:00"/>
    <n v="2010"/>
    <n v="0"/>
    <n v="10464.27"/>
    <s v="AP for Invoice AP-INV-5024"/>
    <x v="1"/>
    <s v="Liabilities"/>
    <n v="-10464.27"/>
    <x v="0"/>
    <d v="2023-05-01T00:00:00"/>
  </r>
  <r>
    <s v="GL-1581"/>
    <d v="2023-05-17T00:00:00"/>
    <n v="5010"/>
    <n v="12529.47"/>
    <n v="0"/>
    <s v="COGS for Invoice AP-INV-5396"/>
    <x v="0"/>
    <s v="Expenses"/>
    <n v="12529.47"/>
    <x v="0"/>
    <d v="2023-05-01T00:00:00"/>
  </r>
  <r>
    <s v="GL-1582"/>
    <d v="2023-05-17T00:00:00"/>
    <n v="2010"/>
    <n v="0"/>
    <n v="12529.47"/>
    <s v="AP for Invoice AP-INV-5396"/>
    <x v="1"/>
    <s v="Liabilities"/>
    <n v="-12529.47"/>
    <x v="0"/>
    <d v="2023-05-01T00:00:00"/>
  </r>
  <r>
    <s v="GL-1145"/>
    <d v="2023-05-19T00:00:00"/>
    <n v="5010"/>
    <n v="19283.080000000002"/>
    <n v="0"/>
    <s v="COGS for Invoice AP-INV-5287"/>
    <x v="0"/>
    <s v="Expenses"/>
    <n v="19283.080000000002"/>
    <x v="0"/>
    <d v="2023-05-01T00:00:00"/>
  </r>
  <r>
    <s v="GL-1146"/>
    <d v="2023-05-19T00:00:00"/>
    <n v="2010"/>
    <n v="0"/>
    <n v="19283.080000000002"/>
    <s v="AP for Invoice AP-INV-5287"/>
    <x v="1"/>
    <s v="Liabilities"/>
    <n v="-19283.080000000002"/>
    <x v="0"/>
    <d v="2023-05-01T00:00:00"/>
  </r>
  <r>
    <s v="GL-1851"/>
    <d v="2023-05-20T00:00:00"/>
    <n v="1200"/>
    <n v="2187.13"/>
    <n v="0"/>
    <s v="AR for Invoice AR-INV-7463"/>
    <x v="2"/>
    <s v="Assets"/>
    <n v="2187.13"/>
    <x v="0"/>
    <d v="2023-05-01T00:00:00"/>
  </r>
  <r>
    <s v="GL-1852"/>
    <d v="2023-05-20T00:00:00"/>
    <n v="4010"/>
    <n v="0"/>
    <n v="2187.13"/>
    <s v="Sales for Invoice AR-INV-7463"/>
    <x v="3"/>
    <s v="Revenue"/>
    <n v="-2187.13"/>
    <x v="0"/>
    <d v="2023-05-01T00:00:00"/>
  </r>
  <r>
    <s v="GL-1829"/>
    <d v="2023-05-21T00:00:00"/>
    <n v="5010"/>
    <n v="7947.47"/>
    <n v="0"/>
    <s v="COGS for Invoice AP-INV-5458"/>
    <x v="0"/>
    <s v="Expenses"/>
    <n v="7947.47"/>
    <x v="0"/>
    <d v="2023-05-01T00:00:00"/>
  </r>
  <r>
    <s v="GL-1830"/>
    <d v="2023-05-21T00:00:00"/>
    <n v="2010"/>
    <n v="0"/>
    <n v="7947.47"/>
    <s v="AP for Invoice AP-INV-5458"/>
    <x v="1"/>
    <s v="Liabilities"/>
    <n v="-7947.47"/>
    <x v="0"/>
    <d v="2023-05-01T00:00:00"/>
  </r>
  <r>
    <s v="GL-463"/>
    <d v="2023-05-22T00:00:00"/>
    <n v="1200"/>
    <n v="34285.81"/>
    <n v="0"/>
    <s v="AR for Invoice AR-INV-7116"/>
    <x v="2"/>
    <s v="Assets"/>
    <n v="34285.81"/>
    <x v="0"/>
    <d v="2023-05-01T00:00:00"/>
  </r>
  <r>
    <s v="GL-464"/>
    <d v="2023-05-22T00:00:00"/>
    <n v="4010"/>
    <n v="0"/>
    <n v="34285.81"/>
    <s v="Sales for Invoice AR-INV-7116"/>
    <x v="3"/>
    <s v="Revenue"/>
    <n v="-34285.81"/>
    <x v="0"/>
    <d v="2023-05-01T00:00:00"/>
  </r>
  <r>
    <s v="GL-1379"/>
    <d v="2023-05-23T00:00:00"/>
    <n v="1200"/>
    <n v="36452.82"/>
    <n v="0"/>
    <s v="AR for Invoice AR-INV-7345"/>
    <x v="2"/>
    <s v="Assets"/>
    <n v="36452.82"/>
    <x v="0"/>
    <d v="2023-05-01T00:00:00"/>
  </r>
  <r>
    <s v="GL-1380"/>
    <d v="2023-05-23T00:00:00"/>
    <n v="4010"/>
    <n v="0"/>
    <n v="36452.82"/>
    <s v="Sales for Invoice AR-INV-7345"/>
    <x v="3"/>
    <s v="Revenue"/>
    <n v="-36452.82"/>
    <x v="0"/>
    <d v="2023-05-01T00:00:00"/>
  </r>
  <r>
    <s v="GL-1343"/>
    <d v="2023-05-25T00:00:00"/>
    <n v="1200"/>
    <n v="43439.31"/>
    <n v="0"/>
    <s v="AR for Invoice AR-INV-7336"/>
    <x v="2"/>
    <s v="Assets"/>
    <n v="43439.31"/>
    <x v="0"/>
    <d v="2023-05-01T00:00:00"/>
  </r>
  <r>
    <s v="GL-1344"/>
    <d v="2023-05-25T00:00:00"/>
    <n v="4010"/>
    <n v="0"/>
    <n v="43439.31"/>
    <s v="Sales for Invoice AR-INV-7336"/>
    <x v="3"/>
    <s v="Revenue"/>
    <n v="-43439.31"/>
    <x v="0"/>
    <d v="2023-05-01T00:00:00"/>
  </r>
  <r>
    <s v="GL-1999"/>
    <d v="2023-05-27T00:00:00"/>
    <n v="1200"/>
    <n v="16505.47"/>
    <n v="0"/>
    <s v="AR for Invoice AR-INV-7500"/>
    <x v="2"/>
    <s v="Assets"/>
    <n v="16505.47"/>
    <x v="0"/>
    <d v="2023-05-01T00:00:00"/>
  </r>
  <r>
    <s v="GL-2000"/>
    <d v="2023-05-27T00:00:00"/>
    <n v="4010"/>
    <n v="0"/>
    <n v="16505.47"/>
    <s v="Sales for Invoice AR-INV-7500"/>
    <x v="3"/>
    <s v="Revenue"/>
    <n v="-16505.47"/>
    <x v="0"/>
    <d v="2023-05-01T00:00:00"/>
  </r>
  <r>
    <s v="GL-507"/>
    <d v="2023-05-29T00:00:00"/>
    <n v="1200"/>
    <n v="43472.82"/>
    <n v="0"/>
    <s v="AR for Invoice AR-INV-7127"/>
    <x v="2"/>
    <s v="Assets"/>
    <n v="43472.82"/>
    <x v="0"/>
    <d v="2023-05-01T00:00:00"/>
  </r>
  <r>
    <s v="GL-508"/>
    <d v="2023-05-29T00:00:00"/>
    <n v="4010"/>
    <n v="0"/>
    <n v="43472.82"/>
    <s v="Sales for Invoice AR-INV-7127"/>
    <x v="3"/>
    <s v="Revenue"/>
    <n v="-43472.82"/>
    <x v="0"/>
    <d v="2023-05-01T00:00:00"/>
  </r>
  <r>
    <s v="GL-435"/>
    <d v="2023-05-31T00:00:00"/>
    <n v="1200"/>
    <n v="17471.96"/>
    <n v="0"/>
    <s v="AR for Invoice AR-INV-7109"/>
    <x v="2"/>
    <s v="Assets"/>
    <n v="17471.96"/>
    <x v="0"/>
    <d v="2023-05-01T00:00:00"/>
  </r>
  <r>
    <s v="GL-436"/>
    <d v="2023-05-31T00:00:00"/>
    <n v="4010"/>
    <n v="0"/>
    <n v="17471.96"/>
    <s v="Sales for Invoice AR-INV-7109"/>
    <x v="3"/>
    <s v="Revenue"/>
    <n v="-17471.96"/>
    <x v="0"/>
    <d v="2023-05-01T00:00:00"/>
  </r>
  <r>
    <s v="GL-1385"/>
    <d v="2023-06-02T00:00:00"/>
    <n v="5010"/>
    <n v="3760.66"/>
    <n v="0"/>
    <s v="COGS for Invoice AP-INV-5347"/>
    <x v="0"/>
    <s v="Expenses"/>
    <n v="3760.66"/>
    <x v="0"/>
    <d v="2023-06-01T00:00:00"/>
  </r>
  <r>
    <s v="GL-1386"/>
    <d v="2023-06-02T00:00:00"/>
    <n v="2010"/>
    <n v="0"/>
    <n v="3760.66"/>
    <s v="AP for Invoice AP-INV-5347"/>
    <x v="1"/>
    <s v="Liabilities"/>
    <n v="-3760.66"/>
    <x v="0"/>
    <d v="2023-06-01T00:00:00"/>
  </r>
  <r>
    <s v="GL-1579"/>
    <d v="2023-06-02T00:00:00"/>
    <n v="1200"/>
    <n v="31069.57"/>
    <n v="0"/>
    <s v="AR for Invoice AR-INV-7395"/>
    <x v="2"/>
    <s v="Assets"/>
    <n v="31069.57"/>
    <x v="0"/>
    <d v="2023-06-01T00:00:00"/>
  </r>
  <r>
    <s v="GL-1580"/>
    <d v="2023-06-02T00:00:00"/>
    <n v="4010"/>
    <n v="0"/>
    <n v="31069.57"/>
    <s v="Sales for Invoice AR-INV-7395"/>
    <x v="3"/>
    <s v="Revenue"/>
    <n v="-31069.57"/>
    <x v="0"/>
    <d v="2023-06-01T00:00:00"/>
  </r>
  <r>
    <s v="GL-1799"/>
    <d v="2023-06-03T00:00:00"/>
    <n v="1200"/>
    <n v="21343.87"/>
    <n v="0"/>
    <s v="AR for Invoice AR-INV-7450"/>
    <x v="2"/>
    <s v="Assets"/>
    <n v="21343.87"/>
    <x v="0"/>
    <d v="2023-06-01T00:00:00"/>
  </r>
  <r>
    <s v="GL-1800"/>
    <d v="2023-06-03T00:00:00"/>
    <n v="4010"/>
    <n v="0"/>
    <n v="21343.87"/>
    <s v="Sales for Invoice AR-INV-7450"/>
    <x v="3"/>
    <s v="Revenue"/>
    <n v="-21343.87"/>
    <x v="0"/>
    <d v="2023-06-01T00:00:00"/>
  </r>
  <r>
    <s v="GL-1753"/>
    <d v="2023-06-04T00:00:00"/>
    <n v="5010"/>
    <n v="3065.58"/>
    <n v="0"/>
    <s v="COGS for Invoice AP-INV-5439"/>
    <x v="0"/>
    <s v="Expenses"/>
    <n v="3065.58"/>
    <x v="0"/>
    <d v="2023-06-01T00:00:00"/>
  </r>
  <r>
    <s v="GL-1754"/>
    <d v="2023-06-04T00:00:00"/>
    <n v="2010"/>
    <n v="0"/>
    <n v="3065.58"/>
    <s v="AP for Invoice AP-INV-5439"/>
    <x v="1"/>
    <s v="Liabilities"/>
    <n v="-3065.58"/>
    <x v="0"/>
    <d v="2023-06-01T00:00:00"/>
  </r>
  <r>
    <s v="GL-989"/>
    <d v="2023-06-05T00:00:00"/>
    <n v="5010"/>
    <n v="17233.37"/>
    <n v="0"/>
    <s v="COGS for Invoice AP-INV-5248"/>
    <x v="0"/>
    <s v="Expenses"/>
    <n v="17233.37"/>
    <x v="0"/>
    <d v="2023-06-01T00:00:00"/>
  </r>
  <r>
    <s v="GL-990"/>
    <d v="2023-06-05T00:00:00"/>
    <n v="2010"/>
    <n v="0"/>
    <n v="17233.37"/>
    <s v="AP for Invoice AP-INV-5248"/>
    <x v="1"/>
    <s v="Liabilities"/>
    <n v="-17233.37"/>
    <x v="0"/>
    <d v="2023-06-01T00:00:00"/>
  </r>
  <r>
    <s v="GL-1317"/>
    <d v="2023-06-10T00:00:00"/>
    <n v="5010"/>
    <n v="17474.580000000002"/>
    <n v="0"/>
    <s v="COGS for Invoice AP-INV-5330"/>
    <x v="0"/>
    <s v="Expenses"/>
    <n v="17474.580000000002"/>
    <x v="0"/>
    <d v="2023-06-01T00:00:00"/>
  </r>
  <r>
    <s v="GL-1318"/>
    <d v="2023-06-10T00:00:00"/>
    <n v="2010"/>
    <n v="0"/>
    <n v="17474.580000000002"/>
    <s v="AP for Invoice AP-INV-5330"/>
    <x v="1"/>
    <s v="Liabilities"/>
    <n v="-17474.580000000002"/>
    <x v="0"/>
    <d v="2023-06-01T00:00:00"/>
  </r>
  <r>
    <s v="GL-239"/>
    <d v="2023-06-12T00:00:00"/>
    <n v="1200"/>
    <n v="20272.490000000002"/>
    <n v="0"/>
    <s v="AR for Invoice AR-INV-7060"/>
    <x v="2"/>
    <s v="Assets"/>
    <n v="20272.490000000002"/>
    <x v="0"/>
    <d v="2023-06-01T00:00:00"/>
  </r>
  <r>
    <s v="GL-240"/>
    <d v="2023-06-12T00:00:00"/>
    <n v="4010"/>
    <n v="0"/>
    <n v="20272.490000000002"/>
    <s v="Sales for Invoice AR-INV-7060"/>
    <x v="3"/>
    <s v="Revenue"/>
    <n v="-20272.490000000002"/>
    <x v="0"/>
    <d v="2023-06-01T00:00:00"/>
  </r>
  <r>
    <s v="GL-1357"/>
    <d v="2023-06-13T00:00:00"/>
    <n v="5010"/>
    <n v="723.05"/>
    <n v="0"/>
    <s v="COGS for Invoice AP-INV-5340"/>
    <x v="0"/>
    <s v="Expenses"/>
    <n v="723.05"/>
    <x v="0"/>
    <d v="2023-06-01T00:00:00"/>
  </r>
  <r>
    <s v="GL-1358"/>
    <d v="2023-06-13T00:00:00"/>
    <n v="2010"/>
    <n v="0"/>
    <n v="723.05"/>
    <s v="AP for Invoice AP-INV-5340"/>
    <x v="1"/>
    <s v="Liabilities"/>
    <n v="-723.05"/>
    <x v="0"/>
    <d v="2023-06-01T00:00:00"/>
  </r>
  <r>
    <s v="GL-1955"/>
    <d v="2023-06-15T00:00:00"/>
    <n v="1200"/>
    <n v="3895.22"/>
    <n v="0"/>
    <s v="AR for Invoice AR-INV-7489"/>
    <x v="2"/>
    <s v="Assets"/>
    <n v="3895.22"/>
    <x v="0"/>
    <d v="2023-06-01T00:00:00"/>
  </r>
  <r>
    <s v="GL-1956"/>
    <d v="2023-06-15T00:00:00"/>
    <n v="4010"/>
    <n v="0"/>
    <n v="3895.22"/>
    <s v="Sales for Invoice AR-INV-7489"/>
    <x v="3"/>
    <s v="Revenue"/>
    <n v="-3895.22"/>
    <x v="0"/>
    <d v="2023-06-01T00:00:00"/>
  </r>
  <r>
    <s v="GL-525"/>
    <d v="2023-06-15T00:00:00"/>
    <n v="5010"/>
    <n v="2799.76"/>
    <n v="0"/>
    <s v="COGS for Invoice AP-INV-5132"/>
    <x v="0"/>
    <s v="Expenses"/>
    <n v="2799.76"/>
    <x v="0"/>
    <d v="2023-06-01T00:00:00"/>
  </r>
  <r>
    <s v="GL-526"/>
    <d v="2023-06-15T00:00:00"/>
    <n v="2010"/>
    <n v="0"/>
    <n v="2799.76"/>
    <s v="AP for Invoice AP-INV-5132"/>
    <x v="1"/>
    <s v="Liabilities"/>
    <n v="-2799.76"/>
    <x v="0"/>
    <d v="2023-06-01T00:00:00"/>
  </r>
  <r>
    <s v="GL-603"/>
    <d v="2023-06-15T00:00:00"/>
    <n v="1200"/>
    <n v="46629.33"/>
    <n v="0"/>
    <s v="AR for Invoice AR-INV-7151"/>
    <x v="2"/>
    <s v="Assets"/>
    <n v="46629.33"/>
    <x v="0"/>
    <d v="2023-06-01T00:00:00"/>
  </r>
  <r>
    <s v="GL-604"/>
    <d v="2023-06-15T00:00:00"/>
    <n v="4010"/>
    <n v="0"/>
    <n v="46629.33"/>
    <s v="Sales for Invoice AR-INV-7151"/>
    <x v="3"/>
    <s v="Revenue"/>
    <n v="-46629.33"/>
    <x v="0"/>
    <d v="2023-06-01T00:00:00"/>
  </r>
  <r>
    <s v="GL-733"/>
    <d v="2023-06-15T00:00:00"/>
    <n v="5010"/>
    <n v="3336.27"/>
    <n v="0"/>
    <s v="COGS for Invoice AP-INV-5184"/>
    <x v="0"/>
    <s v="Expenses"/>
    <n v="3336.27"/>
    <x v="0"/>
    <d v="2023-06-01T00:00:00"/>
  </r>
  <r>
    <s v="GL-734"/>
    <d v="2023-06-15T00:00:00"/>
    <n v="2010"/>
    <n v="0"/>
    <n v="3336.27"/>
    <s v="AP for Invoice AP-INV-5184"/>
    <x v="1"/>
    <s v="Liabilities"/>
    <n v="-3336.27"/>
    <x v="0"/>
    <d v="2023-06-01T00:00:00"/>
  </r>
  <r>
    <s v="GL-863"/>
    <d v="2023-06-16T00:00:00"/>
    <n v="1200"/>
    <n v="2630.91"/>
    <n v="0"/>
    <s v="AR for Invoice AR-INV-7216"/>
    <x v="2"/>
    <s v="Assets"/>
    <n v="2630.91"/>
    <x v="0"/>
    <d v="2023-06-01T00:00:00"/>
  </r>
  <r>
    <s v="GL-864"/>
    <d v="2023-06-16T00:00:00"/>
    <n v="4010"/>
    <n v="0"/>
    <n v="2630.91"/>
    <s v="Sales for Invoice AR-INV-7216"/>
    <x v="3"/>
    <s v="Revenue"/>
    <n v="-2630.91"/>
    <x v="0"/>
    <d v="2023-06-01T00:00:00"/>
  </r>
  <r>
    <s v="GL-437"/>
    <d v="2023-06-17T00:00:00"/>
    <n v="5010"/>
    <n v="18265.12"/>
    <n v="0"/>
    <s v="COGS for Invoice AP-INV-5110"/>
    <x v="0"/>
    <s v="Expenses"/>
    <n v="18265.12"/>
    <x v="0"/>
    <d v="2023-06-01T00:00:00"/>
  </r>
  <r>
    <s v="GL-438"/>
    <d v="2023-06-17T00:00:00"/>
    <n v="2010"/>
    <n v="0"/>
    <n v="18265.12"/>
    <s v="AP for Invoice AP-INV-5110"/>
    <x v="1"/>
    <s v="Liabilities"/>
    <n v="-18265.12"/>
    <x v="0"/>
    <d v="2023-06-01T00:00:00"/>
  </r>
  <r>
    <s v="GL-1271"/>
    <d v="2023-06-20T00:00:00"/>
    <n v="1200"/>
    <n v="3381.35"/>
    <n v="0"/>
    <s v="AR for Invoice AR-INV-7318"/>
    <x v="2"/>
    <s v="Assets"/>
    <n v="3381.35"/>
    <x v="0"/>
    <d v="2023-06-01T00:00:00"/>
  </r>
  <r>
    <s v="GL-1272"/>
    <d v="2023-06-20T00:00:00"/>
    <n v="4010"/>
    <n v="0"/>
    <n v="3381.35"/>
    <s v="Sales for Invoice AR-INV-7318"/>
    <x v="3"/>
    <s v="Revenue"/>
    <n v="-3381.35"/>
    <x v="0"/>
    <d v="2023-06-01T00:00:00"/>
  </r>
  <r>
    <s v="GL-1873"/>
    <d v="2023-06-20T00:00:00"/>
    <n v="5010"/>
    <n v="12861.7"/>
    <n v="0"/>
    <s v="COGS for Invoice AP-INV-5469"/>
    <x v="0"/>
    <s v="Expenses"/>
    <n v="12861.7"/>
    <x v="0"/>
    <d v="2023-06-01T00:00:00"/>
  </r>
  <r>
    <s v="GL-1874"/>
    <d v="2023-06-20T00:00:00"/>
    <n v="2010"/>
    <n v="0"/>
    <n v="12861.7"/>
    <s v="AP for Invoice AP-INV-5469"/>
    <x v="1"/>
    <s v="Liabilities"/>
    <n v="-12861.7"/>
    <x v="0"/>
    <d v="2023-06-01T00:00:00"/>
  </r>
  <r>
    <s v="GL-1697"/>
    <d v="2023-06-24T00:00:00"/>
    <n v="5010"/>
    <n v="10762.73"/>
    <n v="0"/>
    <s v="COGS for Invoice AP-INV-5425"/>
    <x v="0"/>
    <s v="Expenses"/>
    <n v="10762.73"/>
    <x v="0"/>
    <d v="2023-06-01T00:00:00"/>
  </r>
  <r>
    <s v="GL-1698"/>
    <d v="2023-06-24T00:00:00"/>
    <n v="2010"/>
    <n v="0"/>
    <n v="10762.73"/>
    <s v="AP for Invoice AP-INV-5425"/>
    <x v="1"/>
    <s v="Liabilities"/>
    <n v="-10762.73"/>
    <x v="0"/>
    <d v="2023-06-01T00:00:00"/>
  </r>
  <r>
    <s v="GL-873"/>
    <d v="2023-06-24T00:00:00"/>
    <n v="5010"/>
    <n v="13206.63"/>
    <n v="0"/>
    <s v="COGS for Invoice AP-INV-5219"/>
    <x v="0"/>
    <s v="Expenses"/>
    <n v="13206.63"/>
    <x v="0"/>
    <d v="2023-06-01T00:00:00"/>
  </r>
  <r>
    <s v="GL-874"/>
    <d v="2023-06-24T00:00:00"/>
    <n v="2010"/>
    <n v="0"/>
    <n v="13206.63"/>
    <s v="AP for Invoice AP-INV-5219"/>
    <x v="1"/>
    <s v="Liabilities"/>
    <n v="-13206.63"/>
    <x v="0"/>
    <d v="2023-06-01T00:00:00"/>
  </r>
  <r>
    <s v="GL-71"/>
    <d v="2023-06-26T00:00:00"/>
    <n v="1200"/>
    <n v="13913.03"/>
    <n v="0"/>
    <s v="AR for Invoice AR-INV-7018"/>
    <x v="2"/>
    <s v="Assets"/>
    <n v="13913.03"/>
    <x v="0"/>
    <d v="2023-06-01T00:00:00"/>
  </r>
  <r>
    <s v="GL-72"/>
    <d v="2023-06-26T00:00:00"/>
    <n v="4010"/>
    <n v="0"/>
    <n v="13913.03"/>
    <s v="Sales for Invoice AR-INV-7018"/>
    <x v="3"/>
    <s v="Revenue"/>
    <n v="-13913.03"/>
    <x v="0"/>
    <d v="2023-06-01T00:00:00"/>
  </r>
  <r>
    <s v="GL-1795"/>
    <d v="2023-06-27T00:00:00"/>
    <n v="1200"/>
    <n v="1552.77"/>
    <n v="0"/>
    <s v="AR for Invoice AR-INV-7449"/>
    <x v="2"/>
    <s v="Assets"/>
    <n v="1552.77"/>
    <x v="0"/>
    <d v="2023-06-01T00:00:00"/>
  </r>
  <r>
    <s v="GL-1796"/>
    <d v="2023-06-27T00:00:00"/>
    <n v="4010"/>
    <n v="0"/>
    <n v="1552.77"/>
    <s v="Sales for Invoice AR-INV-7449"/>
    <x v="3"/>
    <s v="Revenue"/>
    <n v="-1552.77"/>
    <x v="0"/>
    <d v="2023-06-01T00:00:00"/>
  </r>
  <r>
    <s v="GL-555"/>
    <d v="2023-06-27T00:00:00"/>
    <n v="1200"/>
    <n v="43753.87"/>
    <n v="0"/>
    <s v="AR for Invoice AR-INV-7139"/>
    <x v="2"/>
    <s v="Assets"/>
    <n v="43753.87"/>
    <x v="0"/>
    <d v="2023-06-01T00:00:00"/>
  </r>
  <r>
    <s v="GL-556"/>
    <d v="2023-06-27T00:00:00"/>
    <n v="4010"/>
    <n v="0"/>
    <n v="43753.87"/>
    <s v="Sales for Invoice AR-INV-7139"/>
    <x v="3"/>
    <s v="Revenue"/>
    <n v="-43753.87"/>
    <x v="0"/>
    <d v="2023-06-01T00:00:00"/>
  </r>
  <r>
    <s v="GL-945"/>
    <d v="2023-06-27T00:00:00"/>
    <n v="5010"/>
    <n v="2639.7"/>
    <n v="0"/>
    <s v="COGS for Invoice AP-INV-5237"/>
    <x v="0"/>
    <s v="Expenses"/>
    <n v="2639.7"/>
    <x v="0"/>
    <d v="2023-06-01T00:00:00"/>
  </r>
  <r>
    <s v="GL-946"/>
    <d v="2023-06-27T00:00:00"/>
    <n v="2010"/>
    <n v="0"/>
    <n v="2639.7"/>
    <s v="AP for Invoice AP-INV-5237"/>
    <x v="1"/>
    <s v="Liabilities"/>
    <n v="-2639.7"/>
    <x v="0"/>
    <d v="2023-06-01T00:00:00"/>
  </r>
  <r>
    <s v="GL-1475"/>
    <d v="2023-06-28T00:00:00"/>
    <n v="1200"/>
    <n v="22247.79"/>
    <n v="0"/>
    <s v="AR for Invoice AR-INV-7369"/>
    <x v="2"/>
    <s v="Assets"/>
    <n v="22247.79"/>
    <x v="0"/>
    <d v="2023-06-01T00:00:00"/>
  </r>
  <r>
    <s v="GL-1476"/>
    <d v="2023-06-28T00:00:00"/>
    <n v="4010"/>
    <n v="0"/>
    <n v="22247.79"/>
    <s v="Sales for Invoice AR-INV-7369"/>
    <x v="3"/>
    <s v="Revenue"/>
    <n v="-22247.79"/>
    <x v="0"/>
    <d v="2023-06-01T00:00:00"/>
  </r>
  <r>
    <s v="GL-1101"/>
    <d v="2023-06-30T00:00:00"/>
    <n v="5010"/>
    <n v="7527.18"/>
    <n v="0"/>
    <s v="COGS for Invoice AP-INV-5276"/>
    <x v="0"/>
    <s v="Expenses"/>
    <n v="7527.18"/>
    <x v="0"/>
    <d v="2023-06-01T00:00:00"/>
  </r>
  <r>
    <s v="GL-1102"/>
    <d v="2023-06-30T00:00:00"/>
    <n v="2010"/>
    <n v="0"/>
    <n v="7527.18"/>
    <s v="AP for Invoice AP-INV-5276"/>
    <x v="1"/>
    <s v="Liabilities"/>
    <n v="-7527.18"/>
    <x v="0"/>
    <d v="2023-06-01T00:00:00"/>
  </r>
  <r>
    <s v="GL-1457"/>
    <d v="2023-06-30T00:00:00"/>
    <n v="5010"/>
    <n v="4977.2700000000004"/>
    <n v="0"/>
    <s v="COGS for Invoice AP-INV-5365"/>
    <x v="0"/>
    <s v="Expenses"/>
    <n v="4977.2700000000004"/>
    <x v="0"/>
    <d v="2023-06-01T00:00:00"/>
  </r>
  <r>
    <s v="GL-1458"/>
    <d v="2023-06-30T00:00:00"/>
    <n v="2010"/>
    <n v="0"/>
    <n v="4977.2700000000004"/>
    <s v="AP for Invoice AP-INV-5365"/>
    <x v="1"/>
    <s v="Liabilities"/>
    <n v="-4977.2700000000004"/>
    <x v="0"/>
    <d v="2023-06-01T00:00:00"/>
  </r>
  <r>
    <s v="GL-1451"/>
    <d v="2023-07-04T00:00:00"/>
    <n v="1200"/>
    <n v="25935.33"/>
    <n v="0"/>
    <s v="AR for Invoice AR-INV-7363"/>
    <x v="2"/>
    <s v="Assets"/>
    <n v="25935.33"/>
    <x v="0"/>
    <d v="2023-07-01T00:00:00"/>
  </r>
  <r>
    <s v="GL-1452"/>
    <d v="2023-07-04T00:00:00"/>
    <n v="4010"/>
    <n v="0"/>
    <n v="25935.33"/>
    <s v="Sales for Invoice AR-INV-7363"/>
    <x v="3"/>
    <s v="Revenue"/>
    <n v="-25935.33"/>
    <x v="0"/>
    <d v="2023-07-01T00:00:00"/>
  </r>
  <r>
    <s v="GL-1517"/>
    <d v="2023-07-04T00:00:00"/>
    <n v="5010"/>
    <n v="14249.1"/>
    <n v="0"/>
    <s v="COGS for Invoice AP-INV-5380"/>
    <x v="0"/>
    <s v="Expenses"/>
    <n v="14249.1"/>
    <x v="0"/>
    <d v="2023-07-01T00:00:00"/>
  </r>
  <r>
    <s v="GL-1518"/>
    <d v="2023-07-04T00:00:00"/>
    <n v="2010"/>
    <n v="0"/>
    <n v="14249.1"/>
    <s v="AP for Invoice AP-INV-5380"/>
    <x v="1"/>
    <s v="Liabilities"/>
    <n v="-14249.1"/>
    <x v="0"/>
    <d v="2023-07-01T00:00:00"/>
  </r>
  <r>
    <s v="GL-1905"/>
    <d v="2023-07-04T00:00:00"/>
    <n v="5010"/>
    <n v="17612.78"/>
    <n v="0"/>
    <s v="COGS for Invoice AP-INV-5477"/>
    <x v="0"/>
    <s v="Expenses"/>
    <n v="17612.78"/>
    <x v="0"/>
    <d v="2023-07-01T00:00:00"/>
  </r>
  <r>
    <s v="GL-1906"/>
    <d v="2023-07-04T00:00:00"/>
    <n v="2010"/>
    <n v="0"/>
    <n v="17612.78"/>
    <s v="AP for Invoice AP-INV-5477"/>
    <x v="1"/>
    <s v="Liabilities"/>
    <n v="-17612.78"/>
    <x v="0"/>
    <d v="2023-07-01T00:00:00"/>
  </r>
  <r>
    <s v="GL-633"/>
    <d v="2023-07-06T00:00:00"/>
    <n v="5010"/>
    <n v="1592.79"/>
    <n v="0"/>
    <s v="COGS for Invoice AP-INV-5159"/>
    <x v="0"/>
    <s v="Expenses"/>
    <n v="1592.79"/>
    <x v="0"/>
    <d v="2023-07-01T00:00:00"/>
  </r>
  <r>
    <s v="GL-634"/>
    <d v="2023-07-06T00:00:00"/>
    <n v="2010"/>
    <n v="0"/>
    <n v="1592.79"/>
    <s v="AP for Invoice AP-INV-5159"/>
    <x v="1"/>
    <s v="Liabilities"/>
    <n v="-1592.79"/>
    <x v="0"/>
    <d v="2023-07-01T00:00:00"/>
  </r>
  <r>
    <s v="GL-1149"/>
    <d v="2023-07-07T00:00:00"/>
    <n v="5010"/>
    <n v="6772.35"/>
    <n v="0"/>
    <s v="COGS for Invoice AP-INV-5288"/>
    <x v="0"/>
    <s v="Expenses"/>
    <n v="6772.35"/>
    <x v="0"/>
    <d v="2023-07-01T00:00:00"/>
  </r>
  <r>
    <s v="GL-1150"/>
    <d v="2023-07-07T00:00:00"/>
    <n v="2010"/>
    <n v="0"/>
    <n v="6772.35"/>
    <s v="AP for Invoice AP-INV-5288"/>
    <x v="1"/>
    <s v="Liabilities"/>
    <n v="-6772.35"/>
    <x v="0"/>
    <d v="2023-07-01T00:00:00"/>
  </r>
  <r>
    <s v="GL-1465"/>
    <d v="2023-07-07T00:00:00"/>
    <n v="5010"/>
    <n v="6858.2"/>
    <n v="0"/>
    <s v="COGS for Invoice AP-INV-5367"/>
    <x v="0"/>
    <s v="Expenses"/>
    <n v="6858.2"/>
    <x v="0"/>
    <d v="2023-07-01T00:00:00"/>
  </r>
  <r>
    <s v="GL-1466"/>
    <d v="2023-07-07T00:00:00"/>
    <n v="2010"/>
    <n v="0"/>
    <n v="6858.2"/>
    <s v="AP for Invoice AP-INV-5367"/>
    <x v="1"/>
    <s v="Liabilities"/>
    <n v="-6858.2"/>
    <x v="0"/>
    <d v="2023-07-01T00:00:00"/>
  </r>
  <r>
    <s v="GL-1633"/>
    <d v="2023-07-11T00:00:00"/>
    <n v="5010"/>
    <n v="15091.69"/>
    <n v="0"/>
    <s v="COGS for Invoice AP-INV-5409"/>
    <x v="0"/>
    <s v="Expenses"/>
    <n v="15091.69"/>
    <x v="0"/>
    <d v="2023-07-01T00:00:00"/>
  </r>
  <r>
    <s v="GL-1634"/>
    <d v="2023-07-11T00:00:00"/>
    <n v="2010"/>
    <n v="0"/>
    <n v="15091.69"/>
    <s v="AP for Invoice AP-INV-5409"/>
    <x v="1"/>
    <s v="Liabilities"/>
    <n v="-15091.69"/>
    <x v="0"/>
    <d v="2023-07-01T00:00:00"/>
  </r>
  <r>
    <s v="GL-591"/>
    <d v="2023-07-11T00:00:00"/>
    <n v="1200"/>
    <n v="40197.879999999997"/>
    <n v="0"/>
    <s v="AR for Invoice AR-INV-7148"/>
    <x v="2"/>
    <s v="Assets"/>
    <n v="40197.879999999997"/>
    <x v="0"/>
    <d v="2023-07-01T00:00:00"/>
  </r>
  <r>
    <s v="GL-592"/>
    <d v="2023-07-11T00:00:00"/>
    <n v="4010"/>
    <n v="0"/>
    <n v="40197.879999999997"/>
    <s v="Sales for Invoice AR-INV-7148"/>
    <x v="3"/>
    <s v="Revenue"/>
    <n v="-40197.879999999997"/>
    <x v="0"/>
    <d v="2023-07-01T00:00:00"/>
  </r>
  <r>
    <s v="GL-1247"/>
    <d v="2023-07-12T00:00:00"/>
    <n v="1200"/>
    <n v="31259.23"/>
    <n v="0"/>
    <s v="AR for Invoice AR-INV-7312"/>
    <x v="2"/>
    <s v="Assets"/>
    <n v="31259.23"/>
    <x v="0"/>
    <d v="2023-07-01T00:00:00"/>
  </r>
  <r>
    <s v="GL-1248"/>
    <d v="2023-07-12T00:00:00"/>
    <n v="4010"/>
    <n v="0"/>
    <n v="31259.23"/>
    <s v="Sales for Invoice AR-INV-7312"/>
    <x v="3"/>
    <s v="Revenue"/>
    <n v="-31259.23"/>
    <x v="0"/>
    <d v="2023-07-01T00:00:00"/>
  </r>
  <r>
    <s v="GL-901"/>
    <d v="2023-07-14T00:00:00"/>
    <n v="5010"/>
    <n v="11113.3"/>
    <n v="0"/>
    <s v="COGS for Invoice AP-INV-5226"/>
    <x v="0"/>
    <s v="Expenses"/>
    <n v="11113.3"/>
    <x v="0"/>
    <d v="2023-07-01T00:00:00"/>
  </r>
  <r>
    <s v="GL-902"/>
    <d v="2023-07-14T00:00:00"/>
    <n v="2010"/>
    <n v="0"/>
    <n v="11113.3"/>
    <s v="AP for Invoice AP-INV-5226"/>
    <x v="1"/>
    <s v="Liabilities"/>
    <n v="-11113.3"/>
    <x v="0"/>
    <d v="2023-07-01T00:00:00"/>
  </r>
  <r>
    <s v="GL-799"/>
    <d v="2023-07-18T00:00:00"/>
    <n v="1200"/>
    <n v="32778.620000000003"/>
    <n v="0"/>
    <s v="AR for Invoice AR-INV-7200"/>
    <x v="2"/>
    <s v="Assets"/>
    <n v="32778.620000000003"/>
    <x v="0"/>
    <d v="2023-07-01T00:00:00"/>
  </r>
  <r>
    <s v="GL-800"/>
    <d v="2023-07-18T00:00:00"/>
    <n v="4010"/>
    <n v="0"/>
    <n v="32778.620000000003"/>
    <s v="Sales for Invoice AR-INV-7200"/>
    <x v="3"/>
    <s v="Revenue"/>
    <n v="-32778.620000000003"/>
    <x v="0"/>
    <d v="2023-07-01T00:00:00"/>
  </r>
  <r>
    <s v="GL-107"/>
    <d v="2023-07-23T00:00:00"/>
    <n v="1200"/>
    <n v="2491.5500000000002"/>
    <n v="0"/>
    <s v="AR for Invoice AR-INV-7027"/>
    <x v="2"/>
    <s v="Assets"/>
    <n v="2491.5500000000002"/>
    <x v="0"/>
    <d v="2023-07-01T00:00:00"/>
  </r>
  <r>
    <s v="GL-108"/>
    <d v="2023-07-23T00:00:00"/>
    <n v="4010"/>
    <n v="0"/>
    <n v="2491.5500000000002"/>
    <s v="Sales for Invoice AR-INV-7027"/>
    <x v="3"/>
    <s v="Revenue"/>
    <n v="-2491.5500000000002"/>
    <x v="0"/>
    <d v="2023-07-01T00:00:00"/>
  </r>
  <r>
    <s v="GL-1835"/>
    <d v="2023-07-23T00:00:00"/>
    <n v="1200"/>
    <n v="9418.32"/>
    <n v="0"/>
    <s v="AR for Invoice AR-INV-7459"/>
    <x v="2"/>
    <s v="Assets"/>
    <n v="9418.32"/>
    <x v="0"/>
    <d v="2023-07-01T00:00:00"/>
  </r>
  <r>
    <s v="GL-1836"/>
    <d v="2023-07-23T00:00:00"/>
    <n v="4010"/>
    <n v="0"/>
    <n v="9418.32"/>
    <s v="Sales for Invoice AR-INV-7459"/>
    <x v="3"/>
    <s v="Revenue"/>
    <n v="-9418.32"/>
    <x v="0"/>
    <d v="2023-07-01T00:00:00"/>
  </r>
  <r>
    <s v="GL-1299"/>
    <d v="2023-07-24T00:00:00"/>
    <n v="1200"/>
    <n v="28312.17"/>
    <n v="0"/>
    <s v="AR for Invoice AR-INV-7325"/>
    <x v="2"/>
    <s v="Assets"/>
    <n v="28312.17"/>
    <x v="0"/>
    <d v="2023-07-01T00:00:00"/>
  </r>
  <r>
    <s v="GL-1300"/>
    <d v="2023-07-24T00:00:00"/>
    <n v="4010"/>
    <n v="0"/>
    <n v="28312.17"/>
    <s v="Sales for Invoice AR-INV-7325"/>
    <x v="3"/>
    <s v="Revenue"/>
    <n v="-28312.17"/>
    <x v="0"/>
    <d v="2023-07-01T00:00:00"/>
  </r>
  <r>
    <s v="GL-389"/>
    <d v="2023-07-24T00:00:00"/>
    <n v="5010"/>
    <n v="19527"/>
    <n v="0"/>
    <s v="COGS for Invoice AP-INV-5098"/>
    <x v="0"/>
    <s v="Expenses"/>
    <n v="19527"/>
    <x v="0"/>
    <d v="2023-07-01T00:00:00"/>
  </r>
  <r>
    <s v="GL-390"/>
    <d v="2023-07-24T00:00:00"/>
    <n v="2010"/>
    <n v="0"/>
    <n v="19527"/>
    <s v="AP for Invoice AP-INV-5098"/>
    <x v="1"/>
    <s v="Liabilities"/>
    <n v="-19527"/>
    <x v="0"/>
    <d v="2023-07-01T00:00:00"/>
  </r>
  <r>
    <s v="GL-839"/>
    <d v="2023-07-27T00:00:00"/>
    <n v="1200"/>
    <n v="9487.06"/>
    <n v="0"/>
    <s v="AR for Invoice AR-INV-7210"/>
    <x v="2"/>
    <s v="Assets"/>
    <n v="9487.06"/>
    <x v="0"/>
    <d v="2023-07-01T00:00:00"/>
  </r>
  <r>
    <s v="GL-840"/>
    <d v="2023-07-27T00:00:00"/>
    <n v="4010"/>
    <n v="0"/>
    <n v="9487.06"/>
    <s v="Sales for Invoice AR-INV-7210"/>
    <x v="3"/>
    <s v="Revenue"/>
    <n v="-9487.06"/>
    <x v="0"/>
    <d v="2023-07-01T00:00:00"/>
  </r>
  <r>
    <s v="GL-257"/>
    <d v="2023-07-28T00:00:00"/>
    <n v="5010"/>
    <n v="12266.21"/>
    <n v="0"/>
    <s v="COGS for Invoice AP-INV-5065"/>
    <x v="0"/>
    <s v="Expenses"/>
    <n v="12266.21"/>
    <x v="0"/>
    <d v="2023-07-01T00:00:00"/>
  </r>
  <r>
    <s v="GL-258"/>
    <d v="2023-07-28T00:00:00"/>
    <n v="2010"/>
    <n v="0"/>
    <n v="12266.21"/>
    <s v="AP for Invoice AP-INV-5065"/>
    <x v="1"/>
    <s v="Liabilities"/>
    <n v="-12266.21"/>
    <x v="0"/>
    <d v="2023-07-01T00:00:00"/>
  </r>
  <r>
    <s v="GL-1783"/>
    <d v="2023-07-30T00:00:00"/>
    <n v="1200"/>
    <n v="34054.79"/>
    <n v="0"/>
    <s v="AR for Invoice AR-INV-7446"/>
    <x v="2"/>
    <s v="Assets"/>
    <n v="34054.79"/>
    <x v="0"/>
    <d v="2023-07-01T00:00:00"/>
  </r>
  <r>
    <s v="GL-1784"/>
    <d v="2023-07-30T00:00:00"/>
    <n v="4010"/>
    <n v="0"/>
    <n v="34054.79"/>
    <s v="Sales for Invoice AR-INV-7446"/>
    <x v="3"/>
    <s v="Revenue"/>
    <n v="-34054.79"/>
    <x v="0"/>
    <d v="2023-07-01T00:00:00"/>
  </r>
  <r>
    <s v="GL-685"/>
    <d v="2023-07-30T00:00:00"/>
    <n v="5010"/>
    <n v="8485.15"/>
    <n v="0"/>
    <s v="COGS for Invoice AP-INV-5172"/>
    <x v="0"/>
    <s v="Expenses"/>
    <n v="8485.15"/>
    <x v="0"/>
    <d v="2023-07-01T00:00:00"/>
  </r>
  <r>
    <s v="GL-686"/>
    <d v="2023-07-30T00:00:00"/>
    <n v="2010"/>
    <n v="0"/>
    <n v="8485.15"/>
    <s v="AP for Invoice AP-INV-5172"/>
    <x v="1"/>
    <s v="Liabilities"/>
    <n v="-8485.15"/>
    <x v="0"/>
    <d v="2023-07-01T00:00:00"/>
  </r>
  <r>
    <s v="GL-1243"/>
    <d v="2023-08-01T00:00:00"/>
    <n v="1200"/>
    <n v="26124.46"/>
    <n v="0"/>
    <s v="AR for Invoice AR-INV-7311"/>
    <x v="2"/>
    <s v="Assets"/>
    <n v="26124.46"/>
    <x v="0"/>
    <d v="2023-08-01T00:00:00"/>
  </r>
  <r>
    <s v="GL-1244"/>
    <d v="2023-08-01T00:00:00"/>
    <n v="4010"/>
    <n v="0"/>
    <n v="26124.46"/>
    <s v="Sales for Invoice AR-INV-7311"/>
    <x v="3"/>
    <s v="Revenue"/>
    <n v="-26124.46"/>
    <x v="0"/>
    <d v="2023-08-01T00:00:00"/>
  </r>
  <r>
    <s v="GL-1895"/>
    <d v="2023-08-03T00:00:00"/>
    <n v="1200"/>
    <n v="31131.79"/>
    <n v="0"/>
    <s v="AR for Invoice AR-INV-7474"/>
    <x v="2"/>
    <s v="Assets"/>
    <n v="31131.79"/>
    <x v="0"/>
    <d v="2023-08-01T00:00:00"/>
  </r>
  <r>
    <s v="GL-1896"/>
    <d v="2023-08-03T00:00:00"/>
    <n v="4010"/>
    <n v="0"/>
    <n v="31131.79"/>
    <s v="Sales for Invoice AR-INV-7474"/>
    <x v="3"/>
    <s v="Revenue"/>
    <n v="-31131.79"/>
    <x v="0"/>
    <d v="2023-08-01T00:00:00"/>
  </r>
  <r>
    <s v="GL-889"/>
    <d v="2023-08-03T00:00:00"/>
    <n v="5010"/>
    <n v="2033.85"/>
    <n v="0"/>
    <s v="COGS for Invoice AP-INV-5223"/>
    <x v="0"/>
    <s v="Expenses"/>
    <n v="2033.85"/>
    <x v="0"/>
    <d v="2023-08-01T00:00:00"/>
  </r>
  <r>
    <s v="GL-890"/>
    <d v="2023-08-03T00:00:00"/>
    <n v="2010"/>
    <n v="0"/>
    <n v="2033.85"/>
    <s v="AP for Invoice AP-INV-5223"/>
    <x v="1"/>
    <s v="Liabilities"/>
    <n v="-2033.85"/>
    <x v="0"/>
    <d v="2023-08-01T00:00:00"/>
  </r>
  <r>
    <s v="GL-1481"/>
    <d v="2023-08-04T00:00:00"/>
    <n v="5010"/>
    <n v="14573.65"/>
    <n v="0"/>
    <s v="COGS for Invoice AP-INV-5371"/>
    <x v="0"/>
    <s v="Expenses"/>
    <n v="14573.65"/>
    <x v="0"/>
    <d v="2023-08-01T00:00:00"/>
  </r>
  <r>
    <s v="GL-1482"/>
    <d v="2023-08-04T00:00:00"/>
    <n v="2010"/>
    <n v="0"/>
    <n v="14573.65"/>
    <s v="AP for Invoice AP-INV-5371"/>
    <x v="1"/>
    <s v="Liabilities"/>
    <n v="-14573.65"/>
    <x v="0"/>
    <d v="2023-08-01T00:00:00"/>
  </r>
  <r>
    <s v="GL-593"/>
    <d v="2023-08-04T00:00:00"/>
    <n v="5010"/>
    <n v="10917.55"/>
    <n v="0"/>
    <s v="COGS for Invoice AP-INV-5149"/>
    <x v="0"/>
    <s v="Expenses"/>
    <n v="10917.55"/>
    <x v="0"/>
    <d v="2023-08-01T00:00:00"/>
  </r>
  <r>
    <s v="GL-594"/>
    <d v="2023-08-04T00:00:00"/>
    <n v="2010"/>
    <n v="0"/>
    <n v="10917.55"/>
    <s v="AP for Invoice AP-INV-5149"/>
    <x v="1"/>
    <s v="Liabilities"/>
    <n v="-10917.55"/>
    <x v="0"/>
    <d v="2023-08-01T00:00:00"/>
  </r>
  <r>
    <s v="GL-721"/>
    <d v="2023-08-04T00:00:00"/>
    <n v="5010"/>
    <n v="12208.37"/>
    <n v="0"/>
    <s v="COGS for Invoice AP-INV-5181"/>
    <x v="0"/>
    <s v="Expenses"/>
    <n v="12208.37"/>
    <x v="0"/>
    <d v="2023-08-01T00:00:00"/>
  </r>
  <r>
    <s v="GL-722"/>
    <d v="2023-08-04T00:00:00"/>
    <n v="2010"/>
    <n v="0"/>
    <n v="12208.37"/>
    <s v="AP for Invoice AP-INV-5181"/>
    <x v="1"/>
    <s v="Liabilities"/>
    <n v="-12208.37"/>
    <x v="0"/>
    <d v="2023-08-01T00:00:00"/>
  </r>
  <r>
    <s v="GL-631"/>
    <d v="2023-08-05T00:00:00"/>
    <n v="1200"/>
    <n v="23431.64"/>
    <n v="0"/>
    <s v="AR for Invoice AR-INV-7158"/>
    <x v="2"/>
    <s v="Assets"/>
    <n v="23431.64"/>
    <x v="0"/>
    <d v="2023-08-01T00:00:00"/>
  </r>
  <r>
    <s v="GL-632"/>
    <d v="2023-08-05T00:00:00"/>
    <n v="4010"/>
    <n v="0"/>
    <n v="23431.64"/>
    <s v="Sales for Invoice AR-INV-7158"/>
    <x v="3"/>
    <s v="Revenue"/>
    <n v="-23431.64"/>
    <x v="0"/>
    <d v="2023-08-01T00:00:00"/>
  </r>
  <r>
    <s v="GL-105"/>
    <d v="2023-08-08T00:00:00"/>
    <n v="5010"/>
    <n v="11811.63"/>
    <n v="0"/>
    <s v="COGS for Invoice AP-INV-5027"/>
    <x v="0"/>
    <s v="Expenses"/>
    <n v="11811.63"/>
    <x v="0"/>
    <d v="2023-08-01T00:00:00"/>
  </r>
  <r>
    <s v="GL-106"/>
    <d v="2023-08-08T00:00:00"/>
    <n v="2010"/>
    <n v="0"/>
    <n v="11811.63"/>
    <s v="AP for Invoice AP-INV-5027"/>
    <x v="1"/>
    <s v="Liabilities"/>
    <n v="-11811.63"/>
    <x v="0"/>
    <d v="2023-08-01T00:00:00"/>
  </r>
  <r>
    <s v="GL-719"/>
    <d v="2023-08-08T00:00:00"/>
    <n v="1200"/>
    <n v="16137.97"/>
    <n v="0"/>
    <s v="AR for Invoice AR-INV-7180"/>
    <x v="2"/>
    <s v="Assets"/>
    <n v="16137.97"/>
    <x v="0"/>
    <d v="2023-08-01T00:00:00"/>
  </r>
  <r>
    <s v="GL-720"/>
    <d v="2023-08-08T00:00:00"/>
    <n v="4010"/>
    <n v="0"/>
    <n v="16137.97"/>
    <s v="Sales for Invoice AR-INV-7180"/>
    <x v="3"/>
    <s v="Revenue"/>
    <n v="-16137.97"/>
    <x v="0"/>
    <d v="2023-08-01T00:00:00"/>
  </r>
  <r>
    <s v="GL-539"/>
    <d v="2023-08-09T00:00:00"/>
    <n v="1200"/>
    <n v="40595.43"/>
    <n v="0"/>
    <s v="AR for Invoice AR-INV-7135"/>
    <x v="2"/>
    <s v="Assets"/>
    <n v="40595.43"/>
    <x v="0"/>
    <d v="2023-08-01T00:00:00"/>
  </r>
  <r>
    <s v="GL-540"/>
    <d v="2023-08-09T00:00:00"/>
    <n v="4010"/>
    <n v="0"/>
    <n v="40595.43"/>
    <s v="Sales for Invoice AR-INV-7135"/>
    <x v="3"/>
    <s v="Revenue"/>
    <n v="-40595.43"/>
    <x v="0"/>
    <d v="2023-08-01T00:00:00"/>
  </r>
  <r>
    <s v="GL-791"/>
    <d v="2023-08-09T00:00:00"/>
    <n v="1200"/>
    <n v="34239.449999999997"/>
    <n v="0"/>
    <s v="AR for Invoice AR-INV-7198"/>
    <x v="2"/>
    <s v="Assets"/>
    <n v="34239.449999999997"/>
    <x v="0"/>
    <d v="2023-08-01T00:00:00"/>
  </r>
  <r>
    <s v="GL-792"/>
    <d v="2023-08-09T00:00:00"/>
    <n v="4010"/>
    <n v="0"/>
    <n v="34239.449999999997"/>
    <s v="Sales for Invoice AR-INV-7198"/>
    <x v="3"/>
    <s v="Revenue"/>
    <n v="-34239.449999999997"/>
    <x v="0"/>
    <d v="2023-08-01T00:00:00"/>
  </r>
  <r>
    <s v="GL-1967"/>
    <d v="2023-08-12T00:00:00"/>
    <n v="1200"/>
    <n v="31055.99"/>
    <n v="0"/>
    <s v="AR for Invoice AR-INV-7492"/>
    <x v="2"/>
    <s v="Assets"/>
    <n v="31055.99"/>
    <x v="0"/>
    <d v="2023-08-01T00:00:00"/>
  </r>
  <r>
    <s v="GL-1968"/>
    <d v="2023-08-12T00:00:00"/>
    <n v="4010"/>
    <n v="0"/>
    <n v="31055.99"/>
    <s v="Sales for Invoice AR-INV-7492"/>
    <x v="3"/>
    <s v="Revenue"/>
    <n v="-31055.99"/>
    <x v="0"/>
    <d v="2023-08-01T00:00:00"/>
  </r>
  <r>
    <s v="GL-1635"/>
    <d v="2023-08-17T00:00:00"/>
    <n v="1200"/>
    <n v="39605.120000000003"/>
    <n v="0"/>
    <s v="AR for Invoice AR-INV-7409"/>
    <x v="2"/>
    <s v="Assets"/>
    <n v="39605.120000000003"/>
    <x v="0"/>
    <d v="2023-08-01T00:00:00"/>
  </r>
  <r>
    <s v="GL-1636"/>
    <d v="2023-08-17T00:00:00"/>
    <n v="4010"/>
    <n v="0"/>
    <n v="39605.120000000003"/>
    <s v="Sales for Invoice AR-INV-7409"/>
    <x v="3"/>
    <s v="Revenue"/>
    <n v="-39605.120000000003"/>
    <x v="0"/>
    <d v="2023-08-01T00:00:00"/>
  </r>
  <r>
    <s v="GL-159"/>
    <d v="2023-08-21T00:00:00"/>
    <n v="1200"/>
    <n v="32868.78"/>
    <n v="0"/>
    <s v="AR for Invoice AR-INV-7040"/>
    <x v="2"/>
    <s v="Assets"/>
    <n v="32868.78"/>
    <x v="0"/>
    <d v="2023-08-01T00:00:00"/>
  </r>
  <r>
    <s v="GL-160"/>
    <d v="2023-08-21T00:00:00"/>
    <n v="4010"/>
    <n v="0"/>
    <n v="32868.78"/>
    <s v="Sales for Invoice AR-INV-7040"/>
    <x v="3"/>
    <s v="Revenue"/>
    <n v="-32868.78"/>
    <x v="0"/>
    <d v="2023-08-01T00:00:00"/>
  </r>
  <r>
    <s v="GL-1871"/>
    <d v="2023-08-22T00:00:00"/>
    <n v="1200"/>
    <n v="38895.620000000003"/>
    <n v="0"/>
    <s v="AR for Invoice AR-INV-7468"/>
    <x v="2"/>
    <s v="Assets"/>
    <n v="38895.620000000003"/>
    <x v="0"/>
    <d v="2023-08-01T00:00:00"/>
  </r>
  <r>
    <s v="GL-1872"/>
    <d v="2023-08-22T00:00:00"/>
    <n v="4010"/>
    <n v="0"/>
    <n v="38895.620000000003"/>
    <s v="Sales for Invoice AR-INV-7468"/>
    <x v="3"/>
    <s v="Revenue"/>
    <n v="-38895.620000000003"/>
    <x v="0"/>
    <d v="2023-08-01T00:00:00"/>
  </r>
  <r>
    <s v="GL-309"/>
    <d v="2023-08-30T00:00:00"/>
    <n v="5010"/>
    <n v="18649.12"/>
    <n v="0"/>
    <s v="COGS for Invoice AP-INV-5078"/>
    <x v="0"/>
    <s v="Expenses"/>
    <n v="18649.12"/>
    <x v="0"/>
    <d v="2023-08-01T00:00:00"/>
  </r>
  <r>
    <s v="GL-310"/>
    <d v="2023-08-30T00:00:00"/>
    <n v="2010"/>
    <n v="0"/>
    <n v="18649.12"/>
    <s v="AP for Invoice AP-INV-5078"/>
    <x v="1"/>
    <s v="Liabilities"/>
    <n v="-18649.12"/>
    <x v="0"/>
    <d v="2023-08-01T00:00:00"/>
  </r>
  <r>
    <s v="GL-715"/>
    <d v="2023-08-31T00:00:00"/>
    <n v="1200"/>
    <n v="14296.93"/>
    <n v="0"/>
    <s v="AR for Invoice AR-INV-7179"/>
    <x v="2"/>
    <s v="Assets"/>
    <n v="14296.93"/>
    <x v="0"/>
    <d v="2023-08-01T00:00:00"/>
  </r>
  <r>
    <s v="GL-716"/>
    <d v="2023-08-31T00:00:00"/>
    <n v="4010"/>
    <n v="0"/>
    <n v="14296.93"/>
    <s v="Sales for Invoice AR-INV-7179"/>
    <x v="3"/>
    <s v="Revenue"/>
    <n v="-14296.93"/>
    <x v="0"/>
    <d v="2023-08-01T00:00:00"/>
  </r>
  <r>
    <s v="GL-877"/>
    <d v="2023-08-31T00:00:00"/>
    <n v="5010"/>
    <n v="9568.48"/>
    <n v="0"/>
    <s v="COGS for Invoice AP-INV-5220"/>
    <x v="0"/>
    <s v="Expenses"/>
    <n v="9568.48"/>
    <x v="0"/>
    <d v="2023-08-01T00:00:00"/>
  </r>
  <r>
    <s v="GL-878"/>
    <d v="2023-08-31T00:00:00"/>
    <n v="2010"/>
    <n v="0"/>
    <n v="9568.48"/>
    <s v="AP for Invoice AP-INV-5220"/>
    <x v="1"/>
    <s v="Liabilities"/>
    <n v="-9568.48"/>
    <x v="0"/>
    <d v="2023-08-01T00:00:00"/>
  </r>
  <r>
    <s v="GL-883"/>
    <d v="2023-09-06T00:00:00"/>
    <n v="1200"/>
    <n v="2086.15"/>
    <n v="0"/>
    <s v="AR for Invoice AR-INV-7221"/>
    <x v="2"/>
    <s v="Assets"/>
    <n v="2086.15"/>
    <x v="0"/>
    <d v="2023-09-01T00:00:00"/>
  </r>
  <r>
    <s v="GL-884"/>
    <d v="2023-09-06T00:00:00"/>
    <n v="4010"/>
    <n v="0"/>
    <n v="2086.15"/>
    <s v="Sales for Invoice AR-INV-7221"/>
    <x v="3"/>
    <s v="Revenue"/>
    <n v="-2086.15"/>
    <x v="0"/>
    <d v="2023-09-01T00:00:00"/>
  </r>
  <r>
    <s v="GL-1253"/>
    <d v="2023-09-09T00:00:00"/>
    <n v="5010"/>
    <n v="3999.7"/>
    <n v="0"/>
    <s v="COGS for Invoice AP-INV-5314"/>
    <x v="0"/>
    <s v="Expenses"/>
    <n v="3999.7"/>
    <x v="0"/>
    <d v="2023-09-01T00:00:00"/>
  </r>
  <r>
    <s v="GL-1254"/>
    <d v="2023-09-09T00:00:00"/>
    <n v="2010"/>
    <n v="0"/>
    <n v="3999.7"/>
    <s v="AP for Invoice AP-INV-5314"/>
    <x v="1"/>
    <s v="Liabilities"/>
    <n v="-3999.7"/>
    <x v="0"/>
    <d v="2023-09-01T00:00:00"/>
  </r>
  <r>
    <s v="GL-557"/>
    <d v="2023-09-09T00:00:00"/>
    <n v="5010"/>
    <n v="1974.41"/>
    <n v="0"/>
    <s v="COGS for Invoice AP-INV-5140"/>
    <x v="0"/>
    <s v="Expenses"/>
    <n v="1974.41"/>
    <x v="0"/>
    <d v="2023-09-01T00:00:00"/>
  </r>
  <r>
    <s v="GL-558"/>
    <d v="2023-09-09T00:00:00"/>
    <n v="2010"/>
    <n v="0"/>
    <n v="1974.41"/>
    <s v="AP for Invoice AP-INV-5140"/>
    <x v="1"/>
    <s v="Liabilities"/>
    <n v="-1974.41"/>
    <x v="0"/>
    <d v="2023-09-01T00:00:00"/>
  </r>
  <r>
    <s v="GL-801"/>
    <d v="2023-09-11T00:00:00"/>
    <n v="5010"/>
    <n v="1071.75"/>
    <n v="0"/>
    <s v="COGS for Invoice AP-INV-5201"/>
    <x v="0"/>
    <s v="Expenses"/>
    <n v="1071.75"/>
    <x v="0"/>
    <d v="2023-09-01T00:00:00"/>
  </r>
  <r>
    <s v="GL-802"/>
    <d v="2023-09-11T00:00:00"/>
    <n v="2010"/>
    <n v="0"/>
    <n v="1071.75"/>
    <s v="AP for Invoice AP-INV-5201"/>
    <x v="1"/>
    <s v="Liabilities"/>
    <n v="-1071.75"/>
    <x v="0"/>
    <d v="2023-09-01T00:00:00"/>
  </r>
  <r>
    <s v="GL-401"/>
    <d v="2023-09-13T00:00:00"/>
    <n v="5010"/>
    <n v="19524.79"/>
    <n v="0"/>
    <s v="COGS for Invoice AP-INV-5101"/>
    <x v="0"/>
    <s v="Expenses"/>
    <n v="19524.79"/>
    <x v="0"/>
    <d v="2023-09-01T00:00:00"/>
  </r>
  <r>
    <s v="GL-402"/>
    <d v="2023-09-13T00:00:00"/>
    <n v="2010"/>
    <n v="0"/>
    <n v="19524.79"/>
    <s v="AP for Invoice AP-INV-5101"/>
    <x v="1"/>
    <s v="Liabilities"/>
    <n v="-19524.79"/>
    <x v="0"/>
    <d v="2023-09-01T00:00:00"/>
  </r>
  <r>
    <s v="GL-925"/>
    <d v="2023-09-13T00:00:00"/>
    <n v="5010"/>
    <n v="8476.07"/>
    <n v="0"/>
    <s v="COGS for Invoice AP-INV-5232"/>
    <x v="0"/>
    <s v="Expenses"/>
    <n v="8476.07"/>
    <x v="0"/>
    <d v="2023-09-01T00:00:00"/>
  </r>
  <r>
    <s v="GL-926"/>
    <d v="2023-09-13T00:00:00"/>
    <n v="2010"/>
    <n v="0"/>
    <n v="8476.07"/>
    <s v="AP for Invoice AP-INV-5232"/>
    <x v="1"/>
    <s v="Liabilities"/>
    <n v="-8476.07"/>
    <x v="0"/>
    <d v="2023-09-01T00:00:00"/>
  </r>
  <r>
    <s v="GL-1327"/>
    <d v="2023-09-16T00:00:00"/>
    <n v="1200"/>
    <n v="15507.6"/>
    <n v="0"/>
    <s v="AR for Invoice AR-INV-7332"/>
    <x v="2"/>
    <s v="Assets"/>
    <n v="15507.6"/>
    <x v="0"/>
    <d v="2023-09-01T00:00:00"/>
  </r>
  <r>
    <s v="GL-1328"/>
    <d v="2023-09-16T00:00:00"/>
    <n v="4010"/>
    <n v="0"/>
    <n v="15507.6"/>
    <s v="Sales for Invoice AR-INV-7332"/>
    <x v="3"/>
    <s v="Revenue"/>
    <n v="-15507.6"/>
    <x v="0"/>
    <d v="2023-09-01T00:00:00"/>
  </r>
  <r>
    <s v="GL-205"/>
    <d v="2023-09-16T00:00:00"/>
    <n v="5010"/>
    <n v="11482.88"/>
    <n v="0"/>
    <s v="COGS for Invoice AP-INV-5052"/>
    <x v="0"/>
    <s v="Expenses"/>
    <n v="11482.88"/>
    <x v="0"/>
    <d v="2023-09-01T00:00:00"/>
  </r>
  <r>
    <s v="GL-206"/>
    <d v="2023-09-16T00:00:00"/>
    <n v="2010"/>
    <n v="0"/>
    <n v="11482.88"/>
    <s v="AP for Invoice AP-INV-5052"/>
    <x v="1"/>
    <s v="Liabilities"/>
    <n v="-11482.88"/>
    <x v="0"/>
    <d v="2023-09-01T00:00:00"/>
  </r>
  <r>
    <s v="GL-1191"/>
    <d v="2023-09-20T00:00:00"/>
    <n v="1200"/>
    <n v="43471.31"/>
    <n v="0"/>
    <s v="AR for Invoice AR-INV-7298"/>
    <x v="2"/>
    <s v="Assets"/>
    <n v="43471.31"/>
    <x v="0"/>
    <d v="2023-09-01T00:00:00"/>
  </r>
  <r>
    <s v="GL-1192"/>
    <d v="2023-09-20T00:00:00"/>
    <n v="4010"/>
    <n v="0"/>
    <n v="43471.31"/>
    <s v="Sales for Invoice AR-INV-7298"/>
    <x v="3"/>
    <s v="Revenue"/>
    <n v="-43471.31"/>
    <x v="0"/>
    <d v="2023-09-01T00:00:00"/>
  </r>
  <r>
    <s v="GL-541"/>
    <d v="2023-09-20T00:00:00"/>
    <n v="5010"/>
    <n v="8293.23"/>
    <n v="0"/>
    <s v="COGS for Invoice AP-INV-5136"/>
    <x v="0"/>
    <s v="Expenses"/>
    <n v="8293.23"/>
    <x v="0"/>
    <d v="2023-09-01T00:00:00"/>
  </r>
  <r>
    <s v="GL-542"/>
    <d v="2023-09-20T00:00:00"/>
    <n v="2010"/>
    <n v="0"/>
    <n v="8293.23"/>
    <s v="AP for Invoice AP-INV-5136"/>
    <x v="1"/>
    <s v="Liabilities"/>
    <n v="-8293.23"/>
    <x v="0"/>
    <d v="2023-09-01T00:00:00"/>
  </r>
  <r>
    <s v="GL-779"/>
    <d v="2023-09-21T00:00:00"/>
    <n v="1200"/>
    <n v="32160.57"/>
    <n v="0"/>
    <s v="AR for Invoice AR-INV-7195"/>
    <x v="2"/>
    <s v="Assets"/>
    <n v="32160.57"/>
    <x v="0"/>
    <d v="2023-09-01T00:00:00"/>
  </r>
  <r>
    <s v="GL-780"/>
    <d v="2023-09-21T00:00:00"/>
    <n v="4010"/>
    <n v="0"/>
    <n v="32160.57"/>
    <s v="Sales for Invoice AR-INV-7195"/>
    <x v="3"/>
    <s v="Revenue"/>
    <n v="-32160.57"/>
    <x v="0"/>
    <d v="2023-09-01T00:00:00"/>
  </r>
  <r>
    <s v="GL-1807"/>
    <d v="2023-09-22T00:00:00"/>
    <n v="1200"/>
    <n v="24197.49"/>
    <n v="0"/>
    <s v="AR for Invoice AR-INV-7452"/>
    <x v="2"/>
    <s v="Assets"/>
    <n v="24197.49"/>
    <x v="0"/>
    <d v="2023-09-01T00:00:00"/>
  </r>
  <r>
    <s v="GL-1808"/>
    <d v="2023-09-22T00:00:00"/>
    <n v="4010"/>
    <n v="0"/>
    <n v="24197.49"/>
    <s v="Sales for Invoice AR-INV-7452"/>
    <x v="3"/>
    <s v="Revenue"/>
    <n v="-24197.49"/>
    <x v="0"/>
    <d v="2023-09-01T00:00:00"/>
  </r>
  <r>
    <s v="GL-1487"/>
    <d v="2023-09-23T00:00:00"/>
    <n v="1200"/>
    <n v="35830.18"/>
    <n v="0"/>
    <s v="AR for Invoice AR-INV-7372"/>
    <x v="2"/>
    <s v="Assets"/>
    <n v="35830.18"/>
    <x v="0"/>
    <d v="2023-09-01T00:00:00"/>
  </r>
  <r>
    <s v="GL-1488"/>
    <d v="2023-09-23T00:00:00"/>
    <n v="4010"/>
    <n v="0"/>
    <n v="35830.18"/>
    <s v="Sales for Invoice AR-INV-7372"/>
    <x v="3"/>
    <s v="Revenue"/>
    <n v="-35830.18"/>
    <x v="0"/>
    <d v="2023-09-01T00:00:00"/>
  </r>
  <r>
    <s v="GL-1649"/>
    <d v="2023-09-23T00:00:00"/>
    <n v="5010"/>
    <n v="9172.83"/>
    <n v="0"/>
    <s v="COGS for Invoice AP-INV-5413"/>
    <x v="0"/>
    <s v="Expenses"/>
    <n v="9172.83"/>
    <x v="0"/>
    <d v="2023-09-01T00:00:00"/>
  </r>
  <r>
    <s v="GL-1650"/>
    <d v="2023-09-23T00:00:00"/>
    <n v="2010"/>
    <n v="0"/>
    <n v="9172.83"/>
    <s v="AP for Invoice AP-INV-5413"/>
    <x v="1"/>
    <s v="Liabilities"/>
    <n v="-9172.83"/>
    <x v="0"/>
    <d v="2023-09-01T00:00:00"/>
  </r>
  <r>
    <s v="GL-109"/>
    <d v="2023-09-27T00:00:00"/>
    <n v="5010"/>
    <n v="19890.509999999998"/>
    <n v="0"/>
    <s v="COGS for Invoice AP-INV-5028"/>
    <x v="0"/>
    <s v="Expenses"/>
    <n v="19890.509999999998"/>
    <x v="0"/>
    <d v="2023-09-01T00:00:00"/>
  </r>
  <r>
    <s v="GL-110"/>
    <d v="2023-09-27T00:00:00"/>
    <n v="2010"/>
    <n v="0"/>
    <n v="19890.509999999998"/>
    <s v="AP for Invoice AP-INV-5028"/>
    <x v="1"/>
    <s v="Liabilities"/>
    <n v="-19890.509999999998"/>
    <x v="0"/>
    <d v="2023-09-01T00:00:00"/>
  </r>
  <r>
    <s v="GL-1521"/>
    <d v="2023-09-29T00:00:00"/>
    <n v="5010"/>
    <n v="5123.4399999999996"/>
    <n v="0"/>
    <s v="COGS for Invoice AP-INV-5381"/>
    <x v="0"/>
    <s v="Expenses"/>
    <n v="5123.4399999999996"/>
    <x v="0"/>
    <d v="2023-09-01T00:00:00"/>
  </r>
  <r>
    <s v="GL-1522"/>
    <d v="2023-09-29T00:00:00"/>
    <n v="2010"/>
    <n v="0"/>
    <n v="5123.4399999999996"/>
    <s v="AP for Invoice AP-INV-5381"/>
    <x v="1"/>
    <s v="Liabilities"/>
    <n v="-5123.4399999999996"/>
    <x v="0"/>
    <d v="2023-09-01T00:00:00"/>
  </r>
  <r>
    <s v="GL-1821"/>
    <d v="2023-09-29T00:00:00"/>
    <n v="5010"/>
    <n v="2608.0100000000002"/>
    <n v="0"/>
    <s v="COGS for Invoice AP-INV-5456"/>
    <x v="0"/>
    <s v="Expenses"/>
    <n v="2608.0100000000002"/>
    <x v="0"/>
    <d v="2023-09-01T00:00:00"/>
  </r>
  <r>
    <s v="GL-1822"/>
    <d v="2023-09-29T00:00:00"/>
    <n v="2010"/>
    <n v="0"/>
    <n v="2608.0100000000002"/>
    <s v="AP for Invoice AP-INV-5456"/>
    <x v="1"/>
    <s v="Liabilities"/>
    <n v="-2608.0100000000002"/>
    <x v="0"/>
    <d v="2023-09-01T00:00:00"/>
  </r>
  <r>
    <s v="GL-1537"/>
    <d v="2023-10-01T00:00:00"/>
    <n v="5010"/>
    <n v="19938.39"/>
    <n v="0"/>
    <s v="COGS for Invoice AP-INV-5385"/>
    <x v="0"/>
    <s v="Expenses"/>
    <n v="19938.39"/>
    <x v="0"/>
    <d v="2023-10-01T00:00:00"/>
  </r>
  <r>
    <s v="GL-1538"/>
    <d v="2023-10-01T00:00:00"/>
    <n v="2010"/>
    <n v="0"/>
    <n v="19938.39"/>
    <s v="AP for Invoice AP-INV-5385"/>
    <x v="1"/>
    <s v="Liabilities"/>
    <n v="-19938.39"/>
    <x v="0"/>
    <d v="2023-10-01T00:00:00"/>
  </r>
  <r>
    <s v="GL-61"/>
    <d v="2023-10-01T00:00:00"/>
    <n v="5010"/>
    <n v="1566.19"/>
    <n v="0"/>
    <s v="COGS for Invoice AP-INV-5016"/>
    <x v="0"/>
    <s v="Expenses"/>
    <n v="1566.19"/>
    <x v="0"/>
    <d v="2023-10-01T00:00:00"/>
  </r>
  <r>
    <s v="GL-62"/>
    <d v="2023-10-01T00:00:00"/>
    <n v="2010"/>
    <n v="0"/>
    <n v="1566.19"/>
    <s v="AP for Invoice AP-INV-5016"/>
    <x v="1"/>
    <s v="Liabilities"/>
    <n v="-1566.19"/>
    <x v="0"/>
    <d v="2023-10-01T00:00:00"/>
  </r>
  <r>
    <s v="GL-1377"/>
    <d v="2023-10-02T00:00:00"/>
    <n v="5010"/>
    <n v="3190.38"/>
    <n v="0"/>
    <s v="COGS for Invoice AP-INV-5345"/>
    <x v="0"/>
    <s v="Expenses"/>
    <n v="3190.38"/>
    <x v="0"/>
    <d v="2023-10-01T00:00:00"/>
  </r>
  <r>
    <s v="GL-1378"/>
    <d v="2023-10-02T00:00:00"/>
    <n v="2010"/>
    <n v="0"/>
    <n v="3190.38"/>
    <s v="AP for Invoice AP-INV-5345"/>
    <x v="1"/>
    <s v="Liabilities"/>
    <n v="-3190.38"/>
    <x v="0"/>
    <d v="2023-10-01T00:00:00"/>
  </r>
  <r>
    <s v="GL-1803"/>
    <d v="2023-10-05T00:00:00"/>
    <n v="1200"/>
    <n v="25656.69"/>
    <n v="0"/>
    <s v="AR for Invoice AR-INV-7451"/>
    <x v="2"/>
    <s v="Assets"/>
    <n v="25656.69"/>
    <x v="0"/>
    <d v="2023-10-01T00:00:00"/>
  </r>
  <r>
    <s v="GL-1804"/>
    <d v="2023-10-05T00:00:00"/>
    <n v="4010"/>
    <n v="0"/>
    <n v="25656.69"/>
    <s v="Sales for Invoice AR-INV-7451"/>
    <x v="3"/>
    <s v="Revenue"/>
    <n v="-25656.69"/>
    <x v="0"/>
    <d v="2023-10-01T00:00:00"/>
  </r>
  <r>
    <s v="GL-561"/>
    <d v="2023-10-05T00:00:00"/>
    <n v="5010"/>
    <n v="15638.18"/>
    <n v="0"/>
    <s v="COGS for Invoice AP-INV-5141"/>
    <x v="0"/>
    <s v="Expenses"/>
    <n v="15638.18"/>
    <x v="0"/>
    <d v="2023-10-01T00:00:00"/>
  </r>
  <r>
    <s v="GL-562"/>
    <d v="2023-10-05T00:00:00"/>
    <n v="2010"/>
    <n v="0"/>
    <n v="15638.18"/>
    <s v="AP for Invoice AP-INV-5141"/>
    <x v="1"/>
    <s v="Liabilities"/>
    <n v="-15638.18"/>
    <x v="0"/>
    <d v="2023-10-01T00:00:00"/>
  </r>
  <r>
    <s v="GL-1273"/>
    <d v="2023-10-06T00:00:00"/>
    <n v="5010"/>
    <n v="4100.7700000000004"/>
    <n v="0"/>
    <s v="COGS for Invoice AP-INV-5319"/>
    <x v="0"/>
    <s v="Expenses"/>
    <n v="4100.7700000000004"/>
    <x v="0"/>
    <d v="2023-10-01T00:00:00"/>
  </r>
  <r>
    <s v="GL-1274"/>
    <d v="2023-10-06T00:00:00"/>
    <n v="2010"/>
    <n v="0"/>
    <n v="4100.7700000000004"/>
    <s v="AP for Invoice AP-INV-5319"/>
    <x v="1"/>
    <s v="Liabilities"/>
    <n v="-4100.7700000000004"/>
    <x v="0"/>
    <d v="2023-10-01T00:00:00"/>
  </r>
  <r>
    <s v="GL-677"/>
    <d v="2023-10-08T00:00:00"/>
    <n v="5010"/>
    <n v="2866.02"/>
    <n v="0"/>
    <s v="COGS for Invoice AP-INV-5170"/>
    <x v="0"/>
    <s v="Expenses"/>
    <n v="2866.02"/>
    <x v="0"/>
    <d v="2023-10-01T00:00:00"/>
  </r>
  <r>
    <s v="GL-678"/>
    <d v="2023-10-08T00:00:00"/>
    <n v="2010"/>
    <n v="0"/>
    <n v="2866.02"/>
    <s v="AP for Invoice AP-INV-5170"/>
    <x v="1"/>
    <s v="Liabilities"/>
    <n v="-2866.02"/>
    <x v="0"/>
    <d v="2023-10-01T00:00:00"/>
  </r>
  <r>
    <s v="GL-935"/>
    <d v="2023-10-10T00:00:00"/>
    <n v="1200"/>
    <n v="46192.7"/>
    <n v="0"/>
    <s v="AR for Invoice AR-INV-7234"/>
    <x v="2"/>
    <s v="Assets"/>
    <n v="46192.7"/>
    <x v="0"/>
    <d v="2023-10-01T00:00:00"/>
  </r>
  <r>
    <s v="GL-936"/>
    <d v="2023-10-10T00:00:00"/>
    <n v="4010"/>
    <n v="0"/>
    <n v="46192.7"/>
    <s v="Sales for Invoice AR-INV-7234"/>
    <x v="3"/>
    <s v="Revenue"/>
    <n v="-46192.7"/>
    <x v="0"/>
    <d v="2023-10-01T00:00:00"/>
  </r>
  <r>
    <s v="GL-193"/>
    <d v="2023-10-11T00:00:00"/>
    <n v="5010"/>
    <n v="10728.64"/>
    <n v="0"/>
    <s v="COGS for Invoice AP-INV-5049"/>
    <x v="0"/>
    <s v="Expenses"/>
    <n v="10728.64"/>
    <x v="0"/>
    <d v="2023-10-01T00:00:00"/>
  </r>
  <r>
    <s v="GL-194"/>
    <d v="2023-10-11T00:00:00"/>
    <n v="2010"/>
    <n v="0"/>
    <n v="10728.64"/>
    <s v="AP for Invoice AP-INV-5049"/>
    <x v="1"/>
    <s v="Liabilities"/>
    <n v="-10728.64"/>
    <x v="0"/>
    <d v="2023-10-01T00:00:00"/>
  </r>
  <r>
    <s v="GL-523"/>
    <d v="2023-10-11T00:00:00"/>
    <n v="1200"/>
    <n v="3710.29"/>
    <n v="0"/>
    <s v="AR for Invoice AR-INV-7131"/>
    <x v="2"/>
    <s v="Assets"/>
    <n v="3710.29"/>
    <x v="0"/>
    <d v="2023-10-01T00:00:00"/>
  </r>
  <r>
    <s v="GL-524"/>
    <d v="2023-10-11T00:00:00"/>
    <n v="4010"/>
    <n v="0"/>
    <n v="3710.29"/>
    <s v="Sales for Invoice AR-INV-7131"/>
    <x v="3"/>
    <s v="Revenue"/>
    <n v="-3710.29"/>
    <x v="0"/>
    <d v="2023-10-01T00:00:00"/>
  </r>
  <r>
    <s v="GL-10"/>
    <d v="2023-10-14T00:00:00"/>
    <n v="2010"/>
    <n v="0"/>
    <n v="13478.55"/>
    <s v="AP for Invoice AP-INV-5003"/>
    <x v="1"/>
    <s v="Liabilities"/>
    <n v="-13478.55"/>
    <x v="0"/>
    <d v="2023-10-01T00:00:00"/>
  </r>
  <r>
    <s v="GL-9"/>
    <d v="2023-10-14T00:00:00"/>
    <n v="5010"/>
    <n v="13478.55"/>
    <n v="0"/>
    <s v="COGS for Invoice AP-INV-5003"/>
    <x v="0"/>
    <s v="Expenses"/>
    <n v="13478.55"/>
    <x v="0"/>
    <d v="2023-10-01T00:00:00"/>
  </r>
  <r>
    <s v="GL-1881"/>
    <d v="2023-10-15T00:00:00"/>
    <n v="5010"/>
    <n v="16142.71"/>
    <n v="0"/>
    <s v="COGS for Invoice AP-INV-5471"/>
    <x v="0"/>
    <s v="Expenses"/>
    <n v="16142.71"/>
    <x v="0"/>
    <d v="2023-10-01T00:00:00"/>
  </r>
  <r>
    <s v="GL-1882"/>
    <d v="2023-10-15T00:00:00"/>
    <n v="2010"/>
    <n v="0"/>
    <n v="16142.71"/>
    <s v="AP for Invoice AP-INV-5471"/>
    <x v="1"/>
    <s v="Liabilities"/>
    <n v="-16142.71"/>
    <x v="0"/>
    <d v="2023-10-01T00:00:00"/>
  </r>
  <r>
    <s v="GL-875"/>
    <d v="2023-10-15T00:00:00"/>
    <n v="1200"/>
    <n v="18658.650000000001"/>
    <n v="0"/>
    <s v="AR for Invoice AR-INV-7219"/>
    <x v="2"/>
    <s v="Assets"/>
    <n v="18658.650000000001"/>
    <x v="0"/>
    <d v="2023-10-01T00:00:00"/>
  </r>
  <r>
    <s v="GL-876"/>
    <d v="2023-10-15T00:00:00"/>
    <n v="4010"/>
    <n v="0"/>
    <n v="18658.650000000001"/>
    <s v="Sales for Invoice AR-INV-7219"/>
    <x v="3"/>
    <s v="Revenue"/>
    <n v="-18658.650000000001"/>
    <x v="0"/>
    <d v="2023-10-01T00:00:00"/>
  </r>
  <r>
    <s v="GL-1229"/>
    <d v="2023-10-16T00:00:00"/>
    <n v="5010"/>
    <n v="19101.41"/>
    <n v="0"/>
    <s v="COGS for Invoice AP-INV-5308"/>
    <x v="0"/>
    <s v="Expenses"/>
    <n v="19101.41"/>
    <x v="0"/>
    <d v="2023-10-01T00:00:00"/>
  </r>
  <r>
    <s v="GL-1230"/>
    <d v="2023-10-16T00:00:00"/>
    <n v="2010"/>
    <n v="0"/>
    <n v="19101.41"/>
    <s v="AP for Invoice AP-INV-5308"/>
    <x v="1"/>
    <s v="Liabilities"/>
    <n v="-19101.41"/>
    <x v="0"/>
    <d v="2023-10-01T00:00:00"/>
  </r>
  <r>
    <s v="GL-1003"/>
    <d v="2023-10-19T00:00:00"/>
    <n v="1200"/>
    <n v="10975.35"/>
    <n v="0"/>
    <s v="AR for Invoice AR-INV-7251"/>
    <x v="2"/>
    <s v="Assets"/>
    <n v="10975.35"/>
    <x v="0"/>
    <d v="2023-10-01T00:00:00"/>
  </r>
  <r>
    <s v="GL-1004"/>
    <d v="2023-10-19T00:00:00"/>
    <n v="4010"/>
    <n v="0"/>
    <n v="10975.35"/>
    <s v="Sales for Invoice AR-INV-7251"/>
    <x v="3"/>
    <s v="Revenue"/>
    <n v="-10975.35"/>
    <x v="0"/>
    <d v="2023-10-01T00:00:00"/>
  </r>
  <r>
    <s v="GL-1691"/>
    <d v="2023-10-19T00:00:00"/>
    <n v="1200"/>
    <n v="9274.36"/>
    <n v="0"/>
    <s v="AR for Invoice AR-INV-7423"/>
    <x v="2"/>
    <s v="Assets"/>
    <n v="9274.36"/>
    <x v="0"/>
    <d v="2023-10-01T00:00:00"/>
  </r>
  <r>
    <s v="GL-1692"/>
    <d v="2023-10-19T00:00:00"/>
    <n v="4010"/>
    <n v="0"/>
    <n v="9274.36"/>
    <s v="Sales for Invoice AR-INV-7423"/>
    <x v="3"/>
    <s v="Revenue"/>
    <n v="-9274.36"/>
    <x v="0"/>
    <d v="2023-10-01T00:00:00"/>
  </r>
  <r>
    <s v="GL-601"/>
    <d v="2023-10-21T00:00:00"/>
    <n v="5010"/>
    <n v="11805.38"/>
    <n v="0"/>
    <s v="COGS for Invoice AP-INV-5151"/>
    <x v="0"/>
    <s v="Expenses"/>
    <n v="11805.38"/>
    <x v="0"/>
    <d v="2023-10-01T00:00:00"/>
  </r>
  <r>
    <s v="GL-602"/>
    <d v="2023-10-21T00:00:00"/>
    <n v="2010"/>
    <n v="0"/>
    <n v="11805.38"/>
    <s v="AP for Invoice AP-INV-5151"/>
    <x v="1"/>
    <s v="Liabilities"/>
    <n v="-11805.38"/>
    <x v="0"/>
    <d v="2023-10-01T00:00:00"/>
  </r>
  <r>
    <s v="GL-661"/>
    <d v="2023-10-22T00:00:00"/>
    <n v="5010"/>
    <n v="15368.38"/>
    <n v="0"/>
    <s v="COGS for Invoice AP-INV-5166"/>
    <x v="0"/>
    <s v="Expenses"/>
    <n v="15368.38"/>
    <x v="0"/>
    <d v="2023-10-01T00:00:00"/>
  </r>
  <r>
    <s v="GL-662"/>
    <d v="2023-10-22T00:00:00"/>
    <n v="2010"/>
    <n v="0"/>
    <n v="15368.38"/>
    <s v="AP for Invoice AP-INV-5166"/>
    <x v="1"/>
    <s v="Liabilities"/>
    <n v="-15368.38"/>
    <x v="0"/>
    <d v="2023-10-01T00:00:00"/>
  </r>
  <r>
    <s v="GL-949"/>
    <d v="2023-10-23T00:00:00"/>
    <n v="5010"/>
    <n v="14493.45"/>
    <n v="0"/>
    <s v="COGS for Invoice AP-INV-5238"/>
    <x v="0"/>
    <s v="Expenses"/>
    <n v="14493.45"/>
    <x v="0"/>
    <d v="2023-10-01T00:00:00"/>
  </r>
  <r>
    <s v="GL-950"/>
    <d v="2023-10-23T00:00:00"/>
    <n v="2010"/>
    <n v="0"/>
    <n v="14493.45"/>
    <s v="AP for Invoice AP-INV-5238"/>
    <x v="1"/>
    <s v="Liabilities"/>
    <n v="-14493.45"/>
    <x v="0"/>
    <d v="2023-10-01T00:00:00"/>
  </r>
  <r>
    <s v="GL-1057"/>
    <d v="2023-10-27T00:00:00"/>
    <n v="5010"/>
    <n v="4522.32"/>
    <n v="0"/>
    <s v="COGS for Invoice AP-INV-5265"/>
    <x v="0"/>
    <s v="Expenses"/>
    <n v="4522.32"/>
    <x v="0"/>
    <d v="2023-10-01T00:00:00"/>
  </r>
  <r>
    <s v="GL-1058"/>
    <d v="2023-10-27T00:00:00"/>
    <n v="2010"/>
    <n v="0"/>
    <n v="4522.32"/>
    <s v="AP for Invoice AP-INV-5265"/>
    <x v="1"/>
    <s v="Liabilities"/>
    <n v="-4522.32"/>
    <x v="0"/>
    <d v="2023-10-01T00:00:00"/>
  </r>
  <r>
    <s v="GL-1985"/>
    <d v="2023-10-27T00:00:00"/>
    <n v="5010"/>
    <n v="3351.43"/>
    <n v="0"/>
    <s v="COGS for Invoice AP-INV-5497"/>
    <x v="0"/>
    <s v="Expenses"/>
    <n v="3351.43"/>
    <x v="0"/>
    <d v="2023-10-01T00:00:00"/>
  </r>
  <r>
    <s v="GL-1986"/>
    <d v="2023-10-27T00:00:00"/>
    <n v="2010"/>
    <n v="0"/>
    <n v="3351.43"/>
    <s v="AP for Invoice AP-INV-5497"/>
    <x v="1"/>
    <s v="Liabilities"/>
    <n v="-3351.43"/>
    <x v="0"/>
    <d v="2023-10-01T00:00:00"/>
  </r>
  <r>
    <s v="GL-639"/>
    <d v="2023-10-27T00:00:00"/>
    <n v="1200"/>
    <n v="44286.400000000001"/>
    <n v="0"/>
    <s v="AR for Invoice AR-INV-7160"/>
    <x v="2"/>
    <s v="Assets"/>
    <n v="44286.400000000001"/>
    <x v="0"/>
    <d v="2023-10-01T00:00:00"/>
  </r>
  <r>
    <s v="GL-640"/>
    <d v="2023-10-27T00:00:00"/>
    <n v="4010"/>
    <n v="0"/>
    <n v="44286.400000000001"/>
    <s v="Sales for Invoice AR-INV-7160"/>
    <x v="3"/>
    <s v="Revenue"/>
    <n v="-44286.400000000001"/>
    <x v="0"/>
    <d v="2023-10-01T00:00:00"/>
  </r>
  <r>
    <s v="GL-655"/>
    <d v="2023-10-27T00:00:00"/>
    <n v="1200"/>
    <n v="10880.11"/>
    <n v="0"/>
    <s v="AR for Invoice AR-INV-7164"/>
    <x v="2"/>
    <s v="Assets"/>
    <n v="10880.11"/>
    <x v="0"/>
    <d v="2023-10-01T00:00:00"/>
  </r>
  <r>
    <s v="GL-656"/>
    <d v="2023-10-27T00:00:00"/>
    <n v="4010"/>
    <n v="0"/>
    <n v="10880.11"/>
    <s v="Sales for Invoice AR-INV-7164"/>
    <x v="3"/>
    <s v="Revenue"/>
    <n v="-10880.11"/>
    <x v="0"/>
    <d v="2023-10-01T00:00:00"/>
  </r>
  <r>
    <s v="GL-281"/>
    <d v="2023-10-28T00:00:00"/>
    <n v="5010"/>
    <n v="1941.47"/>
    <n v="0"/>
    <s v="COGS for Invoice AP-INV-5071"/>
    <x v="0"/>
    <s v="Expenses"/>
    <n v="1941.47"/>
    <x v="0"/>
    <d v="2023-10-01T00:00:00"/>
  </r>
  <r>
    <s v="GL-282"/>
    <d v="2023-10-28T00:00:00"/>
    <n v="2010"/>
    <n v="0"/>
    <n v="1941.47"/>
    <s v="AP for Invoice AP-INV-5071"/>
    <x v="1"/>
    <s v="Liabilities"/>
    <n v="-1941.47"/>
    <x v="0"/>
    <d v="2023-10-01T00:00:00"/>
  </r>
  <r>
    <s v="GL-391"/>
    <d v="2023-10-28T00:00:00"/>
    <n v="1200"/>
    <n v="48993.99"/>
    <n v="0"/>
    <s v="AR for Invoice AR-INV-7098"/>
    <x v="2"/>
    <s v="Assets"/>
    <n v="48993.99"/>
    <x v="0"/>
    <d v="2023-10-01T00:00:00"/>
  </r>
  <r>
    <s v="GL-392"/>
    <d v="2023-10-28T00:00:00"/>
    <n v="4010"/>
    <n v="0"/>
    <n v="48993.99"/>
    <s v="Sales for Invoice AR-INV-7098"/>
    <x v="3"/>
    <s v="Revenue"/>
    <n v="-48993.99"/>
    <x v="0"/>
    <d v="2023-10-01T00:00:00"/>
  </r>
  <r>
    <s v="GL-995"/>
    <d v="2023-10-31T00:00:00"/>
    <n v="1200"/>
    <n v="23437.93"/>
    <n v="0"/>
    <s v="AR for Invoice AR-INV-7249"/>
    <x v="2"/>
    <s v="Assets"/>
    <n v="23437.93"/>
    <x v="0"/>
    <d v="2023-10-01T00:00:00"/>
  </r>
  <r>
    <s v="GL-996"/>
    <d v="2023-10-31T00:00:00"/>
    <n v="4010"/>
    <n v="0"/>
    <n v="23437.93"/>
    <s v="Sales for Invoice AR-INV-7249"/>
    <x v="3"/>
    <s v="Revenue"/>
    <n v="-23437.93"/>
    <x v="0"/>
    <d v="2023-10-01T00:00:00"/>
  </r>
  <r>
    <s v="GL-251"/>
    <d v="2023-11-01T00:00:00"/>
    <n v="1200"/>
    <n v="13577.65"/>
    <n v="0"/>
    <s v="AR for Invoice AR-INV-7063"/>
    <x v="2"/>
    <s v="Assets"/>
    <n v="13577.65"/>
    <x v="0"/>
    <d v="2023-11-01T00:00:00"/>
  </r>
  <r>
    <s v="GL-252"/>
    <d v="2023-11-01T00:00:00"/>
    <n v="4010"/>
    <n v="0"/>
    <n v="13577.65"/>
    <s v="Sales for Invoice AR-INV-7063"/>
    <x v="3"/>
    <s v="Revenue"/>
    <n v="-13577.65"/>
    <x v="0"/>
    <d v="2023-11-01T00:00:00"/>
  </r>
  <r>
    <s v="GL-459"/>
    <d v="2023-11-01T00:00:00"/>
    <n v="1200"/>
    <n v="47433.67"/>
    <n v="0"/>
    <s v="AR for Invoice AR-INV-7115"/>
    <x v="2"/>
    <s v="Assets"/>
    <n v="47433.67"/>
    <x v="0"/>
    <d v="2023-11-01T00:00:00"/>
  </r>
  <r>
    <s v="GL-460"/>
    <d v="2023-11-01T00:00:00"/>
    <n v="4010"/>
    <n v="0"/>
    <n v="47433.67"/>
    <s v="Sales for Invoice AR-INV-7115"/>
    <x v="3"/>
    <s v="Revenue"/>
    <n v="-47433.67"/>
    <x v="0"/>
    <d v="2023-11-01T00:00:00"/>
  </r>
  <r>
    <s v="GL-127"/>
    <d v="2023-11-02T00:00:00"/>
    <n v="1200"/>
    <n v="13540.9"/>
    <n v="0"/>
    <s v="AR for Invoice AR-INV-7032"/>
    <x v="2"/>
    <s v="Assets"/>
    <n v="13540.9"/>
    <x v="0"/>
    <d v="2023-11-01T00:00:00"/>
  </r>
  <r>
    <s v="GL-128"/>
    <d v="2023-11-02T00:00:00"/>
    <n v="4010"/>
    <n v="0"/>
    <n v="13540.9"/>
    <s v="Sales for Invoice AR-INV-7032"/>
    <x v="3"/>
    <s v="Revenue"/>
    <n v="-13540.9"/>
    <x v="0"/>
    <d v="2023-11-01T00:00:00"/>
  </r>
  <r>
    <s v="GL-1975"/>
    <d v="2023-11-02T00:00:00"/>
    <n v="1200"/>
    <n v="42686.33"/>
    <n v="0"/>
    <s v="AR for Invoice AR-INV-7494"/>
    <x v="2"/>
    <s v="Assets"/>
    <n v="42686.33"/>
    <x v="0"/>
    <d v="2023-11-01T00:00:00"/>
  </r>
  <r>
    <s v="GL-1976"/>
    <d v="2023-11-02T00:00:00"/>
    <n v="4010"/>
    <n v="0"/>
    <n v="42686.33"/>
    <s v="Sales for Invoice AR-INV-7494"/>
    <x v="3"/>
    <s v="Revenue"/>
    <n v="-42686.33"/>
    <x v="0"/>
    <d v="2023-11-01T00:00:00"/>
  </r>
  <r>
    <s v="GL-1033"/>
    <d v="2023-11-03T00:00:00"/>
    <n v="5010"/>
    <n v="1327.74"/>
    <n v="0"/>
    <s v="COGS for Invoice AP-INV-5259"/>
    <x v="0"/>
    <s v="Expenses"/>
    <n v="1327.74"/>
    <x v="0"/>
    <d v="2023-11-01T00:00:00"/>
  </r>
  <r>
    <s v="GL-1034"/>
    <d v="2023-11-03T00:00:00"/>
    <n v="2010"/>
    <n v="0"/>
    <n v="1327.74"/>
    <s v="AP for Invoice AP-INV-5259"/>
    <x v="1"/>
    <s v="Liabilities"/>
    <n v="-1327.74"/>
    <x v="0"/>
    <d v="2023-11-01T00:00:00"/>
  </r>
  <r>
    <s v="GL-1251"/>
    <d v="2023-11-04T00:00:00"/>
    <n v="1200"/>
    <n v="42557.74"/>
    <n v="0"/>
    <s v="AR for Invoice AR-INV-7313"/>
    <x v="2"/>
    <s v="Assets"/>
    <n v="42557.74"/>
    <x v="0"/>
    <d v="2023-11-01T00:00:00"/>
  </r>
  <r>
    <s v="GL-1252"/>
    <d v="2023-11-04T00:00:00"/>
    <n v="4010"/>
    <n v="0"/>
    <n v="42557.74"/>
    <s v="Sales for Invoice AR-INV-7313"/>
    <x v="3"/>
    <s v="Revenue"/>
    <n v="-42557.74"/>
    <x v="0"/>
    <d v="2023-11-01T00:00:00"/>
  </r>
  <r>
    <s v="GL-1605"/>
    <d v="2023-11-06T00:00:00"/>
    <n v="5010"/>
    <n v="9767.2099999999991"/>
    <n v="0"/>
    <s v="COGS for Invoice AP-INV-5402"/>
    <x v="0"/>
    <s v="Expenses"/>
    <n v="9767.2099999999991"/>
    <x v="0"/>
    <d v="2023-11-01T00:00:00"/>
  </r>
  <r>
    <s v="GL-1606"/>
    <d v="2023-11-06T00:00:00"/>
    <n v="2010"/>
    <n v="0"/>
    <n v="9767.2099999999991"/>
    <s v="AP for Invoice AP-INV-5402"/>
    <x v="1"/>
    <s v="Liabilities"/>
    <n v="-9767.2099999999991"/>
    <x v="0"/>
    <d v="2023-11-01T00:00:00"/>
  </r>
  <r>
    <s v="GL-645"/>
    <d v="2023-11-06T00:00:00"/>
    <n v="5010"/>
    <n v="17497.599999999999"/>
    <n v="0"/>
    <s v="COGS for Invoice AP-INV-5162"/>
    <x v="0"/>
    <s v="Expenses"/>
    <n v="17497.599999999999"/>
    <x v="0"/>
    <d v="2023-11-01T00:00:00"/>
  </r>
  <r>
    <s v="GL-646"/>
    <d v="2023-11-06T00:00:00"/>
    <n v="2010"/>
    <n v="0"/>
    <n v="17497.599999999999"/>
    <s v="AP for Invoice AP-INV-5162"/>
    <x v="1"/>
    <s v="Liabilities"/>
    <n v="-17497.599999999999"/>
    <x v="0"/>
    <d v="2023-11-01T00:00:00"/>
  </r>
  <r>
    <s v="GL-1781"/>
    <d v="2023-11-08T00:00:00"/>
    <n v="5010"/>
    <n v="1910.16"/>
    <n v="0"/>
    <s v="COGS for Invoice AP-INV-5446"/>
    <x v="0"/>
    <s v="Expenses"/>
    <n v="1910.16"/>
    <x v="0"/>
    <d v="2023-11-01T00:00:00"/>
  </r>
  <r>
    <s v="GL-1782"/>
    <d v="2023-11-08T00:00:00"/>
    <n v="2010"/>
    <n v="0"/>
    <n v="1910.16"/>
    <s v="AP for Invoice AP-INV-5446"/>
    <x v="1"/>
    <s v="Liabilities"/>
    <n v="-1910.16"/>
    <x v="0"/>
    <d v="2023-11-01T00:00:00"/>
  </r>
  <r>
    <s v="GL-841"/>
    <d v="2023-11-09T00:00:00"/>
    <n v="5010"/>
    <n v="1872.82"/>
    <n v="0"/>
    <s v="COGS for Invoice AP-INV-5211"/>
    <x v="0"/>
    <s v="Expenses"/>
    <n v="1872.82"/>
    <x v="0"/>
    <d v="2023-11-01T00:00:00"/>
  </r>
  <r>
    <s v="GL-842"/>
    <d v="2023-11-09T00:00:00"/>
    <n v="2010"/>
    <n v="0"/>
    <n v="1872.82"/>
    <s v="AP for Invoice AP-INV-5211"/>
    <x v="1"/>
    <s v="Liabilities"/>
    <n v="-1872.82"/>
    <x v="0"/>
    <d v="2023-11-01T00:00:00"/>
  </r>
  <r>
    <s v="GL-1495"/>
    <d v="2023-11-10T00:00:00"/>
    <n v="1200"/>
    <n v="48893.53"/>
    <n v="0"/>
    <s v="AR for Invoice AR-INV-7374"/>
    <x v="2"/>
    <s v="Assets"/>
    <n v="48893.53"/>
    <x v="0"/>
    <d v="2023-11-01T00:00:00"/>
  </r>
  <r>
    <s v="GL-1496"/>
    <d v="2023-11-10T00:00:00"/>
    <n v="4010"/>
    <n v="0"/>
    <n v="48893.53"/>
    <s v="Sales for Invoice AR-INV-7374"/>
    <x v="3"/>
    <s v="Revenue"/>
    <n v="-48893.53"/>
    <x v="0"/>
    <d v="2023-11-01T00:00:00"/>
  </r>
  <r>
    <s v="GL-295"/>
    <d v="2023-11-17T00:00:00"/>
    <n v="1200"/>
    <n v="48278.400000000001"/>
    <n v="0"/>
    <s v="AR for Invoice AR-INV-7074"/>
    <x v="2"/>
    <s v="Assets"/>
    <n v="48278.400000000001"/>
    <x v="0"/>
    <d v="2023-11-01T00:00:00"/>
  </r>
  <r>
    <s v="GL-296"/>
    <d v="2023-11-17T00:00:00"/>
    <n v="4010"/>
    <n v="0"/>
    <n v="48278.400000000001"/>
    <s v="Sales for Invoice AR-INV-7074"/>
    <x v="3"/>
    <s v="Revenue"/>
    <n v="-48278.400000000001"/>
    <x v="0"/>
    <d v="2023-11-01T00:00:00"/>
  </r>
  <r>
    <s v="GL-1167"/>
    <d v="2023-11-18T00:00:00"/>
    <n v="1200"/>
    <n v="33836.480000000003"/>
    <n v="0"/>
    <s v="AR for Invoice AR-INV-7292"/>
    <x v="2"/>
    <s v="Assets"/>
    <n v="33836.480000000003"/>
    <x v="0"/>
    <d v="2023-11-01T00:00:00"/>
  </r>
  <r>
    <s v="GL-1168"/>
    <d v="2023-11-18T00:00:00"/>
    <n v="4010"/>
    <n v="0"/>
    <n v="33836.480000000003"/>
    <s v="Sales for Invoice AR-INV-7292"/>
    <x v="3"/>
    <s v="Revenue"/>
    <n v="-33836.480000000003"/>
    <x v="0"/>
    <d v="2023-11-01T00:00:00"/>
  </r>
  <r>
    <s v="GL-143"/>
    <d v="2023-11-19T00:00:00"/>
    <n v="1200"/>
    <n v="38319.32"/>
    <n v="0"/>
    <s v="AR for Invoice AR-INV-7036"/>
    <x v="2"/>
    <s v="Assets"/>
    <n v="38319.32"/>
    <x v="0"/>
    <d v="2023-11-01T00:00:00"/>
  </r>
  <r>
    <s v="GL-144"/>
    <d v="2023-11-19T00:00:00"/>
    <n v="4010"/>
    <n v="0"/>
    <n v="38319.32"/>
    <s v="Sales for Invoice AR-INV-7036"/>
    <x v="3"/>
    <s v="Revenue"/>
    <n v="-38319.32"/>
    <x v="0"/>
    <d v="2023-11-01T00:00:00"/>
  </r>
  <r>
    <s v="GL-887"/>
    <d v="2023-11-19T00:00:00"/>
    <n v="1200"/>
    <n v="48730.95"/>
    <n v="0"/>
    <s v="AR for Invoice AR-INV-7222"/>
    <x v="2"/>
    <s v="Assets"/>
    <n v="48730.95"/>
    <x v="0"/>
    <d v="2023-11-01T00:00:00"/>
  </r>
  <r>
    <s v="GL-888"/>
    <d v="2023-11-19T00:00:00"/>
    <n v="4010"/>
    <n v="0"/>
    <n v="48730.95"/>
    <s v="Sales for Invoice AR-INV-7222"/>
    <x v="3"/>
    <s v="Revenue"/>
    <n v="-48730.95"/>
    <x v="0"/>
    <d v="2023-11-01T00:00:00"/>
  </r>
  <r>
    <s v="GL-979"/>
    <d v="2023-11-19T00:00:00"/>
    <n v="1200"/>
    <n v="35185.08"/>
    <n v="0"/>
    <s v="AR for Invoice AR-INV-7245"/>
    <x v="2"/>
    <s v="Assets"/>
    <n v="35185.08"/>
    <x v="0"/>
    <d v="2023-11-01T00:00:00"/>
  </r>
  <r>
    <s v="GL-980"/>
    <d v="2023-11-19T00:00:00"/>
    <n v="4010"/>
    <n v="0"/>
    <n v="35185.08"/>
    <s v="Sales for Invoice AR-INV-7245"/>
    <x v="3"/>
    <s v="Revenue"/>
    <n v="-35185.08"/>
    <x v="0"/>
    <d v="2023-11-01T00:00:00"/>
  </r>
  <r>
    <s v="GL-1143"/>
    <d v="2023-11-21T00:00:00"/>
    <n v="1200"/>
    <n v="17361.939999999999"/>
    <n v="0"/>
    <s v="AR for Invoice AR-INV-7286"/>
    <x v="2"/>
    <s v="Assets"/>
    <n v="17361.939999999999"/>
    <x v="0"/>
    <d v="2023-11-01T00:00:00"/>
  </r>
  <r>
    <s v="GL-1144"/>
    <d v="2023-11-21T00:00:00"/>
    <n v="4010"/>
    <n v="0"/>
    <n v="17361.939999999999"/>
    <s v="Sales for Invoice AR-INV-7286"/>
    <x v="3"/>
    <s v="Revenue"/>
    <n v="-17361.939999999999"/>
    <x v="0"/>
    <d v="2023-11-01T00:00:00"/>
  </r>
  <r>
    <s v="GL-1917"/>
    <d v="2023-11-21T00:00:00"/>
    <n v="5010"/>
    <n v="12176.66"/>
    <n v="0"/>
    <s v="COGS for Invoice AP-INV-5480"/>
    <x v="0"/>
    <s v="Expenses"/>
    <n v="12176.66"/>
    <x v="0"/>
    <d v="2023-11-01T00:00:00"/>
  </r>
  <r>
    <s v="GL-1918"/>
    <d v="2023-11-21T00:00:00"/>
    <n v="2010"/>
    <n v="0"/>
    <n v="12176.66"/>
    <s v="AP for Invoice AP-INV-5480"/>
    <x v="1"/>
    <s v="Liabilities"/>
    <n v="-12176.66"/>
    <x v="0"/>
    <d v="2023-11-01T00:00:00"/>
  </r>
  <r>
    <s v="GL-1013"/>
    <d v="2023-11-22T00:00:00"/>
    <n v="5010"/>
    <n v="3631.16"/>
    <n v="0"/>
    <s v="COGS for Invoice AP-INV-5254"/>
    <x v="0"/>
    <s v="Expenses"/>
    <n v="3631.16"/>
    <x v="0"/>
    <d v="2023-11-01T00:00:00"/>
  </r>
  <r>
    <s v="GL-1014"/>
    <d v="2023-11-22T00:00:00"/>
    <n v="2010"/>
    <n v="0"/>
    <n v="3631.16"/>
    <s v="AP for Invoice AP-INV-5254"/>
    <x v="1"/>
    <s v="Liabilities"/>
    <n v="-3631.16"/>
    <x v="0"/>
    <d v="2023-11-01T00:00:00"/>
  </r>
  <r>
    <s v="GL-395"/>
    <d v="2023-11-22T00:00:00"/>
    <n v="1200"/>
    <n v="2246.41"/>
    <n v="0"/>
    <s v="AR for Invoice AR-INV-7099"/>
    <x v="2"/>
    <s v="Assets"/>
    <n v="2246.41"/>
    <x v="0"/>
    <d v="2023-11-01T00:00:00"/>
  </r>
  <r>
    <s v="GL-396"/>
    <d v="2023-11-22T00:00:00"/>
    <n v="4010"/>
    <n v="0"/>
    <n v="2246.41"/>
    <s v="Sales for Invoice AR-INV-7099"/>
    <x v="3"/>
    <s v="Revenue"/>
    <n v="-2246.41"/>
    <x v="0"/>
    <d v="2023-11-01T00:00:00"/>
  </r>
  <r>
    <s v="GL-331"/>
    <d v="2023-11-23T00:00:00"/>
    <n v="1200"/>
    <n v="24439.91"/>
    <n v="0"/>
    <s v="AR for Invoice AR-INV-7083"/>
    <x v="2"/>
    <s v="Assets"/>
    <n v="24439.91"/>
    <x v="0"/>
    <d v="2023-11-01T00:00:00"/>
  </r>
  <r>
    <s v="GL-332"/>
    <d v="2023-11-23T00:00:00"/>
    <n v="4010"/>
    <n v="0"/>
    <n v="24439.91"/>
    <s v="Sales for Invoice AR-INV-7083"/>
    <x v="3"/>
    <s v="Revenue"/>
    <n v="-24439.91"/>
    <x v="0"/>
    <d v="2023-11-01T00:00:00"/>
  </r>
  <r>
    <s v="GL-1355"/>
    <d v="2023-11-25T00:00:00"/>
    <n v="1200"/>
    <n v="41269.49"/>
    <n v="0"/>
    <s v="AR for Invoice AR-INV-7339"/>
    <x v="2"/>
    <s v="Assets"/>
    <n v="41269.49"/>
    <x v="0"/>
    <d v="2023-11-01T00:00:00"/>
  </r>
  <r>
    <s v="GL-1356"/>
    <d v="2023-11-25T00:00:00"/>
    <n v="4010"/>
    <n v="0"/>
    <n v="41269.49"/>
    <s v="Sales for Invoice AR-INV-7339"/>
    <x v="3"/>
    <s v="Revenue"/>
    <n v="-41269.49"/>
    <x v="0"/>
    <d v="2023-11-01T00:00:00"/>
  </r>
  <r>
    <s v="GL-1055"/>
    <d v="2023-11-26T00:00:00"/>
    <n v="1200"/>
    <n v="30949.919999999998"/>
    <n v="0"/>
    <s v="AR for Invoice AR-INV-7264"/>
    <x v="2"/>
    <s v="Assets"/>
    <n v="30949.919999999998"/>
    <x v="0"/>
    <d v="2023-11-01T00:00:00"/>
  </r>
  <r>
    <s v="GL-1056"/>
    <d v="2023-11-26T00:00:00"/>
    <n v="4010"/>
    <n v="0"/>
    <n v="30949.919999999998"/>
    <s v="Sales for Invoice AR-INV-7264"/>
    <x v="3"/>
    <s v="Revenue"/>
    <n v="-30949.919999999998"/>
    <x v="0"/>
    <d v="2023-11-01T00:00:00"/>
  </r>
  <r>
    <s v="GL-1577"/>
    <d v="2023-11-28T00:00:00"/>
    <n v="5010"/>
    <n v="10596.16"/>
    <n v="0"/>
    <s v="COGS for Invoice AP-INV-5395"/>
    <x v="0"/>
    <s v="Expenses"/>
    <n v="10596.16"/>
    <x v="0"/>
    <d v="2023-11-01T00:00:00"/>
  </r>
  <r>
    <s v="GL-1578"/>
    <d v="2023-11-28T00:00:00"/>
    <n v="2010"/>
    <n v="0"/>
    <n v="10596.16"/>
    <s v="AP for Invoice AP-INV-5395"/>
    <x v="1"/>
    <s v="Liabilities"/>
    <n v="-10596.16"/>
    <x v="0"/>
    <d v="2023-11-01T00:00:00"/>
  </r>
  <r>
    <s v="GL-343"/>
    <d v="2023-11-28T00:00:00"/>
    <n v="1200"/>
    <n v="35929.449999999997"/>
    <n v="0"/>
    <s v="AR for Invoice AR-INV-7086"/>
    <x v="2"/>
    <s v="Assets"/>
    <n v="35929.449999999997"/>
    <x v="0"/>
    <d v="2023-11-01T00:00:00"/>
  </r>
  <r>
    <s v="GL-344"/>
    <d v="2023-11-28T00:00:00"/>
    <n v="4010"/>
    <n v="0"/>
    <n v="35929.449999999997"/>
    <s v="Sales for Invoice AR-INV-7086"/>
    <x v="3"/>
    <s v="Revenue"/>
    <n v="-35929.449999999997"/>
    <x v="0"/>
    <d v="2023-11-01T00:00:00"/>
  </r>
  <r>
    <s v="GL-1591"/>
    <d v="2023-11-30T00:00:00"/>
    <n v="1200"/>
    <n v="9583.93"/>
    <n v="0"/>
    <s v="AR for Invoice AR-INV-7398"/>
    <x v="2"/>
    <s v="Assets"/>
    <n v="9583.93"/>
    <x v="0"/>
    <d v="2023-11-01T00:00:00"/>
  </r>
  <r>
    <s v="GL-1592"/>
    <d v="2023-11-30T00:00:00"/>
    <n v="4010"/>
    <n v="0"/>
    <n v="9583.93"/>
    <s v="Sales for Invoice AR-INV-7398"/>
    <x v="3"/>
    <s v="Revenue"/>
    <n v="-9583.93"/>
    <x v="0"/>
    <d v="2023-11-01T00:00:00"/>
  </r>
  <r>
    <s v="GL-1727"/>
    <d v="2023-11-30T00:00:00"/>
    <n v="1200"/>
    <n v="1580.68"/>
    <n v="0"/>
    <s v="AR for Invoice AR-INV-7432"/>
    <x v="2"/>
    <s v="Assets"/>
    <n v="1580.68"/>
    <x v="0"/>
    <d v="2023-11-01T00:00:00"/>
  </r>
  <r>
    <s v="GL-1728"/>
    <d v="2023-11-30T00:00:00"/>
    <n v="4010"/>
    <n v="0"/>
    <n v="1580.68"/>
    <s v="Sales for Invoice AR-INV-7432"/>
    <x v="3"/>
    <s v="Revenue"/>
    <n v="-1580.68"/>
    <x v="0"/>
    <d v="2023-11-01T00:00:00"/>
  </r>
  <r>
    <s v="GL-807"/>
    <d v="2023-11-30T00:00:00"/>
    <n v="1200"/>
    <n v="34793.26"/>
    <n v="0"/>
    <s v="AR for Invoice AR-INV-7202"/>
    <x v="2"/>
    <s v="Assets"/>
    <n v="34793.26"/>
    <x v="0"/>
    <d v="2023-11-01T00:00:00"/>
  </r>
  <r>
    <s v="GL-808"/>
    <d v="2023-11-30T00:00:00"/>
    <n v="4010"/>
    <n v="0"/>
    <n v="34793.26"/>
    <s v="Sales for Invoice AR-INV-7202"/>
    <x v="3"/>
    <s v="Revenue"/>
    <n v="-34793.26"/>
    <x v="0"/>
    <d v="2023-11-01T00:00:00"/>
  </r>
  <r>
    <s v="GL-95"/>
    <d v="2023-11-30T00:00:00"/>
    <n v="1200"/>
    <n v="18893.400000000001"/>
    <n v="0"/>
    <s v="AR for Invoice AR-INV-7024"/>
    <x v="2"/>
    <s v="Assets"/>
    <n v="18893.400000000001"/>
    <x v="0"/>
    <d v="2023-11-01T00:00:00"/>
  </r>
  <r>
    <s v="GL-96"/>
    <d v="2023-11-30T00:00:00"/>
    <n v="4010"/>
    <n v="0"/>
    <n v="18893.400000000001"/>
    <s v="Sales for Invoice AR-INV-7024"/>
    <x v="3"/>
    <s v="Revenue"/>
    <n v="-18893.400000000001"/>
    <x v="0"/>
    <d v="2023-11-01T00:00:00"/>
  </r>
  <r>
    <s v="GL-1217"/>
    <d v="2023-12-03T00:00:00"/>
    <n v="5010"/>
    <n v="4410.1099999999997"/>
    <n v="0"/>
    <s v="COGS for Invoice AP-INV-5305"/>
    <x v="0"/>
    <s v="Expenses"/>
    <n v="4410.1099999999997"/>
    <x v="0"/>
    <d v="2023-12-01T00:00:00"/>
  </r>
  <r>
    <s v="GL-1218"/>
    <d v="2023-12-03T00:00:00"/>
    <n v="2010"/>
    <n v="0"/>
    <n v="4410.1099999999997"/>
    <s v="AP for Invoice AP-INV-5305"/>
    <x v="1"/>
    <s v="Liabilities"/>
    <n v="-4410.1099999999997"/>
    <x v="0"/>
    <d v="2023-12-01T00:00:00"/>
  </r>
  <r>
    <s v="GL-1747"/>
    <d v="2023-12-03T00:00:00"/>
    <n v="1200"/>
    <n v="46893.43"/>
    <n v="0"/>
    <s v="AR for Invoice AR-INV-7437"/>
    <x v="2"/>
    <s v="Assets"/>
    <n v="46893.43"/>
    <x v="0"/>
    <d v="2023-12-01T00:00:00"/>
  </r>
  <r>
    <s v="GL-1748"/>
    <d v="2023-12-03T00:00:00"/>
    <n v="4010"/>
    <n v="0"/>
    <n v="46893.43"/>
    <s v="Sales for Invoice AR-INV-7437"/>
    <x v="3"/>
    <s v="Revenue"/>
    <n v="-46893.43"/>
    <x v="0"/>
    <d v="2023-12-01T00:00:00"/>
  </r>
  <r>
    <s v="GL-569"/>
    <d v="2023-12-03T00:00:00"/>
    <n v="5010"/>
    <n v="6404.73"/>
    <n v="0"/>
    <s v="COGS for Invoice AP-INV-5143"/>
    <x v="0"/>
    <s v="Expenses"/>
    <n v="6404.73"/>
    <x v="0"/>
    <d v="2023-12-01T00:00:00"/>
  </r>
  <r>
    <s v="GL-570"/>
    <d v="2023-12-03T00:00:00"/>
    <n v="2010"/>
    <n v="0"/>
    <n v="6404.73"/>
    <s v="AP for Invoice AP-INV-5143"/>
    <x v="1"/>
    <s v="Liabilities"/>
    <n v="-6404.73"/>
    <x v="0"/>
    <d v="2023-12-01T00:00:00"/>
  </r>
  <r>
    <s v="GL-629"/>
    <d v="2023-12-05T00:00:00"/>
    <n v="5010"/>
    <n v="8779.08"/>
    <n v="0"/>
    <s v="COGS for Invoice AP-INV-5158"/>
    <x v="0"/>
    <s v="Expenses"/>
    <n v="8779.08"/>
    <x v="0"/>
    <d v="2023-12-01T00:00:00"/>
  </r>
  <r>
    <s v="GL-630"/>
    <d v="2023-12-05T00:00:00"/>
    <n v="2010"/>
    <n v="0"/>
    <n v="8779.08"/>
    <s v="AP for Invoice AP-INV-5158"/>
    <x v="1"/>
    <s v="Liabilities"/>
    <n v="-8779.08"/>
    <x v="0"/>
    <d v="2023-12-01T00:00:00"/>
  </r>
  <r>
    <s v="GL-189"/>
    <d v="2023-12-06T00:00:00"/>
    <n v="5010"/>
    <n v="14249.48"/>
    <n v="0"/>
    <s v="COGS for Invoice AP-INV-5048"/>
    <x v="0"/>
    <s v="Expenses"/>
    <n v="14249.48"/>
    <x v="0"/>
    <d v="2023-12-01T00:00:00"/>
  </r>
  <r>
    <s v="GL-190"/>
    <d v="2023-12-06T00:00:00"/>
    <n v="2010"/>
    <n v="0"/>
    <n v="14249.48"/>
    <s v="AP for Invoice AP-INV-5048"/>
    <x v="1"/>
    <s v="Liabilities"/>
    <n v="-14249.48"/>
    <x v="0"/>
    <d v="2023-12-01T00:00:00"/>
  </r>
  <r>
    <s v="GL-1543"/>
    <d v="2023-12-07T00:00:00"/>
    <n v="1200"/>
    <n v="27860.400000000001"/>
    <n v="0"/>
    <s v="AR for Invoice AR-INV-7386"/>
    <x v="2"/>
    <s v="Assets"/>
    <n v="27860.400000000001"/>
    <x v="0"/>
    <d v="2023-12-01T00:00:00"/>
  </r>
  <r>
    <s v="GL-1544"/>
    <d v="2023-12-07T00:00:00"/>
    <n v="4010"/>
    <n v="0"/>
    <n v="27860.400000000001"/>
    <s v="Sales for Invoice AR-INV-7386"/>
    <x v="3"/>
    <s v="Revenue"/>
    <n v="-27860.400000000001"/>
    <x v="0"/>
    <d v="2023-12-01T00:00:00"/>
  </r>
  <r>
    <s v="GL-921"/>
    <d v="2023-12-07T00:00:00"/>
    <n v="5010"/>
    <n v="19032.080000000002"/>
    <n v="0"/>
    <s v="COGS for Invoice AP-INV-5231"/>
    <x v="0"/>
    <s v="Expenses"/>
    <n v="19032.080000000002"/>
    <x v="0"/>
    <d v="2023-12-01T00:00:00"/>
  </r>
  <r>
    <s v="GL-922"/>
    <d v="2023-12-07T00:00:00"/>
    <n v="2010"/>
    <n v="0"/>
    <n v="19032.080000000002"/>
    <s v="AP for Invoice AP-INV-5231"/>
    <x v="1"/>
    <s v="Liabilities"/>
    <n v="-19032.080000000002"/>
    <x v="0"/>
    <d v="2023-12-01T00:00:00"/>
  </r>
  <r>
    <s v="GL-1121"/>
    <d v="2023-12-10T00:00:00"/>
    <n v="5010"/>
    <n v="8836.8700000000008"/>
    <n v="0"/>
    <s v="COGS for Invoice AP-INV-5281"/>
    <x v="0"/>
    <s v="Expenses"/>
    <n v="8836.8700000000008"/>
    <x v="0"/>
    <d v="2023-12-01T00:00:00"/>
  </r>
  <r>
    <s v="GL-1122"/>
    <d v="2023-12-10T00:00:00"/>
    <n v="2010"/>
    <n v="0"/>
    <n v="8836.8700000000008"/>
    <s v="AP for Invoice AP-INV-5281"/>
    <x v="1"/>
    <s v="Liabilities"/>
    <n v="-8836.8700000000008"/>
    <x v="0"/>
    <d v="2023-12-01T00:00:00"/>
  </r>
  <r>
    <s v="GL-1429"/>
    <d v="2023-12-11T00:00:00"/>
    <n v="5010"/>
    <n v="10388.76"/>
    <n v="0"/>
    <s v="COGS for Invoice AP-INV-5358"/>
    <x v="0"/>
    <s v="Expenses"/>
    <n v="10388.76"/>
    <x v="0"/>
    <d v="2023-12-01T00:00:00"/>
  </r>
  <r>
    <s v="GL-1430"/>
    <d v="2023-12-11T00:00:00"/>
    <n v="2010"/>
    <n v="0"/>
    <n v="10388.76"/>
    <s v="AP for Invoice AP-INV-5358"/>
    <x v="1"/>
    <s v="Liabilities"/>
    <n v="-10388.76"/>
    <x v="0"/>
    <d v="2023-12-01T00:00:00"/>
  </r>
  <r>
    <s v="GL-1263"/>
    <d v="2023-12-16T00:00:00"/>
    <n v="1200"/>
    <n v="19534.41"/>
    <n v="0"/>
    <s v="AR for Invoice AR-INV-7316"/>
    <x v="2"/>
    <s v="Assets"/>
    <n v="19534.41"/>
    <x v="0"/>
    <d v="2023-12-01T00:00:00"/>
  </r>
  <r>
    <s v="GL-1264"/>
    <d v="2023-12-16T00:00:00"/>
    <n v="4010"/>
    <n v="0"/>
    <n v="19534.41"/>
    <s v="Sales for Invoice AR-INV-7316"/>
    <x v="3"/>
    <s v="Revenue"/>
    <n v="-19534.41"/>
    <x v="0"/>
    <d v="2023-12-01T00:00:00"/>
  </r>
  <r>
    <s v="GL-1731"/>
    <d v="2023-12-16T00:00:00"/>
    <n v="1200"/>
    <n v="8303.83"/>
    <n v="0"/>
    <s v="AR for Invoice AR-INV-7433"/>
    <x v="2"/>
    <s v="Assets"/>
    <n v="8303.83"/>
    <x v="0"/>
    <d v="2023-12-01T00:00:00"/>
  </r>
  <r>
    <s v="GL-1732"/>
    <d v="2023-12-16T00:00:00"/>
    <n v="4010"/>
    <n v="0"/>
    <n v="8303.83"/>
    <s v="Sales for Invoice AR-INV-7433"/>
    <x v="3"/>
    <s v="Revenue"/>
    <n v="-8303.83"/>
    <x v="0"/>
    <d v="2023-12-01T00:00:00"/>
  </r>
  <r>
    <s v="GL-1069"/>
    <d v="2023-12-19T00:00:00"/>
    <n v="5010"/>
    <n v="17530.439999999999"/>
    <n v="0"/>
    <s v="COGS for Invoice AP-INV-5268"/>
    <x v="0"/>
    <s v="Expenses"/>
    <n v="17530.439999999999"/>
    <x v="0"/>
    <d v="2023-12-01T00:00:00"/>
  </r>
  <r>
    <s v="GL-1070"/>
    <d v="2023-12-19T00:00:00"/>
    <n v="2010"/>
    <n v="0"/>
    <n v="17530.439999999999"/>
    <s v="AP for Invoice AP-INV-5268"/>
    <x v="1"/>
    <s v="Liabilities"/>
    <n v="-17530.439999999999"/>
    <x v="0"/>
    <d v="2023-12-01T00:00:00"/>
  </r>
  <r>
    <s v="GL-1877"/>
    <d v="2023-12-19T00:00:00"/>
    <n v="5010"/>
    <n v="14299.06"/>
    <n v="0"/>
    <s v="COGS for Invoice AP-INV-5470"/>
    <x v="0"/>
    <s v="Expenses"/>
    <n v="14299.06"/>
    <x v="0"/>
    <d v="2023-12-01T00:00:00"/>
  </r>
  <r>
    <s v="GL-1878"/>
    <d v="2023-12-19T00:00:00"/>
    <n v="2010"/>
    <n v="0"/>
    <n v="14299.06"/>
    <s v="AP for Invoice AP-INV-5470"/>
    <x v="1"/>
    <s v="Liabilities"/>
    <n v="-14299.06"/>
    <x v="0"/>
    <d v="2023-12-01T00:00:00"/>
  </r>
  <r>
    <s v="GL-1597"/>
    <d v="2023-12-20T00:00:00"/>
    <n v="5010"/>
    <n v="7126.71"/>
    <n v="0"/>
    <s v="COGS for Invoice AP-INV-5400"/>
    <x v="0"/>
    <s v="Expenses"/>
    <n v="7126.71"/>
    <x v="0"/>
    <d v="2023-12-01T00:00:00"/>
  </r>
  <r>
    <s v="GL-1598"/>
    <d v="2023-12-20T00:00:00"/>
    <n v="2010"/>
    <n v="0"/>
    <n v="7126.71"/>
    <s v="AP for Invoice AP-INV-5400"/>
    <x v="1"/>
    <s v="Liabilities"/>
    <n v="-7126.71"/>
    <x v="0"/>
    <d v="2023-12-01T00:00:00"/>
  </r>
  <r>
    <s v="GL-1891"/>
    <d v="2023-12-20T00:00:00"/>
    <n v="1200"/>
    <n v="19351.080000000002"/>
    <n v="0"/>
    <s v="AR for Invoice AR-INV-7473"/>
    <x v="2"/>
    <s v="Assets"/>
    <n v="19351.080000000002"/>
    <x v="0"/>
    <d v="2023-12-01T00:00:00"/>
  </r>
  <r>
    <s v="GL-1892"/>
    <d v="2023-12-20T00:00:00"/>
    <n v="4010"/>
    <n v="0"/>
    <n v="19351.080000000002"/>
    <s v="Sales for Invoice AR-INV-7473"/>
    <x v="3"/>
    <s v="Revenue"/>
    <n v="-19351.080000000002"/>
    <x v="0"/>
    <d v="2023-12-01T00:00:00"/>
  </r>
  <r>
    <s v="GL-23"/>
    <d v="2023-12-22T00:00:00"/>
    <n v="1200"/>
    <n v="18851.98"/>
    <n v="0"/>
    <s v="AR for Invoice AR-INV-7006"/>
    <x v="2"/>
    <s v="Assets"/>
    <n v="18851.98"/>
    <x v="0"/>
    <d v="2023-12-01T00:00:00"/>
  </r>
  <r>
    <s v="GL-24"/>
    <d v="2023-12-22T00:00:00"/>
    <n v="4010"/>
    <n v="0"/>
    <n v="18851.98"/>
    <s v="Sales for Invoice AR-INV-7006"/>
    <x v="3"/>
    <s v="Revenue"/>
    <n v="-18851.98"/>
    <x v="0"/>
    <d v="2023-12-01T00:00:00"/>
  </r>
  <r>
    <s v="GL-775"/>
    <d v="2023-12-22T00:00:00"/>
    <n v="1200"/>
    <n v="49219.519999999997"/>
    <n v="0"/>
    <s v="AR for Invoice AR-INV-7194"/>
    <x v="2"/>
    <s v="Assets"/>
    <n v="49219.519999999997"/>
    <x v="0"/>
    <d v="2023-12-01T00:00:00"/>
  </r>
  <r>
    <s v="GL-776"/>
    <d v="2023-12-22T00:00:00"/>
    <n v="4010"/>
    <n v="0"/>
    <n v="49219.519999999997"/>
    <s v="Sales for Invoice AR-INV-7194"/>
    <x v="3"/>
    <s v="Revenue"/>
    <n v="-49219.519999999997"/>
    <x v="0"/>
    <d v="2023-12-01T00:00:00"/>
  </r>
  <r>
    <s v="GL-457"/>
    <d v="2023-12-23T00:00:00"/>
    <n v="5010"/>
    <n v="6154.54"/>
    <n v="0"/>
    <s v="COGS for Invoice AP-INV-5115"/>
    <x v="0"/>
    <s v="Expenses"/>
    <n v="6154.54"/>
    <x v="0"/>
    <d v="2023-12-01T00:00:00"/>
  </r>
  <r>
    <s v="GL-458"/>
    <d v="2023-12-23T00:00:00"/>
    <n v="2010"/>
    <n v="0"/>
    <n v="6154.54"/>
    <s v="AP for Invoice AP-INV-5115"/>
    <x v="1"/>
    <s v="Liabilities"/>
    <n v="-6154.54"/>
    <x v="0"/>
    <d v="2023-12-01T00:00:00"/>
  </r>
  <r>
    <s v="GL-423"/>
    <d v="2023-12-27T00:00:00"/>
    <n v="1200"/>
    <n v="26478.07"/>
    <n v="0"/>
    <s v="AR for Invoice AR-INV-7106"/>
    <x v="2"/>
    <s v="Assets"/>
    <n v="26478.07"/>
    <x v="0"/>
    <d v="2023-12-01T00:00:00"/>
  </r>
  <r>
    <s v="GL-424"/>
    <d v="2023-12-27T00:00:00"/>
    <n v="4010"/>
    <n v="0"/>
    <n v="26478.07"/>
    <s v="Sales for Invoice AR-INV-7106"/>
    <x v="3"/>
    <s v="Revenue"/>
    <n v="-26478.07"/>
    <x v="0"/>
    <d v="2023-12-01T00:00:00"/>
  </r>
  <r>
    <s v="GL-1947"/>
    <d v="2023-12-29T00:00:00"/>
    <n v="1200"/>
    <n v="47668.26"/>
    <n v="0"/>
    <s v="AR for Invoice AR-INV-7487"/>
    <x v="2"/>
    <s v="Assets"/>
    <n v="47668.26"/>
    <x v="0"/>
    <d v="2023-12-01T00:00:00"/>
  </r>
  <r>
    <s v="GL-1948"/>
    <d v="2023-12-29T00:00:00"/>
    <n v="4010"/>
    <n v="0"/>
    <n v="47668.26"/>
    <s v="Sales for Invoice AR-INV-7487"/>
    <x v="3"/>
    <s v="Revenue"/>
    <n v="-47668.26"/>
    <x v="0"/>
    <d v="2023-12-01T00:00:00"/>
  </r>
  <r>
    <s v="GL-1071"/>
    <d v="2024-01-01T00:00:00"/>
    <n v="1200"/>
    <n v="30428.639999999999"/>
    <n v="0"/>
    <s v="AR for Invoice AR-INV-7268"/>
    <x v="2"/>
    <s v="Assets"/>
    <n v="30428.639999999999"/>
    <x v="1"/>
    <d v="2024-01-01T00:00:00"/>
  </r>
  <r>
    <s v="GL-1072"/>
    <d v="2024-01-01T00:00:00"/>
    <n v="4010"/>
    <n v="0"/>
    <n v="30428.639999999999"/>
    <s v="Sales for Invoice AR-INV-7268"/>
    <x v="3"/>
    <s v="Revenue"/>
    <n v="-30428.639999999999"/>
    <x v="1"/>
    <d v="2024-01-01T00:00:00"/>
  </r>
  <r>
    <s v="GL-1703"/>
    <d v="2024-01-10T00:00:00"/>
    <n v="1200"/>
    <n v="34993.660000000003"/>
    <n v="0"/>
    <s v="AR for Invoice AR-INV-7426"/>
    <x v="2"/>
    <s v="Assets"/>
    <n v="34993.660000000003"/>
    <x v="1"/>
    <d v="2024-01-01T00:00:00"/>
  </r>
  <r>
    <s v="GL-1704"/>
    <d v="2024-01-10T00:00:00"/>
    <n v="4010"/>
    <n v="0"/>
    <n v="34993.660000000003"/>
    <s v="Sales for Invoice AR-INV-7426"/>
    <x v="3"/>
    <s v="Revenue"/>
    <n v="-34993.660000000003"/>
    <x v="1"/>
    <d v="2024-01-01T00:00:00"/>
  </r>
  <r>
    <s v="GL-477"/>
    <d v="2024-01-12T00:00:00"/>
    <n v="5010"/>
    <n v="7621.71"/>
    <n v="0"/>
    <s v="COGS for Invoice AP-INV-5120"/>
    <x v="0"/>
    <s v="Expenses"/>
    <n v="7621.71"/>
    <x v="1"/>
    <d v="2024-01-01T00:00:00"/>
  </r>
  <r>
    <s v="GL-478"/>
    <d v="2024-01-12T00:00:00"/>
    <n v="2010"/>
    <n v="0"/>
    <n v="7621.71"/>
    <s v="AP for Invoice AP-INV-5120"/>
    <x v="1"/>
    <s v="Liabilities"/>
    <n v="-7621.71"/>
    <x v="1"/>
    <d v="2024-01-01T00:00:00"/>
  </r>
  <r>
    <s v="GL-1817"/>
    <d v="2024-01-13T00:00:00"/>
    <n v="5010"/>
    <n v="12682.88"/>
    <n v="0"/>
    <s v="COGS for Invoice AP-INV-5455"/>
    <x v="0"/>
    <s v="Expenses"/>
    <n v="12682.88"/>
    <x v="1"/>
    <d v="2024-01-01T00:00:00"/>
  </r>
  <r>
    <s v="GL-1818"/>
    <d v="2024-01-13T00:00:00"/>
    <n v="2010"/>
    <n v="0"/>
    <n v="12682.88"/>
    <s v="AP for Invoice AP-INV-5455"/>
    <x v="1"/>
    <s v="Liabilities"/>
    <n v="-12682.88"/>
    <x v="1"/>
    <d v="2024-01-01T00:00:00"/>
  </r>
  <r>
    <s v="GL-667"/>
    <d v="2024-01-13T00:00:00"/>
    <n v="1200"/>
    <n v="18645.41"/>
    <n v="0"/>
    <s v="AR for Invoice AR-INV-7167"/>
    <x v="2"/>
    <s v="Assets"/>
    <n v="18645.41"/>
    <x v="1"/>
    <d v="2024-01-01T00:00:00"/>
  </r>
  <r>
    <s v="GL-668"/>
    <d v="2024-01-13T00:00:00"/>
    <n v="4010"/>
    <n v="0"/>
    <n v="18645.41"/>
    <s v="Sales for Invoice AR-INV-7167"/>
    <x v="3"/>
    <s v="Revenue"/>
    <n v="-18645.41"/>
    <x v="1"/>
    <d v="2024-01-01T00:00:00"/>
  </r>
  <r>
    <s v="GL-885"/>
    <d v="2024-01-13T00:00:00"/>
    <n v="5010"/>
    <n v="16484.599999999999"/>
    <n v="0"/>
    <s v="COGS for Invoice AP-INV-5222"/>
    <x v="0"/>
    <s v="Expenses"/>
    <n v="16484.599999999999"/>
    <x v="1"/>
    <d v="2024-01-01T00:00:00"/>
  </r>
  <r>
    <s v="GL-886"/>
    <d v="2024-01-13T00:00:00"/>
    <n v="2010"/>
    <n v="0"/>
    <n v="16484.599999999999"/>
    <s v="AP for Invoice AP-INV-5222"/>
    <x v="1"/>
    <s v="Liabilities"/>
    <n v="-16484.599999999999"/>
    <x v="1"/>
    <d v="2024-01-01T00:00:00"/>
  </r>
  <r>
    <s v="GL-1951"/>
    <d v="2024-01-14T00:00:00"/>
    <n v="1200"/>
    <n v="24095.98"/>
    <n v="0"/>
    <s v="AR for Invoice AR-INV-7488"/>
    <x v="2"/>
    <s v="Assets"/>
    <n v="24095.98"/>
    <x v="1"/>
    <d v="2024-01-01T00:00:00"/>
  </r>
  <r>
    <s v="GL-1952"/>
    <d v="2024-01-14T00:00:00"/>
    <n v="4010"/>
    <n v="0"/>
    <n v="24095.98"/>
    <s v="Sales for Invoice AR-INV-7488"/>
    <x v="3"/>
    <s v="Revenue"/>
    <n v="-24095.98"/>
    <x v="1"/>
    <d v="2024-01-01T00:00:00"/>
  </r>
  <r>
    <s v="GL-1301"/>
    <d v="2024-01-15T00:00:00"/>
    <n v="5010"/>
    <n v="13738.91"/>
    <n v="0"/>
    <s v="COGS for Invoice AP-INV-5326"/>
    <x v="0"/>
    <s v="Expenses"/>
    <n v="13738.91"/>
    <x v="1"/>
    <d v="2024-01-01T00:00:00"/>
  </r>
  <r>
    <s v="GL-1302"/>
    <d v="2024-01-15T00:00:00"/>
    <n v="2010"/>
    <n v="0"/>
    <n v="13738.91"/>
    <s v="AP for Invoice AP-INV-5326"/>
    <x v="1"/>
    <s v="Liabilities"/>
    <n v="-13738.91"/>
    <x v="1"/>
    <d v="2024-01-01T00:00:00"/>
  </r>
  <r>
    <s v="GL-1089"/>
    <d v="2024-01-17T00:00:00"/>
    <n v="5010"/>
    <n v="7861.04"/>
    <n v="0"/>
    <s v="COGS for Invoice AP-INV-5273"/>
    <x v="0"/>
    <s v="Expenses"/>
    <n v="7861.04"/>
    <x v="1"/>
    <d v="2024-01-01T00:00:00"/>
  </r>
  <r>
    <s v="GL-1090"/>
    <d v="2024-01-17T00:00:00"/>
    <n v="2010"/>
    <n v="0"/>
    <n v="7861.04"/>
    <s v="AP for Invoice AP-INV-5273"/>
    <x v="1"/>
    <s v="Liabilities"/>
    <n v="-7861.04"/>
    <x v="1"/>
    <d v="2024-01-01T00:00:00"/>
  </r>
  <r>
    <s v="GL-1961"/>
    <d v="2024-01-17T00:00:00"/>
    <n v="5010"/>
    <n v="18118.3"/>
    <n v="0"/>
    <s v="COGS for Invoice AP-INV-5491"/>
    <x v="0"/>
    <s v="Expenses"/>
    <n v="18118.3"/>
    <x v="1"/>
    <d v="2024-01-01T00:00:00"/>
  </r>
  <r>
    <s v="GL-1962"/>
    <d v="2024-01-17T00:00:00"/>
    <n v="2010"/>
    <n v="0"/>
    <n v="18118.3"/>
    <s v="AP for Invoice AP-INV-5491"/>
    <x v="1"/>
    <s v="Liabilities"/>
    <n v="-18118.3"/>
    <x v="1"/>
    <d v="2024-01-01T00:00:00"/>
  </r>
  <r>
    <s v="GL-1689"/>
    <d v="2024-01-18T00:00:00"/>
    <n v="5010"/>
    <n v="17546.169999999998"/>
    <n v="0"/>
    <s v="COGS for Invoice AP-INV-5423"/>
    <x v="0"/>
    <s v="Expenses"/>
    <n v="17546.169999999998"/>
    <x v="1"/>
    <d v="2024-01-01T00:00:00"/>
  </r>
  <r>
    <s v="GL-1690"/>
    <d v="2024-01-18T00:00:00"/>
    <n v="2010"/>
    <n v="0"/>
    <n v="17546.169999999998"/>
    <s v="AP for Invoice AP-INV-5423"/>
    <x v="1"/>
    <s v="Liabilities"/>
    <n v="-17546.169999999998"/>
    <x v="1"/>
    <d v="2024-01-01T00:00:00"/>
  </r>
  <r>
    <s v="GL-1329"/>
    <d v="2024-01-20T00:00:00"/>
    <n v="5010"/>
    <n v="8901.84"/>
    <n v="0"/>
    <s v="COGS for Invoice AP-INV-5333"/>
    <x v="0"/>
    <s v="Expenses"/>
    <n v="8901.84"/>
    <x v="1"/>
    <d v="2024-01-01T00:00:00"/>
  </r>
  <r>
    <s v="GL-1330"/>
    <d v="2024-01-20T00:00:00"/>
    <n v="2010"/>
    <n v="0"/>
    <n v="8901.84"/>
    <s v="AP for Invoice AP-INV-5333"/>
    <x v="1"/>
    <s v="Liabilities"/>
    <n v="-8901.84"/>
    <x v="1"/>
    <d v="2024-01-01T00:00:00"/>
  </r>
  <r>
    <s v="GL-1529"/>
    <d v="2024-01-21T00:00:00"/>
    <n v="5010"/>
    <n v="18736.13"/>
    <n v="0"/>
    <s v="COGS for Invoice AP-INV-5383"/>
    <x v="0"/>
    <s v="Expenses"/>
    <n v="18736.13"/>
    <x v="1"/>
    <d v="2024-01-01T00:00:00"/>
  </r>
  <r>
    <s v="GL-1530"/>
    <d v="2024-01-21T00:00:00"/>
    <n v="2010"/>
    <n v="0"/>
    <n v="18736.13"/>
    <s v="AP for Invoice AP-INV-5383"/>
    <x v="1"/>
    <s v="Liabilities"/>
    <n v="-18736.13"/>
    <x v="1"/>
    <d v="2024-01-01T00:00:00"/>
  </r>
  <r>
    <s v="GL-595"/>
    <d v="2024-01-22T00:00:00"/>
    <n v="1200"/>
    <n v="46003.74"/>
    <n v="0"/>
    <s v="AR for Invoice AR-INV-7149"/>
    <x v="2"/>
    <s v="Assets"/>
    <n v="46003.74"/>
    <x v="1"/>
    <d v="2024-01-01T00:00:00"/>
  </r>
  <r>
    <s v="GL-596"/>
    <d v="2024-01-22T00:00:00"/>
    <n v="4010"/>
    <n v="0"/>
    <n v="46003.74"/>
    <s v="Sales for Invoice AR-INV-7149"/>
    <x v="3"/>
    <s v="Revenue"/>
    <n v="-46003.74"/>
    <x v="1"/>
    <d v="2024-01-01T00:00:00"/>
  </r>
  <r>
    <s v="GL-519"/>
    <d v="2024-01-27T00:00:00"/>
    <n v="1200"/>
    <n v="3009.61"/>
    <n v="0"/>
    <s v="AR for Invoice AR-INV-7130"/>
    <x v="2"/>
    <s v="Assets"/>
    <n v="3009.61"/>
    <x v="1"/>
    <d v="2024-01-01T00:00:00"/>
  </r>
  <r>
    <s v="GL-520"/>
    <d v="2024-01-27T00:00:00"/>
    <n v="4010"/>
    <n v="0"/>
    <n v="3009.61"/>
    <s v="Sales for Invoice AR-INV-7130"/>
    <x v="3"/>
    <s v="Revenue"/>
    <n v="-3009.61"/>
    <x v="1"/>
    <d v="2024-01-01T00:00:00"/>
  </r>
  <r>
    <s v="GL-857"/>
    <d v="2024-01-27T00:00:00"/>
    <n v="5010"/>
    <n v="15031.37"/>
    <n v="0"/>
    <s v="COGS for Invoice AP-INV-5215"/>
    <x v="0"/>
    <s v="Expenses"/>
    <n v="15031.37"/>
    <x v="1"/>
    <d v="2024-01-01T00:00:00"/>
  </r>
  <r>
    <s v="GL-858"/>
    <d v="2024-01-27T00:00:00"/>
    <n v="2010"/>
    <n v="0"/>
    <n v="15031.37"/>
    <s v="AP for Invoice AP-INV-5215"/>
    <x v="1"/>
    <s v="Liabilities"/>
    <n v="-15031.37"/>
    <x v="1"/>
    <d v="2024-01-01T00:00:00"/>
  </r>
  <r>
    <s v="GL-967"/>
    <d v="2024-01-27T00:00:00"/>
    <n v="1200"/>
    <n v="31795.15"/>
    <n v="0"/>
    <s v="AR for Invoice AR-INV-7242"/>
    <x v="2"/>
    <s v="Assets"/>
    <n v="31795.15"/>
    <x v="1"/>
    <d v="2024-01-01T00:00:00"/>
  </r>
  <r>
    <s v="GL-968"/>
    <d v="2024-01-27T00:00:00"/>
    <n v="4010"/>
    <n v="0"/>
    <n v="31795.15"/>
    <s v="Sales for Invoice AR-INV-7242"/>
    <x v="3"/>
    <s v="Revenue"/>
    <n v="-31795.15"/>
    <x v="1"/>
    <d v="2024-01-01T00:00:00"/>
  </r>
  <r>
    <s v="GL-1169"/>
    <d v="2024-01-30T00:00:00"/>
    <n v="5010"/>
    <n v="8745.84"/>
    <n v="0"/>
    <s v="COGS for Invoice AP-INV-5293"/>
    <x v="0"/>
    <s v="Expenses"/>
    <n v="8745.84"/>
    <x v="1"/>
    <d v="2024-01-01T00:00:00"/>
  </r>
  <r>
    <s v="GL-1170"/>
    <d v="2024-01-30T00:00:00"/>
    <n v="2010"/>
    <n v="0"/>
    <n v="8745.84"/>
    <s v="AP for Invoice AP-INV-5293"/>
    <x v="1"/>
    <s v="Liabilities"/>
    <n v="-8745.84"/>
    <x v="1"/>
    <d v="2024-01-01T00:00:00"/>
  </r>
  <r>
    <s v="GL-1991"/>
    <d v="2024-01-30T00:00:00"/>
    <n v="1200"/>
    <n v="18652.27"/>
    <n v="0"/>
    <s v="AR for Invoice AR-INV-7498"/>
    <x v="2"/>
    <s v="Assets"/>
    <n v="18652.27"/>
    <x v="1"/>
    <d v="2024-01-01T00:00:00"/>
  </r>
  <r>
    <s v="GL-1992"/>
    <d v="2024-01-30T00:00:00"/>
    <n v="4010"/>
    <n v="0"/>
    <n v="18652.27"/>
    <s v="Sales for Invoice AR-INV-7498"/>
    <x v="3"/>
    <s v="Revenue"/>
    <n v="-18652.27"/>
    <x v="1"/>
    <d v="2024-01-01T00:00:00"/>
  </r>
  <r>
    <s v="GL-415"/>
    <d v="2024-02-01T00:00:00"/>
    <n v="1200"/>
    <n v="11863.85"/>
    <n v="0"/>
    <s v="AR for Invoice AR-INV-7104"/>
    <x v="2"/>
    <s v="Assets"/>
    <n v="11863.85"/>
    <x v="1"/>
    <d v="2024-02-01T00:00:00"/>
  </r>
  <r>
    <s v="GL-416"/>
    <d v="2024-02-01T00:00:00"/>
    <n v="4010"/>
    <n v="0"/>
    <n v="11863.85"/>
    <s v="Sales for Invoice AR-INV-7104"/>
    <x v="3"/>
    <s v="Revenue"/>
    <n v="-11863.85"/>
    <x v="1"/>
    <d v="2024-02-01T00:00:00"/>
  </r>
  <r>
    <s v="GL-895"/>
    <d v="2024-02-01T00:00:00"/>
    <n v="1200"/>
    <n v="19818.330000000002"/>
    <n v="0"/>
    <s v="AR for Invoice AR-INV-7224"/>
    <x v="2"/>
    <s v="Assets"/>
    <n v="19818.330000000002"/>
    <x v="1"/>
    <d v="2024-02-01T00:00:00"/>
  </r>
  <r>
    <s v="GL-896"/>
    <d v="2024-02-01T00:00:00"/>
    <n v="4010"/>
    <n v="0"/>
    <n v="19818.330000000002"/>
    <s v="Sales for Invoice AR-INV-7224"/>
    <x v="3"/>
    <s v="Revenue"/>
    <n v="-19818.330000000002"/>
    <x v="1"/>
    <d v="2024-02-01T00:00:00"/>
  </r>
  <r>
    <s v="GL-1603"/>
    <d v="2024-02-02T00:00:00"/>
    <n v="1200"/>
    <n v="13878.4"/>
    <n v="0"/>
    <s v="AR for Invoice AR-INV-7401"/>
    <x v="2"/>
    <s v="Assets"/>
    <n v="13878.4"/>
    <x v="1"/>
    <d v="2024-02-01T00:00:00"/>
  </r>
  <r>
    <s v="GL-1604"/>
    <d v="2024-02-02T00:00:00"/>
    <n v="4010"/>
    <n v="0"/>
    <n v="13878.4"/>
    <s v="Sales for Invoice AR-INV-7401"/>
    <x v="3"/>
    <s v="Revenue"/>
    <n v="-13878.4"/>
    <x v="1"/>
    <d v="2024-02-01T00:00:00"/>
  </r>
  <r>
    <s v="GL-1893"/>
    <d v="2024-02-02T00:00:00"/>
    <n v="5010"/>
    <n v="17812.68"/>
    <n v="0"/>
    <s v="COGS for Invoice AP-INV-5474"/>
    <x v="0"/>
    <s v="Expenses"/>
    <n v="17812.68"/>
    <x v="1"/>
    <d v="2024-02-01T00:00:00"/>
  </r>
  <r>
    <s v="GL-1894"/>
    <d v="2024-02-02T00:00:00"/>
    <n v="2010"/>
    <n v="0"/>
    <n v="17812.68"/>
    <s v="AP for Invoice AP-INV-5474"/>
    <x v="1"/>
    <s v="Liabilities"/>
    <n v="-17812.68"/>
    <x v="1"/>
    <d v="2024-02-01T00:00:00"/>
  </r>
  <r>
    <s v="GL-1547"/>
    <d v="2024-02-03T00:00:00"/>
    <n v="1200"/>
    <n v="45724.5"/>
    <n v="0"/>
    <s v="AR for Invoice AR-INV-7387"/>
    <x v="2"/>
    <s v="Assets"/>
    <n v="45724.5"/>
    <x v="1"/>
    <d v="2024-02-01T00:00:00"/>
  </r>
  <r>
    <s v="GL-1548"/>
    <d v="2024-02-03T00:00:00"/>
    <n v="4010"/>
    <n v="0"/>
    <n v="45724.5"/>
    <s v="Sales for Invoice AR-INV-7387"/>
    <x v="3"/>
    <s v="Revenue"/>
    <n v="-45724.5"/>
    <x v="1"/>
    <d v="2024-02-01T00:00:00"/>
  </r>
  <r>
    <s v="GL-1815"/>
    <d v="2024-02-04T00:00:00"/>
    <n v="1200"/>
    <n v="15609.87"/>
    <n v="0"/>
    <s v="AR for Invoice AR-INV-7454"/>
    <x v="2"/>
    <s v="Assets"/>
    <n v="15609.87"/>
    <x v="1"/>
    <d v="2024-02-01T00:00:00"/>
  </r>
  <r>
    <s v="GL-1816"/>
    <d v="2024-02-04T00:00:00"/>
    <n v="4010"/>
    <n v="0"/>
    <n v="15609.87"/>
    <s v="Sales for Invoice AR-INV-7454"/>
    <x v="3"/>
    <s v="Revenue"/>
    <n v="-15609.87"/>
    <x v="1"/>
    <d v="2024-02-01T00:00:00"/>
  </r>
  <r>
    <s v="GL-615"/>
    <d v="2024-02-04T00:00:00"/>
    <n v="1200"/>
    <n v="8998.39"/>
    <n v="0"/>
    <s v="AR for Invoice AR-INV-7154"/>
    <x v="2"/>
    <s v="Assets"/>
    <n v="8998.39"/>
    <x v="1"/>
    <d v="2024-02-01T00:00:00"/>
  </r>
  <r>
    <s v="GL-616"/>
    <d v="2024-02-04T00:00:00"/>
    <n v="4010"/>
    <n v="0"/>
    <n v="8998.39"/>
    <s v="Sales for Invoice AR-INV-7154"/>
    <x v="3"/>
    <s v="Revenue"/>
    <n v="-8998.39"/>
    <x v="1"/>
    <d v="2024-02-01T00:00:00"/>
  </r>
  <r>
    <s v="GL-119"/>
    <d v="2024-02-05T00:00:00"/>
    <n v="1200"/>
    <n v="25380.35"/>
    <n v="0"/>
    <s v="AR for Invoice AR-INV-7030"/>
    <x v="2"/>
    <s v="Assets"/>
    <n v="25380.35"/>
    <x v="1"/>
    <d v="2024-02-01T00:00:00"/>
  </r>
  <r>
    <s v="GL-120"/>
    <d v="2024-02-05T00:00:00"/>
    <n v="4010"/>
    <n v="0"/>
    <n v="25380.35"/>
    <s v="Sales for Invoice AR-INV-7030"/>
    <x v="3"/>
    <s v="Revenue"/>
    <n v="-25380.35"/>
    <x v="1"/>
    <d v="2024-02-01T00:00:00"/>
  </r>
  <r>
    <s v="GL-1643"/>
    <d v="2024-02-05T00:00:00"/>
    <n v="1200"/>
    <n v="29061.14"/>
    <n v="0"/>
    <s v="AR for Invoice AR-INV-7411"/>
    <x v="2"/>
    <s v="Assets"/>
    <n v="29061.14"/>
    <x v="1"/>
    <d v="2024-02-01T00:00:00"/>
  </r>
  <r>
    <s v="GL-1644"/>
    <d v="2024-02-05T00:00:00"/>
    <n v="4010"/>
    <n v="0"/>
    <n v="29061.14"/>
    <s v="Sales for Invoice AR-INV-7411"/>
    <x v="3"/>
    <s v="Revenue"/>
    <n v="-29061.14"/>
    <x v="1"/>
    <d v="2024-02-01T00:00:00"/>
  </r>
  <r>
    <s v="GL-1275"/>
    <d v="2024-02-06T00:00:00"/>
    <n v="1200"/>
    <n v="22607.88"/>
    <n v="0"/>
    <s v="AR for Invoice AR-INV-7319"/>
    <x v="2"/>
    <s v="Assets"/>
    <n v="22607.88"/>
    <x v="1"/>
    <d v="2024-02-01T00:00:00"/>
  </r>
  <r>
    <s v="GL-1276"/>
    <d v="2024-02-06T00:00:00"/>
    <n v="4010"/>
    <n v="0"/>
    <n v="22607.88"/>
    <s v="Sales for Invoice AR-INV-7319"/>
    <x v="3"/>
    <s v="Revenue"/>
    <n v="-22607.88"/>
    <x v="1"/>
    <d v="2024-02-01T00:00:00"/>
  </r>
  <r>
    <s v="GL-1207"/>
    <d v="2024-02-08T00:00:00"/>
    <n v="1200"/>
    <n v="23380.58"/>
    <n v="0"/>
    <s v="AR for Invoice AR-INV-7302"/>
    <x v="2"/>
    <s v="Assets"/>
    <n v="23380.58"/>
    <x v="1"/>
    <d v="2024-02-01T00:00:00"/>
  </r>
  <r>
    <s v="GL-1208"/>
    <d v="2024-02-08T00:00:00"/>
    <n v="4010"/>
    <n v="0"/>
    <n v="23380.58"/>
    <s v="Sales for Invoice AR-INV-7302"/>
    <x v="3"/>
    <s v="Revenue"/>
    <n v="-23380.58"/>
    <x v="1"/>
    <d v="2024-02-01T00:00:00"/>
  </r>
  <r>
    <s v="GL-571"/>
    <d v="2024-02-08T00:00:00"/>
    <n v="1200"/>
    <n v="16013.49"/>
    <n v="0"/>
    <s v="AR for Invoice AR-INV-7143"/>
    <x v="2"/>
    <s v="Assets"/>
    <n v="16013.49"/>
    <x v="1"/>
    <d v="2024-02-01T00:00:00"/>
  </r>
  <r>
    <s v="GL-572"/>
    <d v="2024-02-08T00:00:00"/>
    <n v="4010"/>
    <n v="0"/>
    <n v="16013.49"/>
    <s v="Sales for Invoice AR-INV-7143"/>
    <x v="3"/>
    <s v="Revenue"/>
    <n v="-16013.49"/>
    <x v="1"/>
    <d v="2024-02-01T00:00:00"/>
  </r>
  <r>
    <s v="GL-125"/>
    <d v="2024-02-09T00:00:00"/>
    <n v="5010"/>
    <n v="11743.68"/>
    <n v="0"/>
    <s v="COGS for Invoice AP-INV-5032"/>
    <x v="0"/>
    <s v="Expenses"/>
    <n v="11743.68"/>
    <x v="1"/>
    <d v="2024-02-01T00:00:00"/>
  </r>
  <r>
    <s v="GL-126"/>
    <d v="2024-02-09T00:00:00"/>
    <n v="2010"/>
    <n v="0"/>
    <n v="11743.68"/>
    <s v="AP for Invoice AP-INV-5032"/>
    <x v="1"/>
    <s v="Liabilities"/>
    <n v="-11743.68"/>
    <x v="1"/>
    <d v="2024-02-01T00:00:00"/>
  </r>
  <r>
    <s v="GL-175"/>
    <d v="2024-02-10T00:00:00"/>
    <n v="1200"/>
    <n v="29847.360000000001"/>
    <n v="0"/>
    <s v="AR for Invoice AR-INV-7044"/>
    <x v="2"/>
    <s v="Assets"/>
    <n v="29847.360000000001"/>
    <x v="1"/>
    <d v="2024-02-01T00:00:00"/>
  </r>
  <r>
    <s v="GL-176"/>
    <d v="2024-02-10T00:00:00"/>
    <n v="4010"/>
    <n v="0"/>
    <n v="29847.360000000001"/>
    <s v="Sales for Invoice AR-INV-7044"/>
    <x v="3"/>
    <s v="Revenue"/>
    <n v="-29847.360000000001"/>
    <x v="1"/>
    <d v="2024-02-01T00:00:00"/>
  </r>
  <r>
    <s v="GL-1259"/>
    <d v="2024-02-11T00:00:00"/>
    <n v="1200"/>
    <n v="38717.58"/>
    <n v="0"/>
    <s v="AR for Invoice AR-INV-7315"/>
    <x v="2"/>
    <s v="Assets"/>
    <n v="38717.58"/>
    <x v="1"/>
    <d v="2024-02-01T00:00:00"/>
  </r>
  <r>
    <s v="GL-1260"/>
    <d v="2024-02-11T00:00:00"/>
    <n v="4010"/>
    <n v="0"/>
    <n v="38717.58"/>
    <s v="Sales for Invoice AR-INV-7315"/>
    <x v="3"/>
    <s v="Revenue"/>
    <n v="-38717.58"/>
    <x v="1"/>
    <d v="2024-02-01T00:00:00"/>
  </r>
  <r>
    <s v="GL-1341"/>
    <d v="2024-02-13T00:00:00"/>
    <n v="5010"/>
    <n v="13352.71"/>
    <n v="0"/>
    <s v="COGS for Invoice AP-INV-5336"/>
    <x v="0"/>
    <s v="Expenses"/>
    <n v="13352.71"/>
    <x v="1"/>
    <d v="2024-02-01T00:00:00"/>
  </r>
  <r>
    <s v="GL-1342"/>
    <d v="2024-02-13T00:00:00"/>
    <n v="2010"/>
    <n v="0"/>
    <n v="13352.71"/>
    <s v="AP for Invoice AP-INV-5336"/>
    <x v="1"/>
    <s v="Liabilities"/>
    <n v="-13352.71"/>
    <x v="1"/>
    <d v="2024-02-01T00:00:00"/>
  </r>
  <r>
    <s v="GL-549"/>
    <d v="2024-02-14T00:00:00"/>
    <n v="5010"/>
    <n v="4887.0600000000004"/>
    <n v="0"/>
    <s v="COGS for Invoice AP-INV-5138"/>
    <x v="0"/>
    <s v="Expenses"/>
    <n v="4887.0600000000004"/>
    <x v="1"/>
    <d v="2024-02-01T00:00:00"/>
  </r>
  <r>
    <s v="GL-550"/>
    <d v="2024-02-14T00:00:00"/>
    <n v="2010"/>
    <n v="0"/>
    <n v="4887.0600000000004"/>
    <s v="AP for Invoice AP-INV-5138"/>
    <x v="1"/>
    <s v="Liabilities"/>
    <n v="-4887.0600000000004"/>
    <x v="1"/>
    <d v="2024-02-01T00:00:00"/>
  </r>
  <r>
    <s v="GL-795"/>
    <d v="2024-02-17T00:00:00"/>
    <n v="1200"/>
    <n v="16332.73"/>
    <n v="0"/>
    <s v="AR for Invoice AR-INV-7199"/>
    <x v="2"/>
    <s v="Assets"/>
    <n v="16332.73"/>
    <x v="1"/>
    <d v="2024-02-01T00:00:00"/>
  </r>
  <r>
    <s v="GL-796"/>
    <d v="2024-02-17T00:00:00"/>
    <n v="4010"/>
    <n v="0"/>
    <n v="16332.73"/>
    <s v="Sales for Invoice AR-INV-7199"/>
    <x v="3"/>
    <s v="Revenue"/>
    <n v="-16332.73"/>
    <x v="1"/>
    <d v="2024-02-01T00:00:00"/>
  </r>
  <r>
    <s v="GL-1061"/>
    <d v="2024-02-18T00:00:00"/>
    <n v="5010"/>
    <n v="14160.12"/>
    <n v="0"/>
    <s v="COGS for Invoice AP-INV-5266"/>
    <x v="0"/>
    <s v="Expenses"/>
    <n v="14160.12"/>
    <x v="1"/>
    <d v="2024-02-01T00:00:00"/>
  </r>
  <r>
    <s v="GL-1062"/>
    <d v="2024-02-18T00:00:00"/>
    <n v="2010"/>
    <n v="0"/>
    <n v="14160.12"/>
    <s v="AP for Invoice AP-INV-5266"/>
    <x v="1"/>
    <s v="Liabilities"/>
    <n v="-14160.12"/>
    <x v="1"/>
    <d v="2024-02-01T00:00:00"/>
  </r>
  <r>
    <s v="GL-1599"/>
    <d v="2024-02-18T00:00:00"/>
    <n v="1200"/>
    <n v="21896.98"/>
    <n v="0"/>
    <s v="AR for Invoice AR-INV-7400"/>
    <x v="2"/>
    <s v="Assets"/>
    <n v="21896.98"/>
    <x v="1"/>
    <d v="2024-02-01T00:00:00"/>
  </r>
  <r>
    <s v="GL-1600"/>
    <d v="2024-02-18T00:00:00"/>
    <n v="4010"/>
    <n v="0"/>
    <n v="21896.98"/>
    <s v="Sales for Invoice AR-INV-7400"/>
    <x v="3"/>
    <s v="Revenue"/>
    <n v="-21896.98"/>
    <x v="1"/>
    <d v="2024-02-01T00:00:00"/>
  </r>
  <r>
    <s v="GL-833"/>
    <d v="2024-02-18T00:00:00"/>
    <n v="5010"/>
    <n v="1911.64"/>
    <n v="0"/>
    <s v="COGS for Invoice AP-INV-5209"/>
    <x v="0"/>
    <s v="Expenses"/>
    <n v="1911.64"/>
    <x v="1"/>
    <d v="2024-02-01T00:00:00"/>
  </r>
  <r>
    <s v="GL-834"/>
    <d v="2024-02-18T00:00:00"/>
    <n v="2010"/>
    <n v="0"/>
    <n v="1911.64"/>
    <s v="AP for Invoice AP-INV-5209"/>
    <x v="1"/>
    <s v="Liabilities"/>
    <n v="-1911.64"/>
    <x v="1"/>
    <d v="2024-02-01T00:00:00"/>
  </r>
  <r>
    <s v="GL-777"/>
    <d v="2024-02-19T00:00:00"/>
    <n v="5010"/>
    <n v="16778"/>
    <n v="0"/>
    <s v="COGS for Invoice AP-INV-5195"/>
    <x v="0"/>
    <s v="Expenses"/>
    <n v="16778"/>
    <x v="1"/>
    <d v="2024-02-01T00:00:00"/>
  </r>
  <r>
    <s v="GL-778"/>
    <d v="2024-02-19T00:00:00"/>
    <n v="2010"/>
    <n v="0"/>
    <n v="16778"/>
    <s v="AP for Invoice AP-INV-5195"/>
    <x v="1"/>
    <s v="Liabilities"/>
    <n v="-16778"/>
    <x v="1"/>
    <d v="2024-02-01T00:00:00"/>
  </r>
  <r>
    <s v="GL-1897"/>
    <d v="2024-02-20T00:00:00"/>
    <n v="5010"/>
    <n v="18726.98"/>
    <n v="0"/>
    <s v="COGS for Invoice AP-INV-5475"/>
    <x v="0"/>
    <s v="Expenses"/>
    <n v="18726.98"/>
    <x v="1"/>
    <d v="2024-02-01T00:00:00"/>
  </r>
  <r>
    <s v="GL-1898"/>
    <d v="2024-02-20T00:00:00"/>
    <n v="2010"/>
    <n v="0"/>
    <n v="18726.98"/>
    <s v="AP for Invoice AP-INV-5475"/>
    <x v="1"/>
    <s v="Liabilities"/>
    <n v="-18726.98"/>
    <x v="1"/>
    <d v="2024-02-01T00:00:00"/>
  </r>
  <r>
    <s v="GL-1571"/>
    <d v="2024-02-24T00:00:00"/>
    <n v="1200"/>
    <n v="15434.26"/>
    <n v="0"/>
    <s v="AR for Invoice AR-INV-7393"/>
    <x v="2"/>
    <s v="Assets"/>
    <n v="15434.26"/>
    <x v="1"/>
    <d v="2024-02-01T00:00:00"/>
  </r>
  <r>
    <s v="GL-1572"/>
    <d v="2024-02-24T00:00:00"/>
    <n v="4010"/>
    <n v="0"/>
    <n v="15434.26"/>
    <s v="Sales for Invoice AR-INV-7393"/>
    <x v="3"/>
    <s v="Revenue"/>
    <n v="-15434.26"/>
    <x v="1"/>
    <d v="2024-02-01T00:00:00"/>
  </r>
  <r>
    <s v="GL-1439"/>
    <d v="2024-02-25T00:00:00"/>
    <n v="1200"/>
    <n v="15019.57"/>
    <n v="0"/>
    <s v="AR for Invoice AR-INV-7360"/>
    <x v="2"/>
    <s v="Assets"/>
    <n v="15019.57"/>
    <x v="1"/>
    <d v="2024-02-01T00:00:00"/>
  </r>
  <r>
    <s v="GL-1440"/>
    <d v="2024-02-25T00:00:00"/>
    <n v="4010"/>
    <n v="0"/>
    <n v="15019.57"/>
    <s v="Sales for Invoice AR-INV-7360"/>
    <x v="3"/>
    <s v="Revenue"/>
    <n v="-15019.57"/>
    <x v="1"/>
    <d v="2024-02-01T00:00:00"/>
  </r>
  <r>
    <s v="GL-1553"/>
    <d v="2024-02-26T00:00:00"/>
    <n v="5010"/>
    <n v="10569.26"/>
    <n v="0"/>
    <s v="COGS for Invoice AP-INV-5389"/>
    <x v="0"/>
    <s v="Expenses"/>
    <n v="10569.26"/>
    <x v="1"/>
    <d v="2024-02-01T00:00:00"/>
  </r>
  <r>
    <s v="GL-1554"/>
    <d v="2024-02-26T00:00:00"/>
    <n v="2010"/>
    <n v="0"/>
    <n v="10569.26"/>
    <s v="AP for Invoice AP-INV-5389"/>
    <x v="1"/>
    <s v="Liabilities"/>
    <n v="-10569.26"/>
    <x v="1"/>
    <d v="2024-02-01T00:00:00"/>
  </r>
  <r>
    <s v="GL-517"/>
    <d v="2024-02-27T00:00:00"/>
    <n v="5010"/>
    <n v="11079.64"/>
    <n v="0"/>
    <s v="COGS for Invoice AP-INV-5130"/>
    <x v="0"/>
    <s v="Expenses"/>
    <n v="11079.64"/>
    <x v="1"/>
    <d v="2024-02-01T00:00:00"/>
  </r>
  <r>
    <s v="GL-518"/>
    <d v="2024-02-27T00:00:00"/>
    <n v="2010"/>
    <n v="0"/>
    <n v="11079.64"/>
    <s v="AP for Invoice AP-INV-5130"/>
    <x v="1"/>
    <s v="Liabilities"/>
    <n v="-11079.64"/>
    <x v="1"/>
    <d v="2024-02-01T00:00:00"/>
  </r>
  <r>
    <s v="GL-371"/>
    <d v="2024-03-02T00:00:00"/>
    <n v="1200"/>
    <n v="34365.879999999997"/>
    <n v="0"/>
    <s v="AR for Invoice AR-INV-7093"/>
    <x v="2"/>
    <s v="Assets"/>
    <n v="34365.879999999997"/>
    <x v="1"/>
    <d v="2024-03-01T00:00:00"/>
  </r>
  <r>
    <s v="GL-372"/>
    <d v="2024-03-02T00:00:00"/>
    <n v="4010"/>
    <n v="0"/>
    <n v="34365.879999999997"/>
    <s v="Sales for Invoice AR-INV-7093"/>
    <x v="3"/>
    <s v="Revenue"/>
    <n v="-34365.879999999997"/>
    <x v="1"/>
    <d v="2024-03-01T00:00:00"/>
  </r>
  <r>
    <s v="GL-1223"/>
    <d v="2024-03-03T00:00:00"/>
    <n v="1200"/>
    <n v="8498.1200000000008"/>
    <n v="0"/>
    <s v="AR for Invoice AR-INV-7306"/>
    <x v="2"/>
    <s v="Assets"/>
    <n v="8498.1200000000008"/>
    <x v="1"/>
    <d v="2024-03-01T00:00:00"/>
  </r>
  <r>
    <s v="GL-1224"/>
    <d v="2024-03-03T00:00:00"/>
    <n v="4010"/>
    <n v="0"/>
    <n v="8498.1200000000008"/>
    <s v="Sales for Invoice AR-INV-7306"/>
    <x v="3"/>
    <s v="Revenue"/>
    <n v="-8498.1200000000008"/>
    <x v="1"/>
    <d v="2024-03-01T00:00:00"/>
  </r>
  <r>
    <s v="GL-1321"/>
    <d v="2024-03-05T00:00:00"/>
    <n v="5010"/>
    <n v="18911.63"/>
    <n v="0"/>
    <s v="COGS for Invoice AP-INV-5331"/>
    <x v="0"/>
    <s v="Expenses"/>
    <n v="18911.63"/>
    <x v="1"/>
    <d v="2024-03-01T00:00:00"/>
  </r>
  <r>
    <s v="GL-1322"/>
    <d v="2024-03-05T00:00:00"/>
    <n v="2010"/>
    <n v="0"/>
    <n v="18911.63"/>
    <s v="AP for Invoice AP-INV-5331"/>
    <x v="1"/>
    <s v="Liabilities"/>
    <n v="-18911.63"/>
    <x v="1"/>
    <d v="2024-03-01T00:00:00"/>
  </r>
  <r>
    <s v="GL-345"/>
    <d v="2024-03-05T00:00:00"/>
    <n v="5010"/>
    <n v="19531.830000000002"/>
    <n v="0"/>
    <s v="COGS for Invoice AP-INV-5087"/>
    <x v="0"/>
    <s v="Expenses"/>
    <n v="19531.830000000002"/>
    <x v="1"/>
    <d v="2024-03-01T00:00:00"/>
  </r>
  <r>
    <s v="GL-346"/>
    <d v="2024-03-05T00:00:00"/>
    <n v="2010"/>
    <n v="0"/>
    <n v="19531.830000000002"/>
    <s v="AP for Invoice AP-INV-5087"/>
    <x v="1"/>
    <s v="Liabilities"/>
    <n v="-19531.830000000002"/>
    <x v="1"/>
    <d v="2024-03-01T00:00:00"/>
  </r>
  <r>
    <s v="GL-1097"/>
    <d v="2024-03-07T00:00:00"/>
    <n v="5010"/>
    <n v="2711.96"/>
    <n v="0"/>
    <s v="COGS for Invoice AP-INV-5275"/>
    <x v="0"/>
    <s v="Expenses"/>
    <n v="2711.96"/>
    <x v="1"/>
    <d v="2024-03-01T00:00:00"/>
  </r>
  <r>
    <s v="GL-1098"/>
    <d v="2024-03-07T00:00:00"/>
    <n v="2010"/>
    <n v="0"/>
    <n v="2711.96"/>
    <s v="AP for Invoice AP-INV-5275"/>
    <x v="1"/>
    <s v="Liabilities"/>
    <n v="-2711.96"/>
    <x v="1"/>
    <d v="2024-03-01T00:00:00"/>
  </r>
  <r>
    <s v="GL-695"/>
    <d v="2024-03-08T00:00:00"/>
    <n v="1200"/>
    <n v="8867.57"/>
    <n v="0"/>
    <s v="AR for Invoice AR-INV-7174"/>
    <x v="2"/>
    <s v="Assets"/>
    <n v="8867.57"/>
    <x v="1"/>
    <d v="2024-03-01T00:00:00"/>
  </r>
  <r>
    <s v="GL-696"/>
    <d v="2024-03-08T00:00:00"/>
    <n v="4010"/>
    <n v="0"/>
    <n v="8867.57"/>
    <s v="Sales for Invoice AR-INV-7174"/>
    <x v="3"/>
    <s v="Revenue"/>
    <n v="-8867.57"/>
    <x v="1"/>
    <d v="2024-03-01T00:00:00"/>
  </r>
  <r>
    <s v="GL-1505"/>
    <d v="2024-03-10T00:00:00"/>
    <n v="5010"/>
    <n v="18010.759999999998"/>
    <n v="0"/>
    <s v="COGS for Invoice AP-INV-5377"/>
    <x v="0"/>
    <s v="Expenses"/>
    <n v="18010.759999999998"/>
    <x v="1"/>
    <d v="2024-03-01T00:00:00"/>
  </r>
  <r>
    <s v="GL-1506"/>
    <d v="2024-03-10T00:00:00"/>
    <n v="2010"/>
    <n v="0"/>
    <n v="18010.759999999998"/>
    <s v="AP for Invoice AP-INV-5377"/>
    <x v="1"/>
    <s v="Liabilities"/>
    <n v="-18010.759999999998"/>
    <x v="1"/>
    <d v="2024-03-01T00:00:00"/>
  </r>
  <r>
    <s v="GL-1000"/>
    <d v="2024-03-13T00:00:00"/>
    <n v="4010"/>
    <n v="0"/>
    <n v="39380.36"/>
    <s v="Sales for Invoice AR-INV-7250"/>
    <x v="3"/>
    <s v="Revenue"/>
    <n v="-39380.36"/>
    <x v="1"/>
    <d v="2024-03-01T00:00:00"/>
  </r>
  <r>
    <s v="GL-999"/>
    <d v="2024-03-13T00:00:00"/>
    <n v="1200"/>
    <n v="39380.36"/>
    <n v="0"/>
    <s v="AR for Invoice AR-INV-7250"/>
    <x v="2"/>
    <s v="Assets"/>
    <n v="39380.36"/>
    <x v="1"/>
    <d v="2024-03-01T00:00:00"/>
  </r>
  <r>
    <s v="GL-1233"/>
    <d v="2024-03-15T00:00:00"/>
    <n v="5010"/>
    <n v="7871.58"/>
    <n v="0"/>
    <s v="COGS for Invoice AP-INV-5309"/>
    <x v="0"/>
    <s v="Expenses"/>
    <n v="7871.58"/>
    <x v="1"/>
    <d v="2024-03-01T00:00:00"/>
  </r>
  <r>
    <s v="GL-1234"/>
    <d v="2024-03-15T00:00:00"/>
    <n v="2010"/>
    <n v="0"/>
    <n v="7871.58"/>
    <s v="AP for Invoice AP-INV-5309"/>
    <x v="1"/>
    <s v="Liabilities"/>
    <n v="-7871.58"/>
    <x v="1"/>
    <d v="2024-03-01T00:00:00"/>
  </r>
  <r>
    <s v="GL-35"/>
    <d v="2024-03-15T00:00:00"/>
    <n v="1200"/>
    <n v="34496.639999999999"/>
    <n v="0"/>
    <s v="AR for Invoice AR-INV-7009"/>
    <x v="2"/>
    <s v="Assets"/>
    <n v="34496.639999999999"/>
    <x v="1"/>
    <d v="2024-03-01T00:00:00"/>
  </r>
  <r>
    <s v="GL-36"/>
    <d v="2024-03-15T00:00:00"/>
    <n v="4010"/>
    <n v="0"/>
    <n v="34496.639999999999"/>
    <s v="Sales for Invoice AR-INV-7009"/>
    <x v="3"/>
    <s v="Revenue"/>
    <n v="-34496.639999999999"/>
    <x v="1"/>
    <d v="2024-03-01T00:00:00"/>
  </r>
  <r>
    <s v="GL-375"/>
    <d v="2024-03-15T00:00:00"/>
    <n v="1200"/>
    <n v="21465.67"/>
    <n v="0"/>
    <s v="AR for Invoice AR-INV-7094"/>
    <x v="2"/>
    <s v="Assets"/>
    <n v="21465.67"/>
    <x v="1"/>
    <d v="2024-03-01T00:00:00"/>
  </r>
  <r>
    <s v="GL-376"/>
    <d v="2024-03-15T00:00:00"/>
    <n v="4010"/>
    <n v="0"/>
    <n v="21465.67"/>
    <s v="Sales for Invoice AR-INV-7094"/>
    <x v="3"/>
    <s v="Revenue"/>
    <n v="-21465.67"/>
    <x v="1"/>
    <d v="2024-03-01T00:00:00"/>
  </r>
  <r>
    <s v="GL-551"/>
    <d v="2024-03-15T00:00:00"/>
    <n v="1200"/>
    <n v="25768.94"/>
    <n v="0"/>
    <s v="AR for Invoice AR-INV-7138"/>
    <x v="2"/>
    <s v="Assets"/>
    <n v="25768.94"/>
    <x v="1"/>
    <d v="2024-03-01T00:00:00"/>
  </r>
  <r>
    <s v="GL-552"/>
    <d v="2024-03-15T00:00:00"/>
    <n v="4010"/>
    <n v="0"/>
    <n v="25768.94"/>
    <s v="Sales for Invoice AR-INV-7138"/>
    <x v="3"/>
    <s v="Revenue"/>
    <n v="-25768.94"/>
    <x v="1"/>
    <d v="2024-03-01T00:00:00"/>
  </r>
  <r>
    <s v="GL-1723"/>
    <d v="2024-03-16T00:00:00"/>
    <n v="1200"/>
    <n v="13980.78"/>
    <n v="0"/>
    <s v="AR for Invoice AR-INV-7431"/>
    <x v="2"/>
    <s v="Assets"/>
    <n v="13980.78"/>
    <x v="1"/>
    <d v="2024-03-01T00:00:00"/>
  </r>
  <r>
    <s v="GL-1724"/>
    <d v="2024-03-16T00:00:00"/>
    <n v="4010"/>
    <n v="0"/>
    <n v="13980.78"/>
    <s v="Sales for Invoice AR-INV-7431"/>
    <x v="3"/>
    <s v="Revenue"/>
    <n v="-13980.78"/>
    <x v="1"/>
    <d v="2024-03-01T00:00:00"/>
  </r>
  <r>
    <s v="GL-763"/>
    <d v="2024-03-18T00:00:00"/>
    <n v="1200"/>
    <n v="39193.660000000003"/>
    <n v="0"/>
    <s v="AR for Invoice AR-INV-7191"/>
    <x v="2"/>
    <s v="Assets"/>
    <n v="39193.660000000003"/>
    <x v="1"/>
    <d v="2024-03-01T00:00:00"/>
  </r>
  <r>
    <s v="GL-764"/>
    <d v="2024-03-18T00:00:00"/>
    <n v="4010"/>
    <n v="0"/>
    <n v="39193.660000000003"/>
    <s v="Sales for Invoice AR-INV-7191"/>
    <x v="3"/>
    <s v="Revenue"/>
    <n v="-39193.660000000003"/>
    <x v="1"/>
    <d v="2024-03-01T00:00:00"/>
  </r>
  <r>
    <s v="GL-1567"/>
    <d v="2024-03-19T00:00:00"/>
    <n v="1200"/>
    <n v="18996.2"/>
    <n v="0"/>
    <s v="AR for Invoice AR-INV-7392"/>
    <x v="2"/>
    <s v="Assets"/>
    <n v="18996.2"/>
    <x v="1"/>
    <d v="2024-03-01T00:00:00"/>
  </r>
  <r>
    <s v="GL-1568"/>
    <d v="2024-03-19T00:00:00"/>
    <n v="4010"/>
    <n v="0"/>
    <n v="18996.2"/>
    <s v="Sales for Invoice AR-INV-7392"/>
    <x v="3"/>
    <s v="Revenue"/>
    <n v="-18996.2"/>
    <x v="1"/>
    <d v="2024-03-01T00:00:00"/>
  </r>
  <r>
    <s v="GL-1971"/>
    <d v="2024-03-22T00:00:00"/>
    <n v="1200"/>
    <n v="42327.93"/>
    <n v="0"/>
    <s v="AR for Invoice AR-INV-7493"/>
    <x v="2"/>
    <s v="Assets"/>
    <n v="42327.93"/>
    <x v="1"/>
    <d v="2024-03-01T00:00:00"/>
  </r>
  <r>
    <s v="GL-1972"/>
    <d v="2024-03-22T00:00:00"/>
    <n v="4010"/>
    <n v="0"/>
    <n v="42327.93"/>
    <s v="Sales for Invoice AR-INV-7493"/>
    <x v="3"/>
    <s v="Revenue"/>
    <n v="-42327.93"/>
    <x v="1"/>
    <d v="2024-03-01T00:00:00"/>
  </r>
  <r>
    <s v="GL-865"/>
    <d v="2024-03-22T00:00:00"/>
    <n v="5010"/>
    <n v="16997.650000000001"/>
    <n v="0"/>
    <s v="COGS for Invoice AP-INV-5217"/>
    <x v="0"/>
    <s v="Expenses"/>
    <n v="16997.650000000001"/>
    <x v="1"/>
    <d v="2024-03-01T00:00:00"/>
  </r>
  <r>
    <s v="GL-866"/>
    <d v="2024-03-22T00:00:00"/>
    <n v="2010"/>
    <n v="0"/>
    <n v="16997.650000000001"/>
    <s v="AP for Invoice AP-INV-5217"/>
    <x v="1"/>
    <s v="Liabilities"/>
    <n v="-16997.650000000001"/>
    <x v="1"/>
    <d v="2024-03-01T00:00:00"/>
  </r>
  <r>
    <s v="GL-111"/>
    <d v="2024-03-23T00:00:00"/>
    <n v="1200"/>
    <n v="19067.45"/>
    <n v="0"/>
    <s v="AR for Invoice AR-INV-7028"/>
    <x v="2"/>
    <s v="Assets"/>
    <n v="19067.45"/>
    <x v="1"/>
    <d v="2024-03-01T00:00:00"/>
  </r>
  <r>
    <s v="GL-112"/>
    <d v="2024-03-23T00:00:00"/>
    <n v="4010"/>
    <n v="0"/>
    <n v="19067.45"/>
    <s v="Sales for Invoice AR-INV-7028"/>
    <x v="3"/>
    <s v="Revenue"/>
    <n v="-19067.45"/>
    <x v="1"/>
    <d v="2024-03-01T00:00:00"/>
  </r>
  <r>
    <s v="GL-5"/>
    <d v="2024-03-25T00:00:00"/>
    <n v="5010"/>
    <n v="2076.71"/>
    <n v="0"/>
    <s v="COGS for Invoice AP-INV-5002"/>
    <x v="0"/>
    <s v="Expenses"/>
    <n v="2076.71"/>
    <x v="1"/>
    <d v="2024-03-01T00:00:00"/>
  </r>
  <r>
    <s v="GL-6"/>
    <d v="2024-03-25T00:00:00"/>
    <n v="2010"/>
    <n v="0"/>
    <n v="2076.71"/>
    <s v="AP for Invoice AP-INV-5002"/>
    <x v="1"/>
    <s v="Liabilities"/>
    <n v="-2076.71"/>
    <x v="1"/>
    <d v="2024-03-01T00:00:00"/>
  </r>
  <r>
    <s v="GL-1027"/>
    <d v="2024-03-26T00:00:00"/>
    <n v="1200"/>
    <n v="39136.22"/>
    <n v="0"/>
    <s v="AR for Invoice AR-INV-7257"/>
    <x v="2"/>
    <s v="Assets"/>
    <n v="39136.22"/>
    <x v="1"/>
    <d v="2024-03-01T00:00:00"/>
  </r>
  <r>
    <s v="GL-1028"/>
    <d v="2024-03-26T00:00:00"/>
    <n v="4010"/>
    <n v="0"/>
    <n v="39136.22"/>
    <s v="Sales for Invoice AR-INV-7257"/>
    <x v="3"/>
    <s v="Revenue"/>
    <n v="-39136.22"/>
    <x v="1"/>
    <d v="2024-03-01T00:00:00"/>
  </r>
  <r>
    <s v="GL-1265"/>
    <d v="2024-03-26T00:00:00"/>
    <n v="5010"/>
    <n v="15909.09"/>
    <n v="0"/>
    <s v="COGS for Invoice AP-INV-5317"/>
    <x v="0"/>
    <s v="Expenses"/>
    <n v="15909.09"/>
    <x v="1"/>
    <d v="2024-03-01T00:00:00"/>
  </r>
  <r>
    <s v="GL-1266"/>
    <d v="2024-03-26T00:00:00"/>
    <n v="2010"/>
    <n v="0"/>
    <n v="15909.09"/>
    <s v="AP for Invoice AP-INV-5317"/>
    <x v="1"/>
    <s v="Liabilities"/>
    <n v="-15909.09"/>
    <x v="1"/>
    <d v="2024-03-01T00:00:00"/>
  </r>
  <r>
    <s v="GL-915"/>
    <d v="2024-03-28T00:00:00"/>
    <n v="1200"/>
    <n v="9269.9599999999991"/>
    <n v="0"/>
    <s v="AR for Invoice AR-INV-7229"/>
    <x v="2"/>
    <s v="Assets"/>
    <n v="9269.9599999999991"/>
    <x v="1"/>
    <d v="2024-03-01T00:00:00"/>
  </r>
  <r>
    <s v="GL-916"/>
    <d v="2024-03-28T00:00:00"/>
    <n v="4010"/>
    <n v="0"/>
    <n v="9269.9599999999991"/>
    <s v="Sales for Invoice AR-INV-7229"/>
    <x v="3"/>
    <s v="Revenue"/>
    <n v="-9269.9599999999991"/>
    <x v="1"/>
    <d v="2024-03-01T00:00:00"/>
  </r>
  <r>
    <s v="GL-97"/>
    <d v="2024-03-29T00:00:00"/>
    <n v="5010"/>
    <n v="19321.37"/>
    <n v="0"/>
    <s v="COGS for Invoice AP-INV-5025"/>
    <x v="0"/>
    <s v="Expenses"/>
    <n v="19321.37"/>
    <x v="1"/>
    <d v="2024-03-01T00:00:00"/>
  </r>
  <r>
    <s v="GL-98"/>
    <d v="2024-03-29T00:00:00"/>
    <n v="2010"/>
    <n v="0"/>
    <n v="19321.37"/>
    <s v="AP for Invoice AP-INV-5025"/>
    <x v="1"/>
    <s v="Liabilities"/>
    <n v="-19321.37"/>
    <x v="1"/>
    <d v="2024-03-01T00:00:00"/>
  </r>
  <r>
    <s v="GL-1019"/>
    <d v="2024-03-30T00:00:00"/>
    <n v="1200"/>
    <n v="12124.84"/>
    <n v="0"/>
    <s v="AR for Invoice AR-INV-7255"/>
    <x v="2"/>
    <s v="Assets"/>
    <n v="12124.84"/>
    <x v="1"/>
    <d v="2024-03-01T00:00:00"/>
  </r>
  <r>
    <s v="GL-1020"/>
    <d v="2024-03-30T00:00:00"/>
    <n v="4010"/>
    <n v="0"/>
    <n v="12124.84"/>
    <s v="Sales for Invoice AR-INV-7255"/>
    <x v="3"/>
    <s v="Revenue"/>
    <n v="-12124.84"/>
    <x v="1"/>
    <d v="2024-03-01T00:00:00"/>
  </r>
  <r>
    <s v="GL-1509"/>
    <d v="2024-04-02T00:00:00"/>
    <n v="5010"/>
    <n v="4811.3100000000004"/>
    <n v="0"/>
    <s v="COGS for Invoice AP-INV-5378"/>
    <x v="0"/>
    <s v="Expenses"/>
    <n v="4811.3100000000004"/>
    <x v="1"/>
    <d v="2024-04-01T00:00:00"/>
  </r>
  <r>
    <s v="GL-1510"/>
    <d v="2024-04-02T00:00:00"/>
    <n v="2010"/>
    <n v="0"/>
    <n v="4811.3100000000004"/>
    <s v="AP for Invoice AP-INV-5378"/>
    <x v="1"/>
    <s v="Liabilities"/>
    <n v="-4811.3100000000004"/>
    <x v="1"/>
    <d v="2024-04-01T00:00:00"/>
  </r>
  <r>
    <s v="GL-1159"/>
    <d v="2024-04-04T00:00:00"/>
    <n v="1200"/>
    <n v="46477.16"/>
    <n v="0"/>
    <s v="AR for Invoice AR-INV-7290"/>
    <x v="2"/>
    <s v="Assets"/>
    <n v="46477.16"/>
    <x v="1"/>
    <d v="2024-04-01T00:00:00"/>
  </r>
  <r>
    <s v="GL-1160"/>
    <d v="2024-04-04T00:00:00"/>
    <n v="4010"/>
    <n v="0"/>
    <n v="46477.16"/>
    <s v="Sales for Invoice AR-INV-7290"/>
    <x v="3"/>
    <s v="Revenue"/>
    <n v="-46477.16"/>
    <x v="1"/>
    <d v="2024-04-01T00:00:00"/>
  </r>
  <r>
    <s v="GL-39"/>
    <d v="2024-04-05T00:00:00"/>
    <n v="1200"/>
    <n v="46056.76"/>
    <n v="0"/>
    <s v="AR for Invoice AR-INV-7010"/>
    <x v="2"/>
    <s v="Assets"/>
    <n v="46056.76"/>
    <x v="1"/>
    <d v="2024-04-01T00:00:00"/>
  </r>
  <r>
    <s v="GL-40"/>
    <d v="2024-04-05T00:00:00"/>
    <n v="4010"/>
    <n v="0"/>
    <n v="46056.76"/>
    <s v="Sales for Invoice AR-INV-7010"/>
    <x v="3"/>
    <s v="Revenue"/>
    <n v="-46056.76"/>
    <x v="1"/>
    <d v="2024-04-01T00:00:00"/>
  </r>
  <r>
    <s v="GL-1713"/>
    <d v="2024-04-07T00:00:00"/>
    <n v="5010"/>
    <n v="13416.37"/>
    <n v="0"/>
    <s v="COGS for Invoice AP-INV-5429"/>
    <x v="0"/>
    <s v="Expenses"/>
    <n v="13416.37"/>
    <x v="1"/>
    <d v="2024-04-01T00:00:00"/>
  </r>
  <r>
    <s v="GL-1714"/>
    <d v="2024-04-07T00:00:00"/>
    <n v="2010"/>
    <n v="0"/>
    <n v="13416.37"/>
    <s v="AP for Invoice AP-INV-5429"/>
    <x v="1"/>
    <s v="Liabilities"/>
    <n v="-13416.37"/>
    <x v="1"/>
    <d v="2024-04-01T00:00:00"/>
  </r>
  <r>
    <s v="GL-687"/>
    <d v="2024-04-10T00:00:00"/>
    <n v="1200"/>
    <n v="45911.54"/>
    <n v="0"/>
    <s v="AR for Invoice AR-INV-7172"/>
    <x v="2"/>
    <s v="Assets"/>
    <n v="45911.54"/>
    <x v="1"/>
    <d v="2024-04-01T00:00:00"/>
  </r>
  <r>
    <s v="GL-688"/>
    <d v="2024-04-10T00:00:00"/>
    <n v="4010"/>
    <n v="0"/>
    <n v="45911.54"/>
    <s v="Sales for Invoice AR-INV-7172"/>
    <x v="3"/>
    <s v="Revenue"/>
    <n v="-45911.54"/>
    <x v="1"/>
    <d v="2024-04-01T00:00:00"/>
  </r>
  <r>
    <s v="GL-25"/>
    <d v="2024-04-11T00:00:00"/>
    <n v="5010"/>
    <n v="9641.1200000000008"/>
    <n v="0"/>
    <s v="COGS for Invoice AP-INV-5007"/>
    <x v="0"/>
    <s v="Expenses"/>
    <n v="9641.1200000000008"/>
    <x v="1"/>
    <d v="2024-04-01T00:00:00"/>
  </r>
  <r>
    <s v="GL-26"/>
    <d v="2024-04-11T00:00:00"/>
    <n v="2010"/>
    <n v="0"/>
    <n v="9641.1200000000008"/>
    <s v="AP for Invoice AP-INV-5007"/>
    <x v="1"/>
    <s v="Liabilities"/>
    <n v="-9641.1200000000008"/>
    <x v="1"/>
    <d v="2024-04-01T00:00:00"/>
  </r>
  <r>
    <s v="GL-1941"/>
    <d v="2024-04-14T00:00:00"/>
    <n v="5010"/>
    <n v="16256.74"/>
    <n v="0"/>
    <s v="COGS for Invoice AP-INV-5486"/>
    <x v="0"/>
    <s v="Expenses"/>
    <n v="16256.74"/>
    <x v="1"/>
    <d v="2024-04-01T00:00:00"/>
  </r>
  <r>
    <s v="GL-1942"/>
    <d v="2024-04-14T00:00:00"/>
    <n v="2010"/>
    <n v="0"/>
    <n v="16256.74"/>
    <s v="AP for Invoice AP-INV-5486"/>
    <x v="1"/>
    <s v="Liabilities"/>
    <n v="-16256.74"/>
    <x v="1"/>
    <d v="2024-04-01T00:00:00"/>
  </r>
  <r>
    <s v="GL-1909"/>
    <d v="2024-04-15T00:00:00"/>
    <n v="5010"/>
    <n v="18439"/>
    <n v="0"/>
    <s v="COGS for Invoice AP-INV-5478"/>
    <x v="0"/>
    <s v="Expenses"/>
    <n v="18439"/>
    <x v="1"/>
    <d v="2024-04-01T00:00:00"/>
  </r>
  <r>
    <s v="GL-1910"/>
    <d v="2024-04-15T00:00:00"/>
    <n v="2010"/>
    <n v="0"/>
    <n v="18439"/>
    <s v="AP for Invoice AP-INV-5478"/>
    <x v="1"/>
    <s v="Liabilities"/>
    <n v="-18439"/>
    <x v="1"/>
    <d v="2024-04-01T00:00:00"/>
  </r>
  <r>
    <s v="GL-1363"/>
    <d v="2024-04-17T00:00:00"/>
    <n v="1200"/>
    <n v="1139.28"/>
    <n v="0"/>
    <s v="AR for Invoice AR-INV-7341"/>
    <x v="2"/>
    <s v="Assets"/>
    <n v="1139.28"/>
    <x v="1"/>
    <d v="2024-04-01T00:00:00"/>
  </r>
  <r>
    <s v="GL-1364"/>
    <d v="2024-04-17T00:00:00"/>
    <n v="4010"/>
    <n v="0"/>
    <n v="1139.28"/>
    <s v="Sales for Invoice AR-INV-7341"/>
    <x v="3"/>
    <s v="Revenue"/>
    <n v="-1139.28"/>
    <x v="1"/>
    <d v="2024-04-01T00:00:00"/>
  </r>
  <r>
    <s v="GL-787"/>
    <d v="2024-04-17T00:00:00"/>
    <n v="1200"/>
    <n v="24256.41"/>
    <n v="0"/>
    <s v="AR for Invoice AR-INV-7197"/>
    <x v="2"/>
    <s v="Assets"/>
    <n v="24256.41"/>
    <x v="1"/>
    <d v="2024-04-01T00:00:00"/>
  </r>
  <r>
    <s v="GL-788"/>
    <d v="2024-04-17T00:00:00"/>
    <n v="4010"/>
    <n v="0"/>
    <n v="24256.41"/>
    <s v="Sales for Invoice AR-INV-7197"/>
    <x v="3"/>
    <s v="Revenue"/>
    <n v="-24256.41"/>
    <x v="1"/>
    <d v="2024-04-01T00:00:00"/>
  </r>
  <r>
    <s v="GL-1931"/>
    <d v="2024-04-18T00:00:00"/>
    <n v="1200"/>
    <n v="38230.620000000003"/>
    <n v="0"/>
    <s v="AR for Invoice AR-INV-7483"/>
    <x v="2"/>
    <s v="Assets"/>
    <n v="38230.620000000003"/>
    <x v="1"/>
    <d v="2024-04-01T00:00:00"/>
  </r>
  <r>
    <s v="GL-1932"/>
    <d v="2024-04-18T00:00:00"/>
    <n v="4010"/>
    <n v="0"/>
    <n v="38230.620000000003"/>
    <s v="Sales for Invoice AR-INV-7483"/>
    <x v="3"/>
    <s v="Revenue"/>
    <n v="-38230.620000000003"/>
    <x v="1"/>
    <d v="2024-04-01T00:00:00"/>
  </r>
  <r>
    <s v="GL-1063"/>
    <d v="2024-04-23T00:00:00"/>
    <n v="1200"/>
    <n v="19546.189999999999"/>
    <n v="0"/>
    <s v="AR for Invoice AR-INV-7266"/>
    <x v="2"/>
    <s v="Assets"/>
    <n v="19546.189999999999"/>
    <x v="1"/>
    <d v="2024-04-01T00:00:00"/>
  </r>
  <r>
    <s v="GL-1064"/>
    <d v="2024-04-23T00:00:00"/>
    <n v="4010"/>
    <n v="0"/>
    <n v="19546.189999999999"/>
    <s v="Sales for Invoice AR-INV-7266"/>
    <x v="3"/>
    <s v="Revenue"/>
    <n v="-19546.189999999999"/>
    <x v="1"/>
    <d v="2024-04-01T00:00:00"/>
  </r>
  <r>
    <s v="GL-233"/>
    <d v="2024-04-27T00:00:00"/>
    <n v="5010"/>
    <n v="5516.67"/>
    <n v="0"/>
    <s v="COGS for Invoice AP-INV-5059"/>
    <x v="0"/>
    <s v="Expenses"/>
    <n v="5516.67"/>
    <x v="1"/>
    <d v="2024-04-01T00:00:00"/>
  </r>
  <r>
    <s v="GL-234"/>
    <d v="2024-04-27T00:00:00"/>
    <n v="2010"/>
    <n v="0"/>
    <n v="5516.67"/>
    <s v="AP for Invoice AP-INV-5059"/>
    <x v="1"/>
    <s v="Liabilities"/>
    <n v="-5516.67"/>
    <x v="1"/>
    <d v="2024-04-01T00:00:00"/>
  </r>
  <r>
    <s v="GL-567"/>
    <d v="2024-04-28T00:00:00"/>
    <n v="1200"/>
    <n v="15916.15"/>
    <n v="0"/>
    <s v="AR for Invoice AR-INV-7142"/>
    <x v="2"/>
    <s v="Assets"/>
    <n v="15916.15"/>
    <x v="1"/>
    <d v="2024-04-01T00:00:00"/>
  </r>
  <r>
    <s v="GL-568"/>
    <d v="2024-04-28T00:00:00"/>
    <n v="4010"/>
    <n v="0"/>
    <n v="15916.15"/>
    <s v="Sales for Invoice AR-INV-7142"/>
    <x v="3"/>
    <s v="Revenue"/>
    <n v="-15916.15"/>
    <x v="1"/>
    <d v="2024-04-01T00:00:00"/>
  </r>
  <r>
    <s v="GL-1193"/>
    <d v="2024-04-29T00:00:00"/>
    <n v="5010"/>
    <n v="9319.1200000000008"/>
    <n v="0"/>
    <s v="COGS for Invoice AP-INV-5299"/>
    <x v="0"/>
    <s v="Expenses"/>
    <n v="9319.1200000000008"/>
    <x v="1"/>
    <d v="2024-04-01T00:00:00"/>
  </r>
  <r>
    <s v="GL-1194"/>
    <d v="2024-04-29T00:00:00"/>
    <n v="2010"/>
    <n v="0"/>
    <n v="9319.1200000000008"/>
    <s v="AP for Invoice AP-INV-5299"/>
    <x v="1"/>
    <s v="Liabilities"/>
    <n v="-9319.1200000000008"/>
    <x v="1"/>
    <d v="2024-04-01T00:00:00"/>
  </r>
  <r>
    <s v="GL-293"/>
    <d v="2024-04-29T00:00:00"/>
    <n v="5010"/>
    <n v="16230.9"/>
    <n v="0"/>
    <s v="COGS for Invoice AP-INV-5074"/>
    <x v="0"/>
    <s v="Expenses"/>
    <n v="16230.9"/>
    <x v="1"/>
    <d v="2024-04-01T00:00:00"/>
  </r>
  <r>
    <s v="GL-294"/>
    <d v="2024-04-29T00:00:00"/>
    <n v="2010"/>
    <n v="0"/>
    <n v="16230.9"/>
    <s v="AP for Invoice AP-INV-5074"/>
    <x v="1"/>
    <s v="Liabilities"/>
    <n v="-16230.9"/>
    <x v="1"/>
    <d v="2024-04-01T00:00:00"/>
  </r>
  <r>
    <s v="GL-1549"/>
    <d v="2024-05-01T00:00:00"/>
    <n v="5010"/>
    <n v="18609.900000000001"/>
    <n v="0"/>
    <s v="COGS for Invoice AP-INV-5388"/>
    <x v="0"/>
    <s v="Expenses"/>
    <n v="18609.900000000001"/>
    <x v="1"/>
    <d v="2024-05-01T00:00:00"/>
  </r>
  <r>
    <s v="GL-1550"/>
    <d v="2024-05-01T00:00:00"/>
    <n v="2010"/>
    <n v="0"/>
    <n v="18609.900000000001"/>
    <s v="AP for Invoice AP-INV-5388"/>
    <x v="1"/>
    <s v="Liabilities"/>
    <n v="-18609.900000000001"/>
    <x v="1"/>
    <d v="2024-05-01T00:00:00"/>
  </r>
  <r>
    <s v="GL-1129"/>
    <d v="2024-05-03T00:00:00"/>
    <n v="5010"/>
    <n v="13970.51"/>
    <n v="0"/>
    <s v="COGS for Invoice AP-INV-5283"/>
    <x v="0"/>
    <s v="Expenses"/>
    <n v="13970.51"/>
    <x v="1"/>
    <d v="2024-05-01T00:00:00"/>
  </r>
  <r>
    <s v="GL-1130"/>
    <d v="2024-05-03T00:00:00"/>
    <n v="2010"/>
    <n v="0"/>
    <n v="13970.51"/>
    <s v="AP for Invoice AP-INV-5283"/>
    <x v="1"/>
    <s v="Liabilities"/>
    <n v="-13970.51"/>
    <x v="1"/>
    <d v="2024-05-01T00:00:00"/>
  </r>
  <r>
    <s v="GL-1619"/>
    <d v="2024-05-03T00:00:00"/>
    <n v="1200"/>
    <n v="36873"/>
    <n v="0"/>
    <s v="AR for Invoice AR-INV-7405"/>
    <x v="2"/>
    <s v="Assets"/>
    <n v="36873"/>
    <x v="1"/>
    <d v="2024-05-01T00:00:00"/>
  </r>
  <r>
    <s v="GL-1620"/>
    <d v="2024-05-03T00:00:00"/>
    <n v="4010"/>
    <n v="0"/>
    <n v="36873"/>
    <s v="Sales for Invoice AR-INV-7405"/>
    <x v="3"/>
    <s v="Revenue"/>
    <n v="-36873"/>
    <x v="1"/>
    <d v="2024-05-01T00:00:00"/>
  </r>
  <r>
    <s v="GL-1601"/>
    <d v="2024-05-05T00:00:00"/>
    <n v="5010"/>
    <n v="9816.26"/>
    <n v="0"/>
    <s v="COGS for Invoice AP-INV-5401"/>
    <x v="0"/>
    <s v="Expenses"/>
    <n v="9816.26"/>
    <x v="1"/>
    <d v="2024-05-01T00:00:00"/>
  </r>
  <r>
    <s v="GL-1602"/>
    <d v="2024-05-05T00:00:00"/>
    <n v="2010"/>
    <n v="0"/>
    <n v="9816.26"/>
    <s v="AP for Invoice AP-INV-5401"/>
    <x v="1"/>
    <s v="Liabilities"/>
    <n v="-9816.26"/>
    <x v="1"/>
    <d v="2024-05-01T00:00:00"/>
  </r>
  <r>
    <s v="GL-1735"/>
    <d v="2024-05-06T00:00:00"/>
    <n v="1200"/>
    <n v="2373.2199999999998"/>
    <n v="0"/>
    <s v="AR for Invoice AR-INV-7434"/>
    <x v="2"/>
    <s v="Assets"/>
    <n v="2373.2199999999998"/>
    <x v="1"/>
    <d v="2024-05-01T00:00:00"/>
  </r>
  <r>
    <s v="GL-1736"/>
    <d v="2024-05-06T00:00:00"/>
    <n v="4010"/>
    <n v="0"/>
    <n v="2373.2199999999998"/>
    <s v="Sales for Invoice AR-INV-7434"/>
    <x v="3"/>
    <s v="Revenue"/>
    <n v="-2373.2199999999998"/>
    <x v="1"/>
    <d v="2024-05-01T00:00:00"/>
  </r>
  <r>
    <s v="GL-803"/>
    <d v="2024-05-06T00:00:00"/>
    <n v="1200"/>
    <n v="32953.85"/>
    <n v="0"/>
    <s v="AR for Invoice AR-INV-7201"/>
    <x v="2"/>
    <s v="Assets"/>
    <n v="32953.85"/>
    <x v="1"/>
    <d v="2024-05-01T00:00:00"/>
  </r>
  <r>
    <s v="GL-804"/>
    <d v="2024-05-06T00:00:00"/>
    <n v="4010"/>
    <n v="0"/>
    <n v="32953.85"/>
    <s v="Sales for Invoice AR-INV-7201"/>
    <x v="3"/>
    <s v="Revenue"/>
    <n v="-32953.85"/>
    <x v="1"/>
    <d v="2024-05-01T00:00:00"/>
  </r>
  <r>
    <s v="GL-1177"/>
    <d v="2024-05-08T00:00:00"/>
    <n v="5010"/>
    <n v="9787.5300000000007"/>
    <n v="0"/>
    <s v="COGS for Invoice AP-INV-5295"/>
    <x v="0"/>
    <s v="Expenses"/>
    <n v="9787.5300000000007"/>
    <x v="1"/>
    <d v="2024-05-01T00:00:00"/>
  </r>
  <r>
    <s v="GL-1178"/>
    <d v="2024-05-08T00:00:00"/>
    <n v="2010"/>
    <n v="0"/>
    <n v="9787.5300000000007"/>
    <s v="AP for Invoice AP-INV-5295"/>
    <x v="1"/>
    <s v="Liabilities"/>
    <n v="-9787.5300000000007"/>
    <x v="1"/>
    <d v="2024-05-01T00:00:00"/>
  </r>
  <r>
    <s v="GL-1743"/>
    <d v="2024-05-09T00:00:00"/>
    <n v="1200"/>
    <n v="2431.2600000000002"/>
    <n v="0"/>
    <s v="AR for Invoice AR-INV-7436"/>
    <x v="2"/>
    <s v="Assets"/>
    <n v="2431.2600000000002"/>
    <x v="1"/>
    <d v="2024-05-01T00:00:00"/>
  </r>
  <r>
    <s v="GL-1744"/>
    <d v="2024-05-09T00:00:00"/>
    <n v="4010"/>
    <n v="0"/>
    <n v="2431.2600000000002"/>
    <s v="Sales for Invoice AR-INV-7436"/>
    <x v="3"/>
    <s v="Revenue"/>
    <n v="-2431.2600000000002"/>
    <x v="1"/>
    <d v="2024-05-01T00:00:00"/>
  </r>
  <r>
    <s v="GL-773"/>
    <d v="2024-05-10T00:00:00"/>
    <n v="5010"/>
    <n v="10357.9"/>
    <n v="0"/>
    <s v="COGS for Invoice AP-INV-5194"/>
    <x v="0"/>
    <s v="Expenses"/>
    <n v="10357.9"/>
    <x v="1"/>
    <d v="2024-05-01T00:00:00"/>
  </r>
  <r>
    <s v="GL-774"/>
    <d v="2024-05-10T00:00:00"/>
    <n v="2010"/>
    <n v="0"/>
    <n v="10357.9"/>
    <s v="AP for Invoice AP-INV-5194"/>
    <x v="1"/>
    <s v="Liabilities"/>
    <n v="-10357.9"/>
    <x v="1"/>
    <d v="2024-05-01T00:00:00"/>
  </r>
  <r>
    <s v="GL-617"/>
    <d v="2024-05-11T00:00:00"/>
    <n v="5010"/>
    <n v="6989.7"/>
    <n v="0"/>
    <s v="COGS for Invoice AP-INV-5155"/>
    <x v="0"/>
    <s v="Expenses"/>
    <n v="6989.7"/>
    <x v="1"/>
    <d v="2024-05-01T00:00:00"/>
  </r>
  <r>
    <s v="GL-618"/>
    <d v="2024-05-11T00:00:00"/>
    <n v="2010"/>
    <n v="0"/>
    <n v="6989.7"/>
    <s v="AP for Invoice AP-INV-5155"/>
    <x v="1"/>
    <s v="Liabilities"/>
    <n v="-6989.7"/>
    <x v="1"/>
    <d v="2024-05-01T00:00:00"/>
  </r>
  <r>
    <s v="GL-1773"/>
    <d v="2024-05-17T00:00:00"/>
    <n v="5010"/>
    <n v="5972.28"/>
    <n v="0"/>
    <s v="COGS for Invoice AP-INV-5444"/>
    <x v="0"/>
    <s v="Expenses"/>
    <n v="5972.28"/>
    <x v="1"/>
    <d v="2024-05-01T00:00:00"/>
  </r>
  <r>
    <s v="GL-1774"/>
    <d v="2024-05-17T00:00:00"/>
    <n v="2010"/>
    <n v="0"/>
    <n v="5972.28"/>
    <s v="AP for Invoice AP-INV-5444"/>
    <x v="1"/>
    <s v="Liabilities"/>
    <n v="-5972.28"/>
    <x v="1"/>
    <d v="2024-05-01T00:00:00"/>
  </r>
  <r>
    <s v="GL-987"/>
    <d v="2024-05-19T00:00:00"/>
    <n v="1200"/>
    <n v="23383.98"/>
    <n v="0"/>
    <s v="AR for Invoice AR-INV-7247"/>
    <x v="2"/>
    <s v="Assets"/>
    <n v="23383.98"/>
    <x v="1"/>
    <d v="2024-05-01T00:00:00"/>
  </r>
  <r>
    <s v="GL-988"/>
    <d v="2024-05-19T00:00:00"/>
    <n v="4010"/>
    <n v="0"/>
    <n v="23383.98"/>
    <s v="Sales for Invoice AR-INV-7247"/>
    <x v="3"/>
    <s v="Revenue"/>
    <n v="-23383.98"/>
    <x v="1"/>
    <d v="2024-05-01T00:00:00"/>
  </r>
  <r>
    <s v="GL-1661"/>
    <d v="2024-05-27T00:00:00"/>
    <n v="5010"/>
    <n v="19898.34"/>
    <n v="0"/>
    <s v="COGS for Invoice AP-INV-5416"/>
    <x v="0"/>
    <s v="Expenses"/>
    <n v="19898.34"/>
    <x v="1"/>
    <d v="2024-05-01T00:00:00"/>
  </r>
  <r>
    <s v="GL-1662"/>
    <d v="2024-05-27T00:00:00"/>
    <n v="2010"/>
    <n v="0"/>
    <n v="19898.34"/>
    <s v="AP for Invoice AP-INV-5416"/>
    <x v="1"/>
    <s v="Liabilities"/>
    <n v="-19898.34"/>
    <x v="1"/>
    <d v="2024-05-01T00:00:00"/>
  </r>
  <r>
    <s v="GL-65"/>
    <d v="2024-05-27T00:00:00"/>
    <n v="5010"/>
    <n v="1829.34"/>
    <n v="0"/>
    <s v="COGS for Invoice AP-INV-5017"/>
    <x v="0"/>
    <s v="Expenses"/>
    <n v="1829.34"/>
    <x v="1"/>
    <d v="2024-05-01T00:00:00"/>
  </r>
  <r>
    <s v="GL-66"/>
    <d v="2024-05-27T00:00:00"/>
    <n v="2010"/>
    <n v="0"/>
    <n v="1829.34"/>
    <s v="AP for Invoice AP-INV-5017"/>
    <x v="1"/>
    <s v="Liabilities"/>
    <n v="-1829.34"/>
    <x v="1"/>
    <d v="2024-05-01T00:00:00"/>
  </r>
  <r>
    <s v="GL-897"/>
    <d v="2024-05-27T00:00:00"/>
    <n v="5010"/>
    <n v="18284.060000000001"/>
    <n v="0"/>
    <s v="COGS for Invoice AP-INV-5225"/>
    <x v="0"/>
    <s v="Expenses"/>
    <n v="18284.060000000001"/>
    <x v="1"/>
    <d v="2024-05-01T00:00:00"/>
  </r>
  <r>
    <s v="GL-898"/>
    <d v="2024-05-27T00:00:00"/>
    <n v="2010"/>
    <n v="0"/>
    <n v="18284.060000000001"/>
    <s v="AP for Invoice AP-INV-5225"/>
    <x v="1"/>
    <s v="Liabilities"/>
    <n v="-18284.060000000001"/>
    <x v="1"/>
    <d v="2024-05-01T00:00:00"/>
  </r>
  <r>
    <s v="GL-649"/>
    <d v="2024-05-29T00:00:00"/>
    <n v="5010"/>
    <n v="5593.5"/>
    <n v="0"/>
    <s v="COGS for Invoice AP-INV-5163"/>
    <x v="0"/>
    <s v="Expenses"/>
    <n v="5593.5"/>
    <x v="1"/>
    <d v="2024-05-01T00:00:00"/>
  </r>
  <r>
    <s v="GL-650"/>
    <d v="2024-05-29T00:00:00"/>
    <n v="2010"/>
    <n v="0"/>
    <n v="5593.5"/>
    <s v="AP for Invoice AP-INV-5163"/>
    <x v="1"/>
    <s v="Liabilities"/>
    <n v="-5593.5"/>
    <x v="1"/>
    <d v="2024-05-01T00:00:00"/>
  </r>
  <r>
    <s v="GL-701"/>
    <d v="2024-05-30T00:00:00"/>
    <n v="5010"/>
    <n v="13669.91"/>
    <n v="0"/>
    <s v="COGS for Invoice AP-INV-5176"/>
    <x v="0"/>
    <s v="Expenses"/>
    <n v="13669.91"/>
    <x v="1"/>
    <d v="2024-05-01T00:00:00"/>
  </r>
  <r>
    <s v="GL-702"/>
    <d v="2024-05-30T00:00:00"/>
    <n v="2010"/>
    <n v="0"/>
    <n v="13669.91"/>
    <s v="AP for Invoice AP-INV-5176"/>
    <x v="1"/>
    <s v="Liabilities"/>
    <n v="-13669.91"/>
    <x v="1"/>
    <d v="2024-05-01T00:00:00"/>
  </r>
  <r>
    <s v="GL-509"/>
    <d v="2024-05-31T00:00:00"/>
    <n v="5010"/>
    <n v="16698.43"/>
    <n v="0"/>
    <s v="COGS for Invoice AP-INV-5128"/>
    <x v="0"/>
    <s v="Expenses"/>
    <n v="16698.43"/>
    <x v="1"/>
    <d v="2024-05-01T00:00:00"/>
  </r>
  <r>
    <s v="GL-510"/>
    <d v="2024-05-31T00:00:00"/>
    <n v="2010"/>
    <n v="0"/>
    <n v="16698.43"/>
    <s v="AP for Invoice AP-INV-5128"/>
    <x v="1"/>
    <s v="Liabilities"/>
    <n v="-16698.43"/>
    <x v="1"/>
    <d v="2024-05-01T00:00:00"/>
  </r>
  <r>
    <s v="GL-703"/>
    <d v="2024-05-31T00:00:00"/>
    <n v="1200"/>
    <n v="12831.26"/>
    <n v="0"/>
    <s v="AR for Invoice AR-INV-7176"/>
    <x v="2"/>
    <s v="Assets"/>
    <n v="12831.26"/>
    <x v="1"/>
    <d v="2024-05-01T00:00:00"/>
  </r>
  <r>
    <s v="GL-704"/>
    <d v="2024-05-31T00:00:00"/>
    <n v="4010"/>
    <n v="0"/>
    <n v="12831.26"/>
    <s v="Sales for Invoice AR-INV-7176"/>
    <x v="3"/>
    <s v="Revenue"/>
    <n v="-12831.26"/>
    <x v="1"/>
    <d v="2024-05-01T00:00:00"/>
  </r>
  <r>
    <s v="GL-637"/>
    <d v="2024-06-02T00:00:00"/>
    <n v="5010"/>
    <n v="18598.37"/>
    <n v="0"/>
    <s v="COGS for Invoice AP-INV-5160"/>
    <x v="0"/>
    <s v="Expenses"/>
    <n v="18598.37"/>
    <x v="1"/>
    <d v="2024-06-01T00:00:00"/>
  </r>
  <r>
    <s v="GL-638"/>
    <d v="2024-06-02T00:00:00"/>
    <n v="2010"/>
    <n v="0"/>
    <n v="18598.37"/>
    <s v="AP for Invoice AP-INV-5160"/>
    <x v="1"/>
    <s v="Liabilities"/>
    <n v="-18598.37"/>
    <x v="1"/>
    <d v="2024-06-01T00:00:00"/>
  </r>
  <r>
    <s v="GL-273"/>
    <d v="2024-06-03T00:00:00"/>
    <n v="5010"/>
    <n v="12465.05"/>
    <n v="0"/>
    <s v="COGS for Invoice AP-INV-5069"/>
    <x v="0"/>
    <s v="Expenses"/>
    <n v="12465.05"/>
    <x v="1"/>
    <d v="2024-06-01T00:00:00"/>
  </r>
  <r>
    <s v="GL-274"/>
    <d v="2024-06-03T00:00:00"/>
    <n v="2010"/>
    <n v="0"/>
    <n v="12465.05"/>
    <s v="AP for Invoice AP-INV-5069"/>
    <x v="1"/>
    <s v="Liabilities"/>
    <n v="-12465.05"/>
    <x v="1"/>
    <d v="2024-06-01T00:00:00"/>
  </r>
  <r>
    <s v="GL-447"/>
    <d v="2024-06-03T00:00:00"/>
    <n v="1200"/>
    <n v="1394.59"/>
    <n v="0"/>
    <s v="AR for Invoice AR-INV-7112"/>
    <x v="2"/>
    <s v="Assets"/>
    <n v="1394.59"/>
    <x v="1"/>
    <d v="2024-06-01T00:00:00"/>
  </r>
  <r>
    <s v="GL-448"/>
    <d v="2024-06-03T00:00:00"/>
    <n v="4010"/>
    <n v="0"/>
    <n v="1394.59"/>
    <s v="Sales for Invoice AR-INV-7112"/>
    <x v="3"/>
    <s v="Revenue"/>
    <n v="-1394.59"/>
    <x v="1"/>
    <d v="2024-06-01T00:00:00"/>
  </r>
  <r>
    <s v="GL-1645"/>
    <d v="2024-06-06T00:00:00"/>
    <n v="5010"/>
    <n v="5762.77"/>
    <n v="0"/>
    <s v="COGS for Invoice AP-INV-5412"/>
    <x v="0"/>
    <s v="Expenses"/>
    <n v="5762.77"/>
    <x v="1"/>
    <d v="2024-06-01T00:00:00"/>
  </r>
  <r>
    <s v="GL-1646"/>
    <d v="2024-06-06T00:00:00"/>
    <n v="2010"/>
    <n v="0"/>
    <n v="5762.77"/>
    <s v="AP for Invoice AP-INV-5412"/>
    <x v="1"/>
    <s v="Liabilities"/>
    <n v="-5762.77"/>
    <x v="1"/>
    <d v="2024-06-01T00:00:00"/>
  </r>
  <r>
    <s v="GL-439"/>
    <d v="2024-06-06T00:00:00"/>
    <n v="1200"/>
    <n v="7334.88"/>
    <n v="0"/>
    <s v="AR for Invoice AR-INV-7110"/>
    <x v="2"/>
    <s v="Assets"/>
    <n v="7334.88"/>
    <x v="1"/>
    <d v="2024-06-01T00:00:00"/>
  </r>
  <r>
    <s v="GL-440"/>
    <d v="2024-06-06T00:00:00"/>
    <n v="4010"/>
    <n v="0"/>
    <n v="7334.88"/>
    <s v="Sales for Invoice AR-INV-7110"/>
    <x v="3"/>
    <s v="Revenue"/>
    <n v="-7334.88"/>
    <x v="1"/>
    <d v="2024-06-01T00:00:00"/>
  </r>
  <r>
    <s v="GL-1473"/>
    <d v="2024-06-08T00:00:00"/>
    <n v="5010"/>
    <n v="13011.75"/>
    <n v="0"/>
    <s v="COGS for Invoice AP-INV-5369"/>
    <x v="0"/>
    <s v="Expenses"/>
    <n v="13011.75"/>
    <x v="1"/>
    <d v="2024-06-01T00:00:00"/>
  </r>
  <r>
    <s v="GL-1474"/>
    <d v="2024-06-08T00:00:00"/>
    <n v="2010"/>
    <n v="0"/>
    <n v="13011.75"/>
    <s v="AP for Invoice AP-INV-5369"/>
    <x v="1"/>
    <s v="Liabilities"/>
    <n v="-13011.75"/>
    <x v="1"/>
    <d v="2024-06-01T00:00:00"/>
  </r>
  <r>
    <s v="GL-149"/>
    <d v="2024-06-09T00:00:00"/>
    <n v="5010"/>
    <n v="9565.9"/>
    <n v="0"/>
    <s v="COGS for Invoice AP-INV-5038"/>
    <x v="0"/>
    <s v="Expenses"/>
    <n v="9565.9"/>
    <x v="1"/>
    <d v="2024-06-01T00:00:00"/>
  </r>
  <r>
    <s v="GL-150"/>
    <d v="2024-06-09T00:00:00"/>
    <n v="2010"/>
    <n v="0"/>
    <n v="9565.9"/>
    <s v="AP for Invoice AP-INV-5038"/>
    <x v="1"/>
    <s v="Liabilities"/>
    <n v="-9565.9"/>
    <x v="1"/>
    <d v="2024-06-01T00:00:00"/>
  </r>
  <r>
    <s v="GL-1111"/>
    <d v="2024-06-10T00:00:00"/>
    <n v="1200"/>
    <n v="31127.65"/>
    <n v="0"/>
    <s v="AR for Invoice AR-INV-7278"/>
    <x v="2"/>
    <s v="Assets"/>
    <n v="31127.65"/>
    <x v="1"/>
    <d v="2024-06-01T00:00:00"/>
  </r>
  <r>
    <s v="GL-1112"/>
    <d v="2024-06-10T00:00:00"/>
    <n v="4010"/>
    <n v="0"/>
    <n v="31127.65"/>
    <s v="Sales for Invoice AR-INV-7278"/>
    <x v="3"/>
    <s v="Revenue"/>
    <n v="-31127.65"/>
    <x v="1"/>
    <d v="2024-06-01T00:00:00"/>
  </r>
  <r>
    <s v="GL-1853"/>
    <d v="2024-06-10T00:00:00"/>
    <n v="5010"/>
    <n v="15725.98"/>
    <n v="0"/>
    <s v="COGS for Invoice AP-INV-5464"/>
    <x v="0"/>
    <s v="Expenses"/>
    <n v="15725.98"/>
    <x v="1"/>
    <d v="2024-06-01T00:00:00"/>
  </r>
  <r>
    <s v="GL-1854"/>
    <d v="2024-06-10T00:00:00"/>
    <n v="2010"/>
    <n v="0"/>
    <n v="15725.98"/>
    <s v="AP for Invoice AP-INV-5464"/>
    <x v="1"/>
    <s v="Liabilities"/>
    <n v="-15725.98"/>
    <x v="1"/>
    <d v="2024-06-01T00:00:00"/>
  </r>
  <r>
    <s v="GL-1261"/>
    <d v="2024-06-12T00:00:00"/>
    <n v="5010"/>
    <n v="11781.53"/>
    <n v="0"/>
    <s v="COGS for Invoice AP-INV-5316"/>
    <x v="0"/>
    <s v="Expenses"/>
    <n v="11781.53"/>
    <x v="1"/>
    <d v="2024-06-01T00:00:00"/>
  </r>
  <r>
    <s v="GL-1262"/>
    <d v="2024-06-12T00:00:00"/>
    <n v="2010"/>
    <n v="0"/>
    <n v="11781.53"/>
    <s v="AP for Invoice AP-INV-5316"/>
    <x v="1"/>
    <s v="Liabilities"/>
    <n v="-11781.53"/>
    <x v="1"/>
    <d v="2024-06-01T00:00:00"/>
  </r>
  <r>
    <s v="GL-1673"/>
    <d v="2024-06-12T00:00:00"/>
    <n v="5010"/>
    <n v="7997.98"/>
    <n v="0"/>
    <s v="COGS for Invoice AP-INV-5419"/>
    <x v="0"/>
    <s v="Expenses"/>
    <n v="7997.98"/>
    <x v="1"/>
    <d v="2024-06-01T00:00:00"/>
  </r>
  <r>
    <s v="GL-1674"/>
    <d v="2024-06-12T00:00:00"/>
    <n v="2010"/>
    <n v="0"/>
    <n v="7997.98"/>
    <s v="AP for Invoice AP-INV-5419"/>
    <x v="1"/>
    <s v="Liabilities"/>
    <n v="-7997.98"/>
    <x v="1"/>
    <d v="2024-06-01T00:00:00"/>
  </r>
  <r>
    <s v="GL-973"/>
    <d v="2024-06-12T00:00:00"/>
    <n v="5010"/>
    <n v="5997.45"/>
    <n v="0"/>
    <s v="COGS for Invoice AP-INV-5244"/>
    <x v="0"/>
    <s v="Expenses"/>
    <n v="5997.45"/>
    <x v="1"/>
    <d v="2024-06-01T00:00:00"/>
  </r>
  <r>
    <s v="GL-974"/>
    <d v="2024-06-12T00:00:00"/>
    <n v="2010"/>
    <n v="0"/>
    <n v="5997.45"/>
    <s v="AP for Invoice AP-INV-5244"/>
    <x v="1"/>
    <s v="Liabilities"/>
    <n v="-5997.45"/>
    <x v="1"/>
    <d v="2024-06-01T00:00:00"/>
  </r>
  <r>
    <s v="GL-249"/>
    <d v="2024-06-15T00:00:00"/>
    <n v="5010"/>
    <n v="15881.73"/>
    <n v="0"/>
    <s v="COGS for Invoice AP-INV-5063"/>
    <x v="0"/>
    <s v="Expenses"/>
    <n v="15881.73"/>
    <x v="1"/>
    <d v="2024-06-01T00:00:00"/>
  </r>
  <r>
    <s v="GL-250"/>
    <d v="2024-06-15T00:00:00"/>
    <n v="2010"/>
    <n v="0"/>
    <n v="15881.73"/>
    <s v="AP for Invoice AP-INV-5063"/>
    <x v="1"/>
    <s v="Liabilities"/>
    <n v="-15881.73"/>
    <x v="1"/>
    <d v="2024-06-01T00:00:00"/>
  </r>
  <r>
    <s v="GL-361"/>
    <d v="2024-06-15T00:00:00"/>
    <n v="5010"/>
    <n v="6125.56"/>
    <n v="0"/>
    <s v="COGS for Invoice AP-INV-5091"/>
    <x v="0"/>
    <s v="Expenses"/>
    <n v="6125.56"/>
    <x v="1"/>
    <d v="2024-06-01T00:00:00"/>
  </r>
  <r>
    <s v="GL-362"/>
    <d v="2024-06-15T00:00:00"/>
    <n v="2010"/>
    <n v="0"/>
    <n v="6125.56"/>
    <s v="AP for Invoice AP-INV-5091"/>
    <x v="1"/>
    <s v="Liabilities"/>
    <n v="-6125.56"/>
    <x v="1"/>
    <d v="2024-06-01T00:00:00"/>
  </r>
  <r>
    <s v="GL-1"/>
    <d v="2024-06-16T00:00:00"/>
    <n v="5010"/>
    <n v="9671.7999999999993"/>
    <n v="0"/>
    <s v="COGS for Invoice AP-INV-5001"/>
    <x v="0"/>
    <s v="Expenses"/>
    <n v="9671.7999999999993"/>
    <x v="1"/>
    <d v="2024-06-01T00:00:00"/>
  </r>
  <r>
    <s v="GL-2"/>
    <d v="2024-06-16T00:00:00"/>
    <n v="2010"/>
    <n v="0"/>
    <n v="9671.7999999999993"/>
    <s v="AP for Invoice AP-INV-5001"/>
    <x v="1"/>
    <s v="Liabilities"/>
    <n v="-9671.7999999999993"/>
    <x v="1"/>
    <d v="2024-06-01T00:00:00"/>
  </r>
  <r>
    <s v="GL-1205"/>
    <d v="2024-06-19T00:00:00"/>
    <n v="5010"/>
    <n v="18359.57"/>
    <n v="0"/>
    <s v="COGS for Invoice AP-INV-5302"/>
    <x v="0"/>
    <s v="Expenses"/>
    <n v="18359.57"/>
    <x v="1"/>
    <d v="2024-06-01T00:00:00"/>
  </r>
  <r>
    <s v="GL-1206"/>
    <d v="2024-06-19T00:00:00"/>
    <n v="2010"/>
    <n v="0"/>
    <n v="18359.57"/>
    <s v="AP for Invoice AP-INV-5302"/>
    <x v="1"/>
    <s v="Liabilities"/>
    <n v="-18359.57"/>
    <x v="1"/>
    <d v="2024-06-01T00:00:00"/>
  </r>
  <r>
    <s v="GL-321"/>
    <d v="2024-06-19T00:00:00"/>
    <n v="5010"/>
    <n v="6596.32"/>
    <n v="0"/>
    <s v="COGS for Invoice AP-INV-5081"/>
    <x v="0"/>
    <s v="Expenses"/>
    <n v="6596.32"/>
    <x v="1"/>
    <d v="2024-06-01T00:00:00"/>
  </r>
  <r>
    <s v="GL-322"/>
    <d v="2024-06-19T00:00:00"/>
    <n v="2010"/>
    <n v="0"/>
    <n v="6596.32"/>
    <s v="AP for Invoice AP-INV-5081"/>
    <x v="1"/>
    <s v="Liabilities"/>
    <n v="-6596.32"/>
    <x v="1"/>
    <d v="2024-06-01T00:00:00"/>
  </r>
  <r>
    <s v="GL-1665"/>
    <d v="2024-06-20T00:00:00"/>
    <n v="5010"/>
    <n v="9295.27"/>
    <n v="0"/>
    <s v="COGS for Invoice AP-INV-5417"/>
    <x v="0"/>
    <s v="Expenses"/>
    <n v="9295.27"/>
    <x v="1"/>
    <d v="2024-06-01T00:00:00"/>
  </r>
  <r>
    <s v="GL-1666"/>
    <d v="2024-06-20T00:00:00"/>
    <n v="2010"/>
    <n v="0"/>
    <n v="9295.27"/>
    <s v="AP for Invoice AP-INV-5417"/>
    <x v="1"/>
    <s v="Liabilities"/>
    <n v="-9295.27"/>
    <x v="1"/>
    <d v="2024-06-01T00:00:00"/>
  </r>
  <r>
    <s v="GL-1311"/>
    <d v="2024-06-21T00:00:00"/>
    <n v="1200"/>
    <n v="47875.88"/>
    <n v="0"/>
    <s v="AR for Invoice AR-INV-7328"/>
    <x v="2"/>
    <s v="Assets"/>
    <n v="47875.88"/>
    <x v="1"/>
    <d v="2024-06-01T00:00:00"/>
  </r>
  <r>
    <s v="GL-1312"/>
    <d v="2024-06-21T00:00:00"/>
    <n v="4010"/>
    <n v="0"/>
    <n v="47875.88"/>
    <s v="Sales for Invoice AR-INV-7328"/>
    <x v="3"/>
    <s v="Revenue"/>
    <n v="-47875.88"/>
    <x v="1"/>
    <d v="2024-06-01T00:00:00"/>
  </r>
  <r>
    <s v="GL-1405"/>
    <d v="2024-06-22T00:00:00"/>
    <n v="5010"/>
    <n v="19249.41"/>
    <n v="0"/>
    <s v="COGS for Invoice AP-INV-5352"/>
    <x v="0"/>
    <s v="Expenses"/>
    <n v="19249.41"/>
    <x v="1"/>
    <d v="2024-06-01T00:00:00"/>
  </r>
  <r>
    <s v="GL-1406"/>
    <d v="2024-06-22T00:00:00"/>
    <n v="2010"/>
    <n v="0"/>
    <n v="19249.41"/>
    <s v="AP for Invoice AP-INV-5352"/>
    <x v="1"/>
    <s v="Liabilities"/>
    <n v="-19249.41"/>
    <x v="1"/>
    <d v="2024-06-01T00:00:00"/>
  </r>
  <r>
    <s v="GL-1309"/>
    <d v="2024-06-23T00:00:00"/>
    <n v="5010"/>
    <n v="15122.55"/>
    <n v="0"/>
    <s v="COGS for Invoice AP-INV-5328"/>
    <x v="0"/>
    <s v="Expenses"/>
    <n v="15122.55"/>
    <x v="1"/>
    <d v="2024-06-01T00:00:00"/>
  </r>
  <r>
    <s v="GL-1310"/>
    <d v="2024-06-23T00:00:00"/>
    <n v="2010"/>
    <n v="0"/>
    <n v="15122.55"/>
    <s v="AP for Invoice AP-INV-5328"/>
    <x v="1"/>
    <s v="Liabilities"/>
    <n v="-15122.55"/>
    <x v="1"/>
    <d v="2024-06-01T00:00:00"/>
  </r>
  <r>
    <s v="GL-1025"/>
    <d v="2024-06-25T00:00:00"/>
    <n v="5010"/>
    <n v="17045.73"/>
    <n v="0"/>
    <s v="COGS for Invoice AP-INV-5257"/>
    <x v="0"/>
    <s v="Expenses"/>
    <n v="17045.73"/>
    <x v="1"/>
    <d v="2024-06-01T00:00:00"/>
  </r>
  <r>
    <s v="GL-1026"/>
    <d v="2024-06-25T00:00:00"/>
    <n v="2010"/>
    <n v="0"/>
    <n v="17045.73"/>
    <s v="AP for Invoice AP-INV-5257"/>
    <x v="1"/>
    <s v="Liabilities"/>
    <n v="-17045.73"/>
    <x v="1"/>
    <d v="2024-06-01T00:00:00"/>
  </r>
  <r>
    <s v="GL-1997"/>
    <d v="2024-06-29T00:00:00"/>
    <n v="5010"/>
    <n v="2861.37"/>
    <n v="0"/>
    <s v="COGS for Invoice AP-INV-5500"/>
    <x v="0"/>
    <s v="Expenses"/>
    <n v="2861.37"/>
    <x v="1"/>
    <d v="2024-06-01T00:00:00"/>
  </r>
  <r>
    <s v="GL-1998"/>
    <d v="2024-06-29T00:00:00"/>
    <n v="2010"/>
    <n v="0"/>
    <n v="2861.37"/>
    <s v="AP for Invoice AP-INV-5500"/>
    <x v="1"/>
    <s v="Liabilities"/>
    <n v="-2861.37"/>
    <x v="1"/>
    <d v="2024-06-01T00:00:00"/>
  </r>
  <r>
    <s v="GL-1559"/>
    <d v="2024-06-30T00:00:00"/>
    <n v="1200"/>
    <n v="47032.45"/>
    <n v="0"/>
    <s v="AR for Invoice AR-INV-7390"/>
    <x v="2"/>
    <s v="Assets"/>
    <n v="47032.45"/>
    <x v="1"/>
    <d v="2024-06-01T00:00:00"/>
  </r>
  <r>
    <s v="GL-1560"/>
    <d v="2024-06-30T00:00:00"/>
    <n v="4010"/>
    <n v="0"/>
    <n v="47032.45"/>
    <s v="Sales for Invoice AR-INV-7390"/>
    <x v="3"/>
    <s v="Revenue"/>
    <n v="-47032.45"/>
    <x v="1"/>
    <d v="2024-06-01T00:00:00"/>
  </r>
  <r>
    <s v="GL-963"/>
    <d v="2024-06-30T00:00:00"/>
    <n v="1200"/>
    <n v="13089.24"/>
    <n v="0"/>
    <s v="AR for Invoice AR-INV-7241"/>
    <x v="2"/>
    <s v="Assets"/>
    <n v="13089.24"/>
    <x v="1"/>
    <d v="2024-06-01T00:00:00"/>
  </r>
  <r>
    <s v="GL-964"/>
    <d v="2024-06-30T00:00:00"/>
    <n v="4010"/>
    <n v="0"/>
    <n v="13089.24"/>
    <s v="Sales for Invoice AR-INV-7241"/>
    <x v="3"/>
    <s v="Revenue"/>
    <n v="-13089.24"/>
    <x v="1"/>
    <d v="2024-06-01T00:00:00"/>
  </r>
  <r>
    <s v="GL-1017"/>
    <d v="2024-07-01T00:00:00"/>
    <n v="5010"/>
    <n v="7231.64"/>
    <n v="0"/>
    <s v="COGS for Invoice AP-INV-5255"/>
    <x v="0"/>
    <s v="Expenses"/>
    <n v="7231.64"/>
    <x v="1"/>
    <d v="2024-07-01T00:00:00"/>
  </r>
  <r>
    <s v="GL-1018"/>
    <d v="2024-07-01T00:00:00"/>
    <n v="2010"/>
    <n v="0"/>
    <n v="7231.64"/>
    <s v="AP for Invoice AP-INV-5255"/>
    <x v="1"/>
    <s v="Liabilities"/>
    <n v="-7231.64"/>
    <x v="1"/>
    <d v="2024-07-01T00:00:00"/>
  </r>
  <r>
    <s v="GL-625"/>
    <d v="2024-07-02T00:00:00"/>
    <n v="5010"/>
    <n v="4188.87"/>
    <n v="0"/>
    <s v="COGS for Invoice AP-INV-5157"/>
    <x v="0"/>
    <s v="Expenses"/>
    <n v="4188.87"/>
    <x v="1"/>
    <d v="2024-07-01T00:00:00"/>
  </r>
  <r>
    <s v="GL-626"/>
    <d v="2024-07-02T00:00:00"/>
    <n v="2010"/>
    <n v="0"/>
    <n v="4188.87"/>
    <s v="AP for Invoice AP-INV-5157"/>
    <x v="1"/>
    <s v="Liabilities"/>
    <n v="-4188.87"/>
    <x v="1"/>
    <d v="2024-07-01T00:00:00"/>
  </r>
  <r>
    <s v="GL-357"/>
    <d v="2024-07-04T00:00:00"/>
    <n v="5010"/>
    <n v="12432.35"/>
    <n v="0"/>
    <s v="COGS for Invoice AP-INV-5090"/>
    <x v="0"/>
    <s v="Expenses"/>
    <n v="12432.35"/>
    <x v="1"/>
    <d v="2024-07-01T00:00:00"/>
  </r>
  <r>
    <s v="GL-358"/>
    <d v="2024-07-04T00:00:00"/>
    <n v="2010"/>
    <n v="0"/>
    <n v="12432.35"/>
    <s v="AP for Invoice AP-INV-5090"/>
    <x v="1"/>
    <s v="Liabilities"/>
    <n v="-12432.35"/>
    <x v="1"/>
    <d v="2024-07-01T00:00:00"/>
  </r>
  <r>
    <s v="GL-1849"/>
    <d v="2024-07-05T00:00:00"/>
    <n v="5010"/>
    <n v="884.39"/>
    <n v="0"/>
    <s v="COGS for Invoice AP-INV-5463"/>
    <x v="0"/>
    <s v="Expenses"/>
    <n v="884.39"/>
    <x v="1"/>
    <d v="2024-07-01T00:00:00"/>
  </r>
  <r>
    <s v="GL-1850"/>
    <d v="2024-07-05T00:00:00"/>
    <n v="2010"/>
    <n v="0"/>
    <n v="884.39"/>
    <s v="AP for Invoice AP-INV-5463"/>
    <x v="1"/>
    <s v="Liabilities"/>
    <n v="-884.39"/>
    <x v="1"/>
    <d v="2024-07-01T00:00:00"/>
  </r>
  <r>
    <s v="GL-133"/>
    <d v="2024-07-06T00:00:00"/>
    <n v="5010"/>
    <n v="10226.98"/>
    <n v="0"/>
    <s v="COGS for Invoice AP-INV-5034"/>
    <x v="0"/>
    <s v="Expenses"/>
    <n v="10226.98"/>
    <x v="1"/>
    <d v="2024-07-01T00:00:00"/>
  </r>
  <r>
    <s v="GL-134"/>
    <d v="2024-07-06T00:00:00"/>
    <n v="2010"/>
    <n v="0"/>
    <n v="10226.98"/>
    <s v="AP for Invoice AP-INV-5034"/>
    <x v="1"/>
    <s v="Liabilities"/>
    <n v="-10226.98"/>
    <x v="1"/>
    <d v="2024-07-01T00:00:00"/>
  </r>
  <r>
    <s v="GL-183"/>
    <d v="2024-07-07T00:00:00"/>
    <n v="1200"/>
    <n v="19908.3"/>
    <n v="0"/>
    <s v="AR for Invoice AR-INV-7046"/>
    <x v="2"/>
    <s v="Assets"/>
    <n v="19908.3"/>
    <x v="1"/>
    <d v="2024-07-01T00:00:00"/>
  </r>
  <r>
    <s v="GL-184"/>
    <d v="2024-07-07T00:00:00"/>
    <n v="4010"/>
    <n v="0"/>
    <n v="19908.3"/>
    <s v="Sales for Invoice AR-INV-7046"/>
    <x v="3"/>
    <s v="Revenue"/>
    <n v="-19908.3"/>
    <x v="1"/>
    <d v="2024-07-01T00:00:00"/>
  </r>
  <r>
    <s v="GL-829"/>
    <d v="2024-07-07T00:00:00"/>
    <n v="5010"/>
    <n v="7145.84"/>
    <n v="0"/>
    <s v="COGS for Invoice AP-INV-5208"/>
    <x v="0"/>
    <s v="Expenses"/>
    <n v="7145.84"/>
    <x v="1"/>
    <d v="2024-07-01T00:00:00"/>
  </r>
  <r>
    <s v="GL-830"/>
    <d v="2024-07-07T00:00:00"/>
    <n v="2010"/>
    <n v="0"/>
    <n v="7145.84"/>
    <s v="AP for Invoice AP-INV-5208"/>
    <x v="1"/>
    <s v="Liabilities"/>
    <n v="-7145.84"/>
    <x v="1"/>
    <d v="2024-07-01T00:00:00"/>
  </r>
  <r>
    <s v="GL-469"/>
    <d v="2024-07-12T00:00:00"/>
    <n v="5010"/>
    <n v="6265.89"/>
    <n v="0"/>
    <s v="COGS for Invoice AP-INV-5118"/>
    <x v="0"/>
    <s v="Expenses"/>
    <n v="6265.89"/>
    <x v="1"/>
    <d v="2024-07-01T00:00:00"/>
  </r>
  <r>
    <s v="GL-470"/>
    <d v="2024-07-12T00:00:00"/>
    <n v="2010"/>
    <n v="0"/>
    <n v="6265.89"/>
    <s v="AP for Invoice AP-INV-5118"/>
    <x v="1"/>
    <s v="Liabilities"/>
    <n v="-6265.89"/>
    <x v="1"/>
    <d v="2024-07-01T00:00:00"/>
  </r>
  <r>
    <s v="GL-1855"/>
    <d v="2024-07-14T00:00:00"/>
    <n v="1200"/>
    <n v="35128.050000000003"/>
    <n v="0"/>
    <s v="AR for Invoice AR-INV-7464"/>
    <x v="2"/>
    <s v="Assets"/>
    <n v="35128.050000000003"/>
    <x v="1"/>
    <d v="2024-07-01T00:00:00"/>
  </r>
  <r>
    <s v="GL-1856"/>
    <d v="2024-07-14T00:00:00"/>
    <n v="4010"/>
    <n v="0"/>
    <n v="35128.050000000003"/>
    <s v="Sales for Invoice AR-INV-7464"/>
    <x v="3"/>
    <s v="Revenue"/>
    <n v="-35128.050000000003"/>
    <x v="1"/>
    <d v="2024-07-01T00:00:00"/>
  </r>
  <r>
    <s v="GL-1493"/>
    <d v="2024-07-16T00:00:00"/>
    <n v="5010"/>
    <n v="4835.91"/>
    <n v="0"/>
    <s v="COGS for Invoice AP-INV-5374"/>
    <x v="0"/>
    <s v="Expenses"/>
    <n v="4835.91"/>
    <x v="1"/>
    <d v="2024-07-01T00:00:00"/>
  </r>
  <r>
    <s v="GL-1494"/>
    <d v="2024-07-16T00:00:00"/>
    <n v="2010"/>
    <n v="0"/>
    <n v="4835.91"/>
    <s v="AP for Invoice AP-INV-5374"/>
    <x v="1"/>
    <s v="Liabilities"/>
    <n v="-4835.91"/>
    <x v="1"/>
    <d v="2024-07-01T00:00:00"/>
  </r>
  <r>
    <s v="GL-1285"/>
    <d v="2024-07-18T00:00:00"/>
    <n v="5010"/>
    <n v="17258.169999999998"/>
    <n v="0"/>
    <s v="COGS for Invoice AP-INV-5322"/>
    <x v="0"/>
    <s v="Expenses"/>
    <n v="17258.169999999998"/>
    <x v="1"/>
    <d v="2024-07-01T00:00:00"/>
  </r>
  <r>
    <s v="GL-1286"/>
    <d v="2024-07-18T00:00:00"/>
    <n v="2010"/>
    <n v="0"/>
    <n v="17258.169999999998"/>
    <s v="AP for Invoice AP-INV-5322"/>
    <x v="1"/>
    <s v="Liabilities"/>
    <n v="-17258.169999999998"/>
    <x v="1"/>
    <d v="2024-07-01T00:00:00"/>
  </r>
  <r>
    <s v="GL-1889"/>
    <d v="2024-07-21T00:00:00"/>
    <n v="5010"/>
    <n v="17591.189999999999"/>
    <n v="0"/>
    <s v="COGS for Invoice AP-INV-5473"/>
    <x v="0"/>
    <s v="Expenses"/>
    <n v="17591.189999999999"/>
    <x v="1"/>
    <d v="2024-07-01T00:00:00"/>
  </r>
  <r>
    <s v="GL-1890"/>
    <d v="2024-07-21T00:00:00"/>
    <n v="2010"/>
    <n v="0"/>
    <n v="17591.189999999999"/>
    <s v="AP for Invoice AP-INV-5473"/>
    <x v="1"/>
    <s v="Liabilities"/>
    <n v="-17591.189999999999"/>
    <x v="1"/>
    <d v="2024-07-01T00:00:00"/>
  </r>
  <r>
    <s v="GL-167"/>
    <d v="2024-07-23T00:00:00"/>
    <n v="1200"/>
    <n v="32202.43"/>
    <n v="0"/>
    <s v="AR for Invoice AR-INV-7042"/>
    <x v="2"/>
    <s v="Assets"/>
    <n v="32202.43"/>
    <x v="1"/>
    <d v="2024-07-01T00:00:00"/>
  </r>
  <r>
    <s v="GL-168"/>
    <d v="2024-07-23T00:00:00"/>
    <n v="4010"/>
    <n v="0"/>
    <n v="32202.43"/>
    <s v="Sales for Invoice AR-INV-7042"/>
    <x v="3"/>
    <s v="Revenue"/>
    <n v="-32202.43"/>
    <x v="1"/>
    <d v="2024-07-01T00:00:00"/>
  </r>
  <r>
    <s v="GL-471"/>
    <d v="2024-07-23T00:00:00"/>
    <n v="1200"/>
    <n v="23549.71"/>
    <n v="0"/>
    <s v="AR for Invoice AR-INV-7118"/>
    <x v="2"/>
    <s v="Assets"/>
    <n v="23549.71"/>
    <x v="1"/>
    <d v="2024-07-01T00:00:00"/>
  </r>
  <r>
    <s v="GL-472"/>
    <d v="2024-07-23T00:00:00"/>
    <n v="4010"/>
    <n v="0"/>
    <n v="23549.71"/>
    <s v="Sales for Invoice AR-INV-7118"/>
    <x v="3"/>
    <s v="Revenue"/>
    <n v="-23549.71"/>
    <x v="1"/>
    <d v="2024-07-01T00:00:00"/>
  </r>
  <r>
    <s v="GL-1793"/>
    <d v="2024-07-25T00:00:00"/>
    <n v="5010"/>
    <n v="810.6"/>
    <n v="0"/>
    <s v="COGS for Invoice AP-INV-5449"/>
    <x v="0"/>
    <s v="Expenses"/>
    <n v="810.6"/>
    <x v="1"/>
    <d v="2024-07-01T00:00:00"/>
  </r>
  <r>
    <s v="GL-1794"/>
    <d v="2024-07-25T00:00:00"/>
    <n v="2010"/>
    <n v="0"/>
    <n v="810.6"/>
    <s v="AP for Invoice AP-INV-5449"/>
    <x v="1"/>
    <s v="Liabilities"/>
    <n v="-810.6"/>
    <x v="1"/>
    <d v="2024-07-01T00:00:00"/>
  </r>
  <r>
    <s v="GL-1035"/>
    <d v="2024-07-27T00:00:00"/>
    <n v="1200"/>
    <n v="17371.830000000002"/>
    <n v="0"/>
    <s v="AR for Invoice AR-INV-7259"/>
    <x v="2"/>
    <s v="Assets"/>
    <n v="17371.830000000002"/>
    <x v="1"/>
    <d v="2024-07-01T00:00:00"/>
  </r>
  <r>
    <s v="GL-1036"/>
    <d v="2024-07-27T00:00:00"/>
    <n v="4010"/>
    <n v="0"/>
    <n v="17371.830000000002"/>
    <s v="Sales for Invoice AR-INV-7259"/>
    <x v="3"/>
    <s v="Revenue"/>
    <n v="-17371.830000000002"/>
    <x v="1"/>
    <d v="2024-07-01T00:00:00"/>
  </r>
  <r>
    <s v="GL-923"/>
    <d v="2024-07-31T00:00:00"/>
    <n v="1200"/>
    <n v="12729.74"/>
    <n v="0"/>
    <s v="AR for Invoice AR-INV-7231"/>
    <x v="2"/>
    <s v="Assets"/>
    <n v="12729.74"/>
    <x v="1"/>
    <d v="2024-07-01T00:00:00"/>
  </r>
  <r>
    <s v="GL-924"/>
    <d v="2024-07-31T00:00:00"/>
    <n v="4010"/>
    <n v="0"/>
    <n v="12729.74"/>
    <s v="Sales for Invoice AR-INV-7231"/>
    <x v="3"/>
    <s v="Revenue"/>
    <n v="-12729.74"/>
    <x v="1"/>
    <d v="2024-07-01T00:00:00"/>
  </r>
  <r>
    <s v="GL-1281"/>
    <d v="2024-08-02T00:00:00"/>
    <n v="5010"/>
    <n v="3523.97"/>
    <n v="0"/>
    <s v="COGS for Invoice AP-INV-5321"/>
    <x v="0"/>
    <s v="Expenses"/>
    <n v="3523.97"/>
    <x v="1"/>
    <d v="2024-08-01T00:00:00"/>
  </r>
  <r>
    <s v="GL-1282"/>
    <d v="2024-08-02T00:00:00"/>
    <n v="2010"/>
    <n v="0"/>
    <n v="3523.97"/>
    <s v="AP for Invoice AP-INV-5321"/>
    <x v="1"/>
    <s v="Liabilities"/>
    <n v="-3523.97"/>
    <x v="1"/>
    <d v="2024-08-01T00:00:00"/>
  </r>
  <r>
    <s v="GL-683"/>
    <d v="2024-08-02T00:00:00"/>
    <n v="1200"/>
    <n v="26456.400000000001"/>
    <n v="0"/>
    <s v="AR for Invoice AR-INV-7171"/>
    <x v="2"/>
    <s v="Assets"/>
    <n v="26456.400000000001"/>
    <x v="1"/>
    <d v="2024-08-01T00:00:00"/>
  </r>
  <r>
    <s v="GL-684"/>
    <d v="2024-08-02T00:00:00"/>
    <n v="4010"/>
    <n v="0"/>
    <n v="26456.400000000001"/>
    <s v="Sales for Invoice AR-INV-7171"/>
    <x v="3"/>
    <s v="Revenue"/>
    <n v="-26456.400000000001"/>
    <x v="1"/>
    <d v="2024-08-01T00:00:00"/>
  </r>
  <r>
    <s v="GL-1937"/>
    <d v="2024-08-04T00:00:00"/>
    <n v="5010"/>
    <n v="717.7"/>
    <n v="0"/>
    <s v="COGS for Invoice AP-INV-5485"/>
    <x v="0"/>
    <s v="Expenses"/>
    <n v="717.7"/>
    <x v="1"/>
    <d v="2024-08-01T00:00:00"/>
  </r>
  <r>
    <s v="GL-1938"/>
    <d v="2024-08-04T00:00:00"/>
    <n v="2010"/>
    <n v="0"/>
    <n v="717.7"/>
    <s v="AP for Invoice AP-INV-5485"/>
    <x v="1"/>
    <s v="Liabilities"/>
    <n v="-717.7"/>
    <x v="1"/>
    <d v="2024-08-01T00:00:00"/>
  </r>
  <r>
    <s v="GL-247"/>
    <d v="2024-08-05T00:00:00"/>
    <n v="1200"/>
    <n v="48863.27"/>
    <n v="0"/>
    <s v="AR for Invoice AR-INV-7062"/>
    <x v="2"/>
    <s v="Assets"/>
    <n v="48863.27"/>
    <x v="1"/>
    <d v="2024-08-01T00:00:00"/>
  </r>
  <r>
    <s v="GL-248"/>
    <d v="2024-08-05T00:00:00"/>
    <n v="4010"/>
    <n v="0"/>
    <n v="48863.27"/>
    <s v="Sales for Invoice AR-INV-7062"/>
    <x v="3"/>
    <s v="Revenue"/>
    <n v="-48863.27"/>
    <x v="1"/>
    <d v="2024-08-01T00:00:00"/>
  </r>
  <r>
    <s v="GL-1011"/>
    <d v="2024-08-08T00:00:00"/>
    <n v="1200"/>
    <n v="36413.5"/>
    <n v="0"/>
    <s v="AR for Invoice AR-INV-7253"/>
    <x v="2"/>
    <s v="Assets"/>
    <n v="36413.5"/>
    <x v="1"/>
    <d v="2024-08-01T00:00:00"/>
  </r>
  <r>
    <s v="GL-1012"/>
    <d v="2024-08-08T00:00:00"/>
    <n v="4010"/>
    <n v="0"/>
    <n v="36413.5"/>
    <s v="Sales for Invoice AR-INV-7253"/>
    <x v="3"/>
    <s v="Revenue"/>
    <n v="-36413.5"/>
    <x v="1"/>
    <d v="2024-08-01T00:00:00"/>
  </r>
  <r>
    <s v="GL-461"/>
    <d v="2024-08-08T00:00:00"/>
    <n v="5010"/>
    <n v="10333.629999999999"/>
    <n v="0"/>
    <s v="COGS for Invoice AP-INV-5116"/>
    <x v="0"/>
    <s v="Expenses"/>
    <n v="10333.629999999999"/>
    <x v="1"/>
    <d v="2024-08-01T00:00:00"/>
  </r>
  <r>
    <s v="GL-462"/>
    <d v="2024-08-08T00:00:00"/>
    <n v="2010"/>
    <n v="0"/>
    <n v="10333.629999999999"/>
    <s v="AP for Invoice AP-INV-5116"/>
    <x v="1"/>
    <s v="Liabilities"/>
    <n v="-10333.629999999999"/>
    <x v="1"/>
    <d v="2024-08-01T00:00:00"/>
  </r>
  <r>
    <s v="GL-1729"/>
    <d v="2024-08-11T00:00:00"/>
    <n v="5010"/>
    <n v="15023.41"/>
    <n v="0"/>
    <s v="COGS for Invoice AP-INV-5433"/>
    <x v="0"/>
    <s v="Expenses"/>
    <n v="15023.41"/>
    <x v="1"/>
    <d v="2024-08-01T00:00:00"/>
  </r>
  <r>
    <s v="GL-1730"/>
    <d v="2024-08-11T00:00:00"/>
    <n v="2010"/>
    <n v="0"/>
    <n v="15023.41"/>
    <s v="AP for Invoice AP-INV-5433"/>
    <x v="1"/>
    <s v="Liabilities"/>
    <n v="-15023.41"/>
    <x v="1"/>
    <d v="2024-08-01T00:00:00"/>
  </r>
  <r>
    <s v="GL-1297"/>
    <d v="2024-08-12T00:00:00"/>
    <n v="5010"/>
    <n v="19321.8"/>
    <n v="0"/>
    <s v="COGS for Invoice AP-INV-5325"/>
    <x v="0"/>
    <s v="Expenses"/>
    <n v="19321.8"/>
    <x v="1"/>
    <d v="2024-08-01T00:00:00"/>
  </r>
  <r>
    <s v="GL-1298"/>
    <d v="2024-08-12T00:00:00"/>
    <n v="2010"/>
    <n v="0"/>
    <n v="19321.8"/>
    <s v="AP for Invoice AP-INV-5325"/>
    <x v="1"/>
    <s v="Liabilities"/>
    <n v="-19321.8"/>
    <x v="1"/>
    <d v="2024-08-01T00:00:00"/>
  </r>
  <r>
    <s v="GL-831"/>
    <d v="2024-08-12T00:00:00"/>
    <n v="1200"/>
    <n v="30870.61"/>
    <n v="0"/>
    <s v="AR for Invoice AR-INV-7208"/>
    <x v="2"/>
    <s v="Assets"/>
    <n v="30870.61"/>
    <x v="1"/>
    <d v="2024-08-01T00:00:00"/>
  </r>
  <r>
    <s v="GL-832"/>
    <d v="2024-08-12T00:00:00"/>
    <n v="4010"/>
    <n v="0"/>
    <n v="30870.61"/>
    <s v="Sales for Invoice AR-INV-7208"/>
    <x v="3"/>
    <s v="Revenue"/>
    <n v="-30870.61"/>
    <x v="1"/>
    <d v="2024-08-01T00:00:00"/>
  </r>
  <r>
    <s v="GL-1291"/>
    <d v="2024-08-13T00:00:00"/>
    <n v="1200"/>
    <n v="16562.900000000001"/>
    <n v="0"/>
    <s v="AR for Invoice AR-INV-7323"/>
    <x v="2"/>
    <s v="Assets"/>
    <n v="16562.900000000001"/>
    <x v="1"/>
    <d v="2024-08-01T00:00:00"/>
  </r>
  <r>
    <s v="GL-1292"/>
    <d v="2024-08-13T00:00:00"/>
    <n v="4010"/>
    <n v="0"/>
    <n v="16562.900000000001"/>
    <s v="Sales for Invoice AR-INV-7323"/>
    <x v="3"/>
    <s v="Revenue"/>
    <n v="-16562.900000000001"/>
    <x v="1"/>
    <d v="2024-08-01T00:00:00"/>
  </r>
  <r>
    <s v="GL-47"/>
    <d v="2024-08-13T00:00:00"/>
    <n v="1200"/>
    <n v="27612.87"/>
    <n v="0"/>
    <s v="AR for Invoice AR-INV-7012"/>
    <x v="2"/>
    <s v="Assets"/>
    <n v="27612.87"/>
    <x v="1"/>
    <d v="2024-08-01T00:00:00"/>
  </r>
  <r>
    <s v="GL-48"/>
    <d v="2024-08-13T00:00:00"/>
    <n v="4010"/>
    <n v="0"/>
    <n v="27612.87"/>
    <s v="Sales for Invoice AR-INV-7012"/>
    <x v="3"/>
    <s v="Revenue"/>
    <n v="-27612.87"/>
    <x v="1"/>
    <d v="2024-08-01T00:00:00"/>
  </r>
  <r>
    <s v="GL-1833"/>
    <d v="2024-08-14T00:00:00"/>
    <n v="5010"/>
    <n v="16470.7"/>
    <n v="0"/>
    <s v="COGS for Invoice AP-INV-5459"/>
    <x v="0"/>
    <s v="Expenses"/>
    <n v="16470.7"/>
    <x v="1"/>
    <d v="2024-08-01T00:00:00"/>
  </r>
  <r>
    <s v="GL-1834"/>
    <d v="2024-08-14T00:00:00"/>
    <n v="2010"/>
    <n v="0"/>
    <n v="16470.7"/>
    <s v="AP for Invoice AP-INV-5459"/>
    <x v="1"/>
    <s v="Liabilities"/>
    <n v="-16470.7"/>
    <x v="1"/>
    <d v="2024-08-01T00:00:00"/>
  </r>
  <r>
    <s v="GL-187"/>
    <d v="2024-08-14T00:00:00"/>
    <n v="1200"/>
    <n v="20740.48"/>
    <n v="0"/>
    <s v="AR for Invoice AR-INV-7047"/>
    <x v="2"/>
    <s v="Assets"/>
    <n v="20740.48"/>
    <x v="1"/>
    <d v="2024-08-01T00:00:00"/>
  </r>
  <r>
    <s v="GL-188"/>
    <d v="2024-08-14T00:00:00"/>
    <n v="4010"/>
    <n v="0"/>
    <n v="20740.48"/>
    <s v="Sales for Invoice AR-INV-7047"/>
    <x v="3"/>
    <s v="Revenue"/>
    <n v="-20740.48"/>
    <x v="1"/>
    <d v="2024-08-01T00:00:00"/>
  </r>
  <r>
    <s v="GL-1387"/>
    <d v="2024-08-16T00:00:00"/>
    <n v="1200"/>
    <n v="19461.96"/>
    <n v="0"/>
    <s v="AR for Invoice AR-INV-7347"/>
    <x v="2"/>
    <s v="Assets"/>
    <n v="19461.96"/>
    <x v="1"/>
    <d v="2024-08-01T00:00:00"/>
  </r>
  <r>
    <s v="GL-1388"/>
    <d v="2024-08-16T00:00:00"/>
    <n v="4010"/>
    <n v="0"/>
    <n v="19461.96"/>
    <s v="Sales for Invoice AR-INV-7347"/>
    <x v="3"/>
    <s v="Revenue"/>
    <n v="-19461.96"/>
    <x v="1"/>
    <d v="2024-08-01T00:00:00"/>
  </r>
  <r>
    <s v="GL-1333"/>
    <d v="2024-08-19T00:00:00"/>
    <n v="5010"/>
    <n v="12113.06"/>
    <n v="0"/>
    <s v="COGS for Invoice AP-INV-5334"/>
    <x v="0"/>
    <s v="Expenses"/>
    <n v="12113.06"/>
    <x v="1"/>
    <d v="2024-08-01T00:00:00"/>
  </r>
  <r>
    <s v="GL-1334"/>
    <d v="2024-08-19T00:00:00"/>
    <n v="2010"/>
    <n v="0"/>
    <n v="12113.06"/>
    <s v="AP for Invoice AP-INV-5334"/>
    <x v="1"/>
    <s v="Liabilities"/>
    <n v="-12113.06"/>
    <x v="1"/>
    <d v="2024-08-01T00:00:00"/>
  </r>
  <r>
    <s v="GL-153"/>
    <d v="2024-08-19T00:00:00"/>
    <n v="5010"/>
    <n v="1666.49"/>
    <n v="0"/>
    <s v="COGS for Invoice AP-INV-5039"/>
    <x v="0"/>
    <s v="Expenses"/>
    <n v="1666.49"/>
    <x v="1"/>
    <d v="2024-08-01T00:00:00"/>
  </r>
  <r>
    <s v="GL-154"/>
    <d v="2024-08-19T00:00:00"/>
    <n v="2010"/>
    <n v="0"/>
    <n v="1666.49"/>
    <s v="AP for Invoice AP-INV-5039"/>
    <x v="1"/>
    <s v="Liabilities"/>
    <n v="-1666.49"/>
    <x v="1"/>
    <d v="2024-08-01T00:00:00"/>
  </r>
  <r>
    <s v="GL-347"/>
    <d v="2024-08-19T00:00:00"/>
    <n v="1200"/>
    <n v="43725.61"/>
    <n v="0"/>
    <s v="AR for Invoice AR-INV-7087"/>
    <x v="2"/>
    <s v="Assets"/>
    <n v="43725.61"/>
    <x v="1"/>
    <d v="2024-08-01T00:00:00"/>
  </r>
  <r>
    <s v="GL-348"/>
    <d v="2024-08-19T00:00:00"/>
    <n v="4010"/>
    <n v="0"/>
    <n v="43725.61"/>
    <s v="Sales for Invoice AR-INV-7087"/>
    <x v="3"/>
    <s v="Revenue"/>
    <n v="-43725.61"/>
    <x v="1"/>
    <d v="2024-08-01T00:00:00"/>
  </r>
  <r>
    <s v="GL-51"/>
    <d v="2024-08-19T00:00:00"/>
    <n v="1200"/>
    <n v="12286.76"/>
    <n v="0"/>
    <s v="AR for Invoice AR-INV-7013"/>
    <x v="2"/>
    <s v="Assets"/>
    <n v="12286.76"/>
    <x v="1"/>
    <d v="2024-08-01T00:00:00"/>
  </r>
  <r>
    <s v="GL-52"/>
    <d v="2024-08-19T00:00:00"/>
    <n v="4010"/>
    <n v="0"/>
    <n v="12286.76"/>
    <s v="Sales for Invoice AR-INV-7013"/>
    <x v="3"/>
    <s v="Revenue"/>
    <n v="-12286.76"/>
    <x v="1"/>
    <d v="2024-08-01T00:00:00"/>
  </r>
  <r>
    <s v="GL-1933"/>
    <d v="2024-08-20T00:00:00"/>
    <n v="5010"/>
    <n v="15904.3"/>
    <n v="0"/>
    <s v="COGS for Invoice AP-INV-5484"/>
    <x v="0"/>
    <s v="Expenses"/>
    <n v="15904.3"/>
    <x v="1"/>
    <d v="2024-08-01T00:00:00"/>
  </r>
  <r>
    <s v="GL-1934"/>
    <d v="2024-08-20T00:00:00"/>
    <n v="2010"/>
    <n v="0"/>
    <n v="15904.3"/>
    <s v="AP for Invoice AP-INV-5484"/>
    <x v="1"/>
    <s v="Liabilities"/>
    <n v="-15904.3"/>
    <x v="1"/>
    <d v="2024-08-01T00:00:00"/>
  </r>
  <r>
    <s v="GL-931"/>
    <d v="2024-08-22T00:00:00"/>
    <n v="1200"/>
    <n v="24031.62"/>
    <n v="0"/>
    <s v="AR for Invoice AR-INV-7233"/>
    <x v="2"/>
    <s v="Assets"/>
    <n v="24031.62"/>
    <x v="1"/>
    <d v="2024-08-01T00:00:00"/>
  </r>
  <r>
    <s v="GL-932"/>
    <d v="2024-08-22T00:00:00"/>
    <n v="4010"/>
    <n v="0"/>
    <n v="24031.62"/>
    <s v="Sales for Invoice AR-INV-7233"/>
    <x v="3"/>
    <s v="Revenue"/>
    <n v="-24031.62"/>
    <x v="1"/>
    <d v="2024-08-01T00:00:00"/>
  </r>
  <r>
    <s v="GL-1213"/>
    <d v="2024-08-27T00:00:00"/>
    <n v="5010"/>
    <n v="2641.81"/>
    <n v="0"/>
    <s v="COGS for Invoice AP-INV-5304"/>
    <x v="0"/>
    <s v="Expenses"/>
    <n v="2641.81"/>
    <x v="1"/>
    <d v="2024-08-01T00:00:00"/>
  </r>
  <r>
    <s v="GL-1214"/>
    <d v="2024-08-27T00:00:00"/>
    <n v="2010"/>
    <n v="0"/>
    <n v="2641.81"/>
    <s v="AP for Invoice AP-INV-5304"/>
    <x v="1"/>
    <s v="Liabilities"/>
    <n v="-2641.81"/>
    <x v="1"/>
    <d v="2024-08-01T00:00:00"/>
  </r>
  <r>
    <s v="GL-881"/>
    <d v="2024-08-29T00:00:00"/>
    <n v="5010"/>
    <n v="9982.33"/>
    <n v="0"/>
    <s v="COGS for Invoice AP-INV-5221"/>
    <x v="0"/>
    <s v="Expenses"/>
    <n v="9982.33"/>
    <x v="1"/>
    <d v="2024-08-01T00:00:00"/>
  </r>
  <r>
    <s v="GL-882"/>
    <d v="2024-08-29T00:00:00"/>
    <n v="2010"/>
    <n v="0"/>
    <n v="9982.33"/>
    <s v="AP for Invoice AP-INV-5221"/>
    <x v="1"/>
    <s v="Liabilities"/>
    <n v="-9982.33"/>
    <x v="1"/>
    <d v="2024-08-01T00:00:00"/>
  </r>
  <r>
    <s v="GL-1519"/>
    <d v="2024-08-31T00:00:00"/>
    <n v="1200"/>
    <n v="30529.49"/>
    <n v="0"/>
    <s v="AR for Invoice AR-INV-7380"/>
    <x v="2"/>
    <s v="Assets"/>
    <n v="30529.49"/>
    <x v="1"/>
    <d v="2024-08-01T00:00:00"/>
  </r>
  <r>
    <s v="GL-1520"/>
    <d v="2024-08-31T00:00:00"/>
    <n v="4010"/>
    <n v="0"/>
    <n v="30529.49"/>
    <s v="Sales for Invoice AR-INV-7380"/>
    <x v="3"/>
    <s v="Revenue"/>
    <n v="-30529.49"/>
    <x v="1"/>
    <d v="2024-08-01T00:00:00"/>
  </r>
  <r>
    <s v="GL-513"/>
    <d v="2024-08-31T00:00:00"/>
    <n v="5010"/>
    <n v="17322.71"/>
    <n v="0"/>
    <s v="COGS for Invoice AP-INV-5129"/>
    <x v="0"/>
    <s v="Expenses"/>
    <n v="17322.71"/>
    <x v="1"/>
    <d v="2024-08-01T00:00:00"/>
  </r>
  <r>
    <s v="GL-514"/>
    <d v="2024-08-31T00:00:00"/>
    <n v="2010"/>
    <n v="0"/>
    <n v="17322.71"/>
    <s v="AP for Invoice AP-INV-5129"/>
    <x v="1"/>
    <s v="Liabilities"/>
    <n v="-17322.71"/>
    <x v="1"/>
    <d v="2024-08-01T00:00:00"/>
  </r>
  <r>
    <s v="GL-1641"/>
    <d v="2024-09-01T00:00:00"/>
    <n v="5010"/>
    <n v="4789.3100000000004"/>
    <n v="0"/>
    <s v="COGS for Invoice AP-INV-5411"/>
    <x v="0"/>
    <s v="Expenses"/>
    <n v="4789.3100000000004"/>
    <x v="1"/>
    <d v="2024-09-01T00:00:00"/>
  </r>
  <r>
    <s v="GL-1642"/>
    <d v="2024-09-01T00:00:00"/>
    <n v="2010"/>
    <n v="0"/>
    <n v="4789.3100000000004"/>
    <s v="AP for Invoice AP-INV-5411"/>
    <x v="1"/>
    <s v="Liabilities"/>
    <n v="-4789.3100000000004"/>
    <x v="1"/>
    <d v="2024-09-01T00:00:00"/>
  </r>
  <r>
    <s v="GL-165"/>
    <d v="2024-09-01T00:00:00"/>
    <n v="5010"/>
    <n v="10901.88"/>
    <n v="0"/>
    <s v="COGS for Invoice AP-INV-5042"/>
    <x v="0"/>
    <s v="Expenses"/>
    <n v="10901.88"/>
    <x v="1"/>
    <d v="2024-09-01T00:00:00"/>
  </r>
  <r>
    <s v="GL-166"/>
    <d v="2024-09-01T00:00:00"/>
    <n v="2010"/>
    <n v="0"/>
    <n v="10901.88"/>
    <s v="AP for Invoice AP-INV-5042"/>
    <x v="1"/>
    <s v="Liabilities"/>
    <n v="-10901.88"/>
    <x v="1"/>
    <d v="2024-09-01T00:00:00"/>
  </r>
  <r>
    <s v="GL-1287"/>
    <d v="2024-09-05T00:00:00"/>
    <n v="1200"/>
    <n v="4168.7700000000004"/>
    <n v="0"/>
    <s v="AR for Invoice AR-INV-7322"/>
    <x v="2"/>
    <s v="Assets"/>
    <n v="4168.7700000000004"/>
    <x v="1"/>
    <d v="2024-09-01T00:00:00"/>
  </r>
  <r>
    <s v="GL-1288"/>
    <d v="2024-09-05T00:00:00"/>
    <n v="4010"/>
    <n v="0"/>
    <n v="4168.7700000000004"/>
    <s v="Sales for Invoice AR-INV-7322"/>
    <x v="3"/>
    <s v="Revenue"/>
    <n v="-4168.7700000000004"/>
    <x v="1"/>
    <d v="2024-09-01T00:00:00"/>
  </r>
  <r>
    <s v="GL-445"/>
    <d v="2024-09-05T00:00:00"/>
    <n v="5010"/>
    <n v="2736.66"/>
    <n v="0"/>
    <s v="COGS for Invoice AP-INV-5112"/>
    <x v="0"/>
    <s v="Expenses"/>
    <n v="2736.66"/>
    <x v="1"/>
    <d v="2024-09-01T00:00:00"/>
  </r>
  <r>
    <s v="GL-446"/>
    <d v="2024-09-05T00:00:00"/>
    <n v="2010"/>
    <n v="0"/>
    <n v="2736.66"/>
    <s v="AP for Invoice AP-INV-5112"/>
    <x v="1"/>
    <s v="Liabilities"/>
    <n v="-2736.66"/>
    <x v="1"/>
    <d v="2024-09-01T00:00:00"/>
  </r>
  <r>
    <s v="GL-1325"/>
    <d v="2024-09-06T00:00:00"/>
    <n v="5010"/>
    <n v="4724.6499999999996"/>
    <n v="0"/>
    <s v="COGS for Invoice AP-INV-5332"/>
    <x v="0"/>
    <s v="Expenses"/>
    <n v="4724.6499999999996"/>
    <x v="1"/>
    <d v="2024-09-01T00:00:00"/>
  </r>
  <r>
    <s v="GL-1326"/>
    <d v="2024-09-06T00:00:00"/>
    <n v="2010"/>
    <n v="0"/>
    <n v="4724.6499999999996"/>
    <s v="AP for Invoice AP-INV-5332"/>
    <x v="1"/>
    <s v="Liabilities"/>
    <n v="-4724.6499999999996"/>
    <x v="1"/>
    <d v="2024-09-01T00:00:00"/>
  </r>
  <r>
    <s v="GL-739"/>
    <d v="2024-09-07T00:00:00"/>
    <n v="1200"/>
    <n v="23821.82"/>
    <n v="0"/>
    <s v="AR for Invoice AR-INV-7185"/>
    <x v="2"/>
    <s v="Assets"/>
    <n v="23821.82"/>
    <x v="1"/>
    <d v="2024-09-01T00:00:00"/>
  </r>
  <r>
    <s v="GL-740"/>
    <d v="2024-09-07T00:00:00"/>
    <n v="4010"/>
    <n v="0"/>
    <n v="23821.82"/>
    <s v="Sales for Invoice AR-INV-7185"/>
    <x v="3"/>
    <s v="Revenue"/>
    <n v="-23821.82"/>
    <x v="1"/>
    <d v="2024-09-01T00:00:00"/>
  </r>
  <r>
    <s v="GL-1345"/>
    <d v="2024-09-10T00:00:00"/>
    <n v="5010"/>
    <n v="6232.72"/>
    <n v="0"/>
    <s v="COGS for Invoice AP-INV-5337"/>
    <x v="0"/>
    <s v="Expenses"/>
    <n v="6232.72"/>
    <x v="1"/>
    <d v="2024-09-01T00:00:00"/>
  </r>
  <r>
    <s v="GL-1346"/>
    <d v="2024-09-10T00:00:00"/>
    <n v="2010"/>
    <n v="0"/>
    <n v="6232.72"/>
    <s v="AP for Invoice AP-INV-5337"/>
    <x v="1"/>
    <s v="Liabilities"/>
    <n v="-6232.72"/>
    <x v="1"/>
    <d v="2024-09-01T00:00:00"/>
  </r>
  <r>
    <s v="GL-1471"/>
    <d v="2024-09-11T00:00:00"/>
    <n v="1200"/>
    <n v="33314.22"/>
    <n v="0"/>
    <s v="AR for Invoice AR-INV-7368"/>
    <x v="2"/>
    <s v="Assets"/>
    <n v="33314.22"/>
    <x v="1"/>
    <d v="2024-09-01T00:00:00"/>
  </r>
  <r>
    <s v="GL-1472"/>
    <d v="2024-09-11T00:00:00"/>
    <n v="4010"/>
    <n v="0"/>
    <n v="33314.22"/>
    <s v="Sales for Invoice AR-INV-7368"/>
    <x v="3"/>
    <s v="Revenue"/>
    <n v="-33314.22"/>
    <x v="1"/>
    <d v="2024-09-01T00:00:00"/>
  </r>
  <r>
    <s v="GL-1485"/>
    <d v="2024-09-13T00:00:00"/>
    <n v="5010"/>
    <n v="14057.67"/>
    <n v="0"/>
    <s v="COGS for Invoice AP-INV-5372"/>
    <x v="0"/>
    <s v="Expenses"/>
    <n v="14057.67"/>
    <x v="1"/>
    <d v="2024-09-01T00:00:00"/>
  </r>
  <r>
    <s v="GL-1486"/>
    <d v="2024-09-13T00:00:00"/>
    <n v="2010"/>
    <n v="0"/>
    <n v="14057.67"/>
    <s v="AP for Invoice AP-INV-5372"/>
    <x v="1"/>
    <s v="Liabilities"/>
    <n v="-14057.67"/>
    <x v="1"/>
    <d v="2024-09-01T00:00:00"/>
  </r>
  <r>
    <s v="GL-285"/>
    <d v="2024-09-14T00:00:00"/>
    <n v="5010"/>
    <n v="14561.14"/>
    <n v="0"/>
    <s v="COGS for Invoice AP-INV-5072"/>
    <x v="0"/>
    <s v="Expenses"/>
    <n v="14561.14"/>
    <x v="1"/>
    <d v="2024-09-01T00:00:00"/>
  </r>
  <r>
    <s v="GL-286"/>
    <d v="2024-09-14T00:00:00"/>
    <n v="2010"/>
    <n v="0"/>
    <n v="14561.14"/>
    <s v="AP for Invoice AP-INV-5072"/>
    <x v="1"/>
    <s v="Liabilities"/>
    <n v="-14561.14"/>
    <x v="1"/>
    <d v="2024-09-01T00:00:00"/>
  </r>
  <r>
    <s v="GL-1257"/>
    <d v="2024-09-17T00:00:00"/>
    <n v="5010"/>
    <n v="13245.94"/>
    <n v="0"/>
    <s v="COGS for Invoice AP-INV-5315"/>
    <x v="0"/>
    <s v="Expenses"/>
    <n v="13245.94"/>
    <x v="1"/>
    <d v="2024-09-01T00:00:00"/>
  </r>
  <r>
    <s v="GL-1258"/>
    <d v="2024-09-17T00:00:00"/>
    <n v="2010"/>
    <n v="0"/>
    <n v="13245.94"/>
    <s v="AP for Invoice AP-INV-5315"/>
    <x v="1"/>
    <s v="Liabilities"/>
    <n v="-13245.94"/>
    <x v="1"/>
    <d v="2024-09-01T00:00:00"/>
  </r>
  <r>
    <s v="GL-503"/>
    <d v="2024-09-17T00:00:00"/>
    <n v="1200"/>
    <n v="29262.06"/>
    <n v="0"/>
    <s v="AR for Invoice AR-INV-7126"/>
    <x v="2"/>
    <s v="Assets"/>
    <n v="29262.06"/>
    <x v="1"/>
    <d v="2024-09-01T00:00:00"/>
  </r>
  <r>
    <s v="GL-504"/>
    <d v="2024-09-17T00:00:00"/>
    <n v="4010"/>
    <n v="0"/>
    <n v="29262.06"/>
    <s v="Sales for Invoice AR-INV-7126"/>
    <x v="3"/>
    <s v="Revenue"/>
    <n v="-29262.06"/>
    <x v="1"/>
    <d v="2024-09-01T00:00:00"/>
  </r>
  <r>
    <s v="GL-1805"/>
    <d v="2024-09-18T00:00:00"/>
    <n v="5010"/>
    <n v="5182.0600000000004"/>
    <n v="0"/>
    <s v="COGS for Invoice AP-INV-5452"/>
    <x v="0"/>
    <s v="Expenses"/>
    <n v="5182.0600000000004"/>
    <x v="1"/>
    <d v="2024-09-01T00:00:00"/>
  </r>
  <r>
    <s v="GL-1806"/>
    <d v="2024-09-18T00:00:00"/>
    <n v="2010"/>
    <n v="0"/>
    <n v="5182.0600000000004"/>
    <s v="AP for Invoice AP-INV-5452"/>
    <x v="1"/>
    <s v="Liabilities"/>
    <n v="-5182.0600000000004"/>
    <x v="1"/>
    <d v="2024-09-01T00:00:00"/>
  </r>
  <r>
    <s v="GL-1717"/>
    <d v="2024-09-21T00:00:00"/>
    <n v="5010"/>
    <n v="739.59"/>
    <n v="0"/>
    <s v="COGS for Invoice AP-INV-5430"/>
    <x v="0"/>
    <s v="Expenses"/>
    <n v="739.59"/>
    <x v="1"/>
    <d v="2024-09-01T00:00:00"/>
  </r>
  <r>
    <s v="GL-1718"/>
    <d v="2024-09-21T00:00:00"/>
    <n v="2010"/>
    <n v="0"/>
    <n v="739.59"/>
    <s v="AP for Invoice AP-INV-5430"/>
    <x v="1"/>
    <s v="Liabilities"/>
    <n v="-739.59"/>
    <x v="1"/>
    <d v="2024-09-01T00:00:00"/>
  </r>
  <r>
    <s v="GL-473"/>
    <d v="2024-09-23T00:00:00"/>
    <n v="5010"/>
    <n v="11668.62"/>
    <n v="0"/>
    <s v="COGS for Invoice AP-INV-5119"/>
    <x v="0"/>
    <s v="Expenses"/>
    <n v="11668.62"/>
    <x v="1"/>
    <d v="2024-09-01T00:00:00"/>
  </r>
  <r>
    <s v="GL-474"/>
    <d v="2024-09-23T00:00:00"/>
    <n v="2010"/>
    <n v="0"/>
    <n v="11668.62"/>
    <s v="AP for Invoice AP-INV-5119"/>
    <x v="1"/>
    <s v="Liabilities"/>
    <n v="-11668.62"/>
    <x v="1"/>
    <d v="2024-09-01T00:00:00"/>
  </r>
  <r>
    <s v="GL-781"/>
    <d v="2024-09-24T00:00:00"/>
    <n v="5010"/>
    <n v="2063.56"/>
    <n v="0"/>
    <s v="COGS for Invoice AP-INV-5196"/>
    <x v="0"/>
    <s v="Expenses"/>
    <n v="2063.56"/>
    <x v="1"/>
    <d v="2024-09-01T00:00:00"/>
  </r>
  <r>
    <s v="GL-782"/>
    <d v="2024-09-24T00:00:00"/>
    <n v="2010"/>
    <n v="0"/>
    <n v="2063.56"/>
    <s v="AP for Invoice AP-INV-5196"/>
    <x v="1"/>
    <s v="Liabilities"/>
    <n v="-2063.56"/>
    <x v="1"/>
    <d v="2024-09-01T00:00:00"/>
  </r>
  <r>
    <s v="GL-1039"/>
    <d v="2024-09-25T00:00:00"/>
    <n v="1200"/>
    <n v="41345.69"/>
    <n v="0"/>
    <s v="AR for Invoice AR-INV-7260"/>
    <x v="2"/>
    <s v="Assets"/>
    <n v="41345.69"/>
    <x v="1"/>
    <d v="2024-09-01T00:00:00"/>
  </r>
  <r>
    <s v="GL-1040"/>
    <d v="2024-09-25T00:00:00"/>
    <n v="4010"/>
    <n v="0"/>
    <n v="41345.69"/>
    <s v="Sales for Invoice AR-INV-7260"/>
    <x v="3"/>
    <s v="Revenue"/>
    <n v="-41345.69"/>
    <x v="1"/>
    <d v="2024-09-01T00:00:00"/>
  </r>
  <r>
    <s v="GL-1409"/>
    <d v="2024-09-25T00:00:00"/>
    <n v="5010"/>
    <n v="742.65"/>
    <n v="0"/>
    <s v="COGS for Invoice AP-INV-5353"/>
    <x v="0"/>
    <s v="Expenses"/>
    <n v="742.65"/>
    <x v="1"/>
    <d v="2024-09-01T00:00:00"/>
  </r>
  <r>
    <s v="GL-1410"/>
    <d v="2024-09-25T00:00:00"/>
    <n v="2010"/>
    <n v="0"/>
    <n v="742.65"/>
    <s v="AP for Invoice AP-INV-5353"/>
    <x v="1"/>
    <s v="Liabilities"/>
    <n v="-742.65"/>
    <x v="1"/>
    <d v="2024-09-01T00:00:00"/>
  </r>
  <r>
    <s v="GL-1001"/>
    <d v="2024-09-26T00:00:00"/>
    <n v="5010"/>
    <n v="18009.63"/>
    <n v="0"/>
    <s v="COGS for Invoice AP-INV-5251"/>
    <x v="0"/>
    <s v="Expenses"/>
    <n v="18009.63"/>
    <x v="1"/>
    <d v="2024-09-01T00:00:00"/>
  </r>
  <r>
    <s v="GL-1002"/>
    <d v="2024-09-26T00:00:00"/>
    <n v="2010"/>
    <n v="0"/>
    <n v="18009.63"/>
    <s v="AP for Invoice AP-INV-5251"/>
    <x v="1"/>
    <s v="Liabilities"/>
    <n v="-18009.63"/>
    <x v="1"/>
    <d v="2024-09-01T00:00:00"/>
  </r>
  <r>
    <s v="GL-1751"/>
    <d v="2024-09-28T00:00:00"/>
    <n v="1200"/>
    <n v="25925.45"/>
    <n v="0"/>
    <s v="AR for Invoice AR-INV-7438"/>
    <x v="2"/>
    <s v="Assets"/>
    <n v="25925.45"/>
    <x v="1"/>
    <d v="2024-09-01T00:00:00"/>
  </r>
  <r>
    <s v="GL-1752"/>
    <d v="2024-09-28T00:00:00"/>
    <n v="4010"/>
    <n v="0"/>
    <n v="25925.45"/>
    <s v="Sales for Invoice AR-INV-7438"/>
    <x v="3"/>
    <s v="Revenue"/>
    <n v="-25925.45"/>
    <x v="1"/>
    <d v="2024-09-01T00:00:00"/>
  </r>
  <r>
    <s v="GL-1339"/>
    <d v="2024-09-29T00:00:00"/>
    <n v="1200"/>
    <n v="14881.23"/>
    <n v="0"/>
    <s v="AR for Invoice AR-INV-7335"/>
    <x v="2"/>
    <s v="Assets"/>
    <n v="14881.23"/>
    <x v="1"/>
    <d v="2024-09-01T00:00:00"/>
  </r>
  <r>
    <s v="GL-1340"/>
    <d v="2024-09-29T00:00:00"/>
    <n v="4010"/>
    <n v="0"/>
    <n v="14881.23"/>
    <s v="Sales for Invoice AR-INV-7335"/>
    <x v="3"/>
    <s v="Revenue"/>
    <n v="-14881.23"/>
    <x v="1"/>
    <d v="2024-09-01T00:00:00"/>
  </r>
  <r>
    <s v="GL-1441"/>
    <d v="2024-09-29T00:00:00"/>
    <n v="5010"/>
    <n v="4144.08"/>
    <n v="0"/>
    <s v="COGS for Invoice AP-INV-5361"/>
    <x v="0"/>
    <s v="Expenses"/>
    <n v="4144.08"/>
    <x v="1"/>
    <d v="2024-09-01T00:00:00"/>
  </r>
  <r>
    <s v="GL-1442"/>
    <d v="2024-09-29T00:00:00"/>
    <n v="2010"/>
    <n v="0"/>
    <n v="4144.08"/>
    <s v="AP for Invoice AP-INV-5361"/>
    <x v="1"/>
    <s v="Liabilities"/>
    <n v="-4144.08"/>
    <x v="1"/>
    <d v="2024-09-01T00:00:00"/>
  </r>
  <r>
    <s v="GL-1383"/>
    <d v="2024-10-02T00:00:00"/>
    <n v="1200"/>
    <n v="11916.53"/>
    <n v="0"/>
    <s v="AR for Invoice AR-INV-7346"/>
    <x v="2"/>
    <s v="Assets"/>
    <n v="11916.53"/>
    <x v="1"/>
    <d v="2024-10-01T00:00:00"/>
  </r>
  <r>
    <s v="GL-1384"/>
    <d v="2024-10-02T00:00:00"/>
    <n v="4010"/>
    <n v="0"/>
    <n v="11916.53"/>
    <s v="Sales for Invoice AR-INV-7346"/>
    <x v="3"/>
    <s v="Revenue"/>
    <n v="-11916.53"/>
    <x v="1"/>
    <d v="2024-10-01T00:00:00"/>
  </r>
  <r>
    <s v="GL-1693"/>
    <d v="2024-10-02T00:00:00"/>
    <n v="5010"/>
    <n v="6359.52"/>
    <n v="0"/>
    <s v="COGS for Invoice AP-INV-5424"/>
    <x v="0"/>
    <s v="Expenses"/>
    <n v="6359.52"/>
    <x v="1"/>
    <d v="2024-10-01T00:00:00"/>
  </r>
  <r>
    <s v="GL-1694"/>
    <d v="2024-10-02T00:00:00"/>
    <n v="2010"/>
    <n v="0"/>
    <n v="6359.52"/>
    <s v="AP for Invoice AP-INV-5424"/>
    <x v="1"/>
    <s v="Liabilities"/>
    <n v="-6359.52"/>
    <x v="1"/>
    <d v="2024-10-01T00:00:00"/>
  </r>
  <r>
    <s v="GL-267"/>
    <d v="2024-10-02T00:00:00"/>
    <n v="1200"/>
    <n v="23562.59"/>
    <n v="0"/>
    <s v="AR for Invoice AR-INV-7067"/>
    <x v="2"/>
    <s v="Assets"/>
    <n v="23562.59"/>
    <x v="1"/>
    <d v="2024-10-01T00:00:00"/>
  </r>
  <r>
    <s v="GL-268"/>
    <d v="2024-10-02T00:00:00"/>
    <n v="4010"/>
    <n v="0"/>
    <n v="23562.59"/>
    <s v="Sales for Invoice AR-INV-7067"/>
    <x v="3"/>
    <s v="Revenue"/>
    <n v="-23562.59"/>
    <x v="1"/>
    <d v="2024-10-01T00:00:00"/>
  </r>
  <r>
    <s v="GL-1007"/>
    <d v="2024-10-03T00:00:00"/>
    <n v="1200"/>
    <n v="20025.5"/>
    <n v="0"/>
    <s v="AR for Invoice AR-INV-7252"/>
    <x v="2"/>
    <s v="Assets"/>
    <n v="20025.5"/>
    <x v="1"/>
    <d v="2024-10-01T00:00:00"/>
  </r>
  <r>
    <s v="GL-1008"/>
    <d v="2024-10-03T00:00:00"/>
    <n v="4010"/>
    <n v="0"/>
    <n v="20025.5"/>
    <s v="Sales for Invoice AR-INV-7252"/>
    <x v="3"/>
    <s v="Revenue"/>
    <n v="-20025.5"/>
    <x v="1"/>
    <d v="2024-10-01T00:00:00"/>
  </r>
  <r>
    <s v="GL-743"/>
    <d v="2024-10-03T00:00:00"/>
    <n v="1200"/>
    <n v="25095.41"/>
    <n v="0"/>
    <s v="AR for Invoice AR-INV-7186"/>
    <x v="2"/>
    <s v="Assets"/>
    <n v="25095.41"/>
    <x v="1"/>
    <d v="2024-10-01T00:00:00"/>
  </r>
  <r>
    <s v="GL-744"/>
    <d v="2024-10-03T00:00:00"/>
    <n v="4010"/>
    <n v="0"/>
    <n v="25095.41"/>
    <s v="Sales for Invoice AR-INV-7186"/>
    <x v="3"/>
    <s v="Revenue"/>
    <n v="-25095.41"/>
    <x v="1"/>
    <d v="2024-10-01T00:00:00"/>
  </r>
  <r>
    <s v="GL-425"/>
    <d v="2024-10-04T00:00:00"/>
    <n v="5010"/>
    <n v="16868.7"/>
    <n v="0"/>
    <s v="COGS for Invoice AP-INV-5107"/>
    <x v="0"/>
    <s v="Expenses"/>
    <n v="16868.7"/>
    <x v="1"/>
    <d v="2024-10-01T00:00:00"/>
  </r>
  <r>
    <s v="GL-426"/>
    <d v="2024-10-04T00:00:00"/>
    <n v="2010"/>
    <n v="0"/>
    <n v="16868.7"/>
    <s v="AP for Invoice AP-INV-5107"/>
    <x v="1"/>
    <s v="Liabilities"/>
    <n v="-16868.7"/>
    <x v="1"/>
    <d v="2024-10-01T00:00:00"/>
  </r>
  <r>
    <s v="GL-731"/>
    <d v="2024-10-04T00:00:00"/>
    <n v="1200"/>
    <n v="11404.94"/>
    <n v="0"/>
    <s v="AR for Invoice AR-INV-7183"/>
    <x v="2"/>
    <s v="Assets"/>
    <n v="11404.94"/>
    <x v="1"/>
    <d v="2024-10-01T00:00:00"/>
  </r>
  <r>
    <s v="GL-732"/>
    <d v="2024-10-04T00:00:00"/>
    <n v="4010"/>
    <n v="0"/>
    <n v="11404.94"/>
    <s v="Sales for Invoice AR-INV-7183"/>
    <x v="3"/>
    <s v="Revenue"/>
    <n v="-11404.94"/>
    <x v="1"/>
    <d v="2024-10-01T00:00:00"/>
  </r>
  <r>
    <s v="GL-1351"/>
    <d v="2024-10-05T00:00:00"/>
    <n v="1200"/>
    <n v="19971.87"/>
    <n v="0"/>
    <s v="AR for Invoice AR-INV-7338"/>
    <x v="2"/>
    <s v="Assets"/>
    <n v="19971.87"/>
    <x v="1"/>
    <d v="2024-10-01T00:00:00"/>
  </r>
  <r>
    <s v="GL-1352"/>
    <d v="2024-10-05T00:00:00"/>
    <n v="4010"/>
    <n v="0"/>
    <n v="19971.87"/>
    <s v="Sales for Invoice AR-INV-7338"/>
    <x v="3"/>
    <s v="Revenue"/>
    <n v="-19971.87"/>
    <x v="1"/>
    <d v="2024-10-01T00:00:00"/>
  </r>
  <r>
    <s v="GL-379"/>
    <d v="2024-10-07T00:00:00"/>
    <n v="1200"/>
    <n v="16606.37"/>
    <n v="0"/>
    <s v="AR for Invoice AR-INV-7095"/>
    <x v="2"/>
    <s v="Assets"/>
    <n v="16606.37"/>
    <x v="1"/>
    <d v="2024-10-01T00:00:00"/>
  </r>
  <r>
    <s v="GL-380"/>
    <d v="2024-10-07T00:00:00"/>
    <n v="4010"/>
    <n v="0"/>
    <n v="16606.37"/>
    <s v="Sales for Invoice AR-INV-7095"/>
    <x v="3"/>
    <s v="Revenue"/>
    <n v="-16606.37"/>
    <x v="1"/>
    <d v="2024-10-01T00:00:00"/>
  </r>
  <r>
    <s v="GL-1919"/>
    <d v="2024-10-11T00:00:00"/>
    <n v="1200"/>
    <n v="16087.04"/>
    <n v="0"/>
    <s v="AR for Invoice AR-INV-7480"/>
    <x v="2"/>
    <s v="Assets"/>
    <n v="16087.04"/>
    <x v="1"/>
    <d v="2024-10-01T00:00:00"/>
  </r>
  <r>
    <s v="GL-1920"/>
    <d v="2024-10-11T00:00:00"/>
    <n v="4010"/>
    <n v="0"/>
    <n v="16087.04"/>
    <s v="Sales for Invoice AR-INV-7480"/>
    <x v="3"/>
    <s v="Revenue"/>
    <n v="-16087.04"/>
    <x v="1"/>
    <d v="2024-10-01T00:00:00"/>
  </r>
  <r>
    <s v="GL-1421"/>
    <d v="2024-10-13T00:00:00"/>
    <n v="5010"/>
    <n v="11458.45"/>
    <n v="0"/>
    <s v="COGS for Invoice AP-INV-5356"/>
    <x v="0"/>
    <s v="Expenses"/>
    <n v="11458.45"/>
    <x v="1"/>
    <d v="2024-10-01T00:00:00"/>
  </r>
  <r>
    <s v="GL-1422"/>
    <d v="2024-10-13T00:00:00"/>
    <n v="2010"/>
    <n v="0"/>
    <n v="11458.45"/>
    <s v="AP for Invoice AP-INV-5356"/>
    <x v="1"/>
    <s v="Liabilities"/>
    <n v="-11458.45"/>
    <x v="1"/>
    <d v="2024-10-01T00:00:00"/>
  </r>
  <r>
    <s v="GL-1857"/>
    <d v="2024-10-13T00:00:00"/>
    <n v="5010"/>
    <n v="11990.39"/>
    <n v="0"/>
    <s v="COGS for Invoice AP-INV-5465"/>
    <x v="0"/>
    <s v="Expenses"/>
    <n v="11990.39"/>
    <x v="1"/>
    <d v="2024-10-01T00:00:00"/>
  </r>
  <r>
    <s v="GL-1858"/>
    <d v="2024-10-13T00:00:00"/>
    <n v="2010"/>
    <n v="0"/>
    <n v="11990.39"/>
    <s v="AP for Invoice AP-INV-5465"/>
    <x v="1"/>
    <s v="Liabilities"/>
    <n v="-11990.39"/>
    <x v="1"/>
    <d v="2024-10-01T00:00:00"/>
  </r>
  <r>
    <s v="GL-1843"/>
    <d v="2024-10-15T00:00:00"/>
    <n v="1200"/>
    <n v="27101.200000000001"/>
    <n v="0"/>
    <s v="AR for Invoice AR-INV-7461"/>
    <x v="2"/>
    <s v="Assets"/>
    <n v="27101.200000000001"/>
    <x v="1"/>
    <d v="2024-10-01T00:00:00"/>
  </r>
  <r>
    <s v="GL-1844"/>
    <d v="2024-10-15T00:00:00"/>
    <n v="4010"/>
    <n v="0"/>
    <n v="27101.200000000001"/>
    <s v="Sales for Invoice AR-INV-7461"/>
    <x v="3"/>
    <s v="Revenue"/>
    <n v="-27101.200000000001"/>
    <x v="1"/>
    <d v="2024-10-01T00:00:00"/>
  </r>
  <r>
    <s v="GL-553"/>
    <d v="2024-10-15T00:00:00"/>
    <n v="5010"/>
    <n v="1528.14"/>
    <n v="0"/>
    <s v="COGS for Invoice AP-INV-5139"/>
    <x v="0"/>
    <s v="Expenses"/>
    <n v="1528.14"/>
    <x v="1"/>
    <d v="2024-10-01T00:00:00"/>
  </r>
  <r>
    <s v="GL-554"/>
    <d v="2024-10-15T00:00:00"/>
    <n v="2010"/>
    <n v="0"/>
    <n v="1528.14"/>
    <s v="AP for Invoice AP-INV-5139"/>
    <x v="1"/>
    <s v="Liabilities"/>
    <n v="-1528.14"/>
    <x v="1"/>
    <d v="2024-10-01T00:00:00"/>
  </r>
  <r>
    <s v="GL-467"/>
    <d v="2024-10-16T00:00:00"/>
    <n v="1200"/>
    <n v="29025.13"/>
    <n v="0"/>
    <s v="AR for Invoice AR-INV-7117"/>
    <x v="2"/>
    <s v="Assets"/>
    <n v="29025.13"/>
    <x v="1"/>
    <d v="2024-10-01T00:00:00"/>
  </r>
  <r>
    <s v="GL-468"/>
    <d v="2024-10-16T00:00:00"/>
    <n v="4010"/>
    <n v="0"/>
    <n v="29025.13"/>
    <s v="Sales for Invoice AR-INV-7117"/>
    <x v="3"/>
    <s v="Revenue"/>
    <n v="-29025.13"/>
    <x v="1"/>
    <d v="2024-10-01T00:00:00"/>
  </r>
  <r>
    <s v="GL-1763"/>
    <d v="2024-10-18T00:00:00"/>
    <n v="1200"/>
    <n v="32646.84"/>
    <n v="0"/>
    <s v="AR for Invoice AR-INV-7441"/>
    <x v="2"/>
    <s v="Assets"/>
    <n v="32646.84"/>
    <x v="1"/>
    <d v="2024-10-01T00:00:00"/>
  </r>
  <r>
    <s v="GL-1764"/>
    <d v="2024-10-18T00:00:00"/>
    <n v="4010"/>
    <n v="0"/>
    <n v="32646.84"/>
    <s v="Sales for Invoice AR-INV-7441"/>
    <x v="3"/>
    <s v="Revenue"/>
    <n v="-32646.84"/>
    <x v="1"/>
    <d v="2024-10-01T00:00:00"/>
  </r>
  <r>
    <s v="GL-197"/>
    <d v="2024-10-18T00:00:00"/>
    <n v="5010"/>
    <n v="18692.77"/>
    <n v="0"/>
    <s v="COGS for Invoice AP-INV-5050"/>
    <x v="0"/>
    <s v="Expenses"/>
    <n v="18692.77"/>
    <x v="1"/>
    <d v="2024-10-01T00:00:00"/>
  </r>
  <r>
    <s v="GL-198"/>
    <d v="2024-10-18T00:00:00"/>
    <n v="2010"/>
    <n v="0"/>
    <n v="18692.77"/>
    <s v="AP for Invoice AP-INV-5050"/>
    <x v="1"/>
    <s v="Liabilities"/>
    <n v="-18692.77"/>
    <x v="1"/>
    <d v="2024-10-01T00:00:00"/>
  </r>
  <r>
    <s v="GL-1065"/>
    <d v="2024-10-19T00:00:00"/>
    <n v="5010"/>
    <n v="15361.79"/>
    <n v="0"/>
    <s v="COGS for Invoice AP-INV-5267"/>
    <x v="0"/>
    <s v="Expenses"/>
    <n v="15361.79"/>
    <x v="1"/>
    <d v="2024-10-01T00:00:00"/>
  </r>
  <r>
    <s v="GL-1066"/>
    <d v="2024-10-19T00:00:00"/>
    <n v="2010"/>
    <n v="0"/>
    <n v="15361.79"/>
    <s v="AP for Invoice AP-INV-5267"/>
    <x v="1"/>
    <s v="Liabilities"/>
    <n v="-15361.79"/>
    <x v="1"/>
    <d v="2024-10-01T00:00:00"/>
  </r>
  <r>
    <s v="GL-161"/>
    <d v="2024-10-19T00:00:00"/>
    <n v="5010"/>
    <n v="8314.34"/>
    <n v="0"/>
    <s v="COGS for Invoice AP-INV-5041"/>
    <x v="0"/>
    <s v="Expenses"/>
    <n v="8314.34"/>
    <x v="1"/>
    <d v="2024-10-01T00:00:00"/>
  </r>
  <r>
    <s v="GL-162"/>
    <d v="2024-10-19T00:00:00"/>
    <n v="2010"/>
    <n v="0"/>
    <n v="8314.34"/>
    <s v="AP for Invoice AP-INV-5041"/>
    <x v="1"/>
    <s v="Liabilities"/>
    <n v="-8314.34"/>
    <x v="1"/>
    <d v="2024-10-01T00:00:00"/>
  </r>
  <r>
    <s v="GL-29"/>
    <d v="2024-10-19T00:00:00"/>
    <n v="5010"/>
    <n v="13576.89"/>
    <n v="0"/>
    <s v="COGS for Invoice AP-INV-5008"/>
    <x v="0"/>
    <s v="Expenses"/>
    <n v="13576.89"/>
    <x v="1"/>
    <d v="2024-10-01T00:00:00"/>
  </r>
  <r>
    <s v="GL-30"/>
    <d v="2024-10-19T00:00:00"/>
    <n v="2010"/>
    <n v="0"/>
    <n v="13576.89"/>
    <s v="AP for Invoice AP-INV-5008"/>
    <x v="1"/>
    <s v="Liabilities"/>
    <n v="-13576.89"/>
    <x v="1"/>
    <d v="2024-10-01T00:00:00"/>
  </r>
  <r>
    <s v="GL-377"/>
    <d v="2024-10-19T00:00:00"/>
    <n v="5010"/>
    <n v="1322.84"/>
    <n v="0"/>
    <s v="COGS for Invoice AP-INV-5095"/>
    <x v="0"/>
    <s v="Expenses"/>
    <n v="1322.84"/>
    <x v="1"/>
    <d v="2024-10-01T00:00:00"/>
  </r>
  <r>
    <s v="GL-378"/>
    <d v="2024-10-19T00:00:00"/>
    <n v="2010"/>
    <n v="0"/>
    <n v="1322.84"/>
    <s v="AP for Invoice AP-INV-5095"/>
    <x v="1"/>
    <s v="Liabilities"/>
    <n v="-1322.84"/>
    <x v="1"/>
    <d v="2024-10-01T00:00:00"/>
  </r>
  <r>
    <s v="GL-1419"/>
    <d v="2024-10-22T00:00:00"/>
    <n v="1200"/>
    <n v="13926.88"/>
    <n v="0"/>
    <s v="AR for Invoice AR-INV-7355"/>
    <x v="2"/>
    <s v="Assets"/>
    <n v="13926.88"/>
    <x v="1"/>
    <d v="2024-10-01T00:00:00"/>
  </r>
  <r>
    <s v="GL-1420"/>
    <d v="2024-10-22T00:00:00"/>
    <n v="4010"/>
    <n v="0"/>
    <n v="13926.88"/>
    <s v="Sales for Invoice AR-INV-7355"/>
    <x v="3"/>
    <s v="Revenue"/>
    <n v="-13926.88"/>
    <x v="1"/>
    <d v="2024-10-01T00:00:00"/>
  </r>
  <r>
    <s v="GL-1569"/>
    <d v="2024-10-22T00:00:00"/>
    <n v="5010"/>
    <n v="1026.51"/>
    <n v="0"/>
    <s v="COGS for Invoice AP-INV-5393"/>
    <x v="0"/>
    <s v="Expenses"/>
    <n v="1026.51"/>
    <x v="1"/>
    <d v="2024-10-01T00:00:00"/>
  </r>
  <r>
    <s v="GL-1570"/>
    <d v="2024-10-22T00:00:00"/>
    <n v="2010"/>
    <n v="0"/>
    <n v="1026.51"/>
    <s v="AP for Invoice AP-INV-5393"/>
    <x v="1"/>
    <s v="Liabilities"/>
    <n v="-1026.51"/>
    <x v="1"/>
    <d v="2024-10-01T00:00:00"/>
  </r>
  <r>
    <s v="GL-1945"/>
    <d v="2024-10-23T00:00:00"/>
    <n v="5010"/>
    <n v="8489.93"/>
    <n v="0"/>
    <s v="COGS for Invoice AP-INV-5487"/>
    <x v="0"/>
    <s v="Expenses"/>
    <n v="8489.93"/>
    <x v="1"/>
    <d v="2024-10-01T00:00:00"/>
  </r>
  <r>
    <s v="GL-1946"/>
    <d v="2024-10-23T00:00:00"/>
    <n v="2010"/>
    <n v="0"/>
    <n v="8489.93"/>
    <s v="AP for Invoice AP-INV-5487"/>
    <x v="1"/>
    <s v="Liabilities"/>
    <n v="-8489.93"/>
    <x v="1"/>
    <d v="2024-10-01T00:00:00"/>
  </r>
  <r>
    <s v="GL-411"/>
    <d v="2024-10-23T00:00:00"/>
    <n v="1200"/>
    <n v="28598.18"/>
    <n v="0"/>
    <s v="AR for Invoice AR-INV-7103"/>
    <x v="2"/>
    <s v="Assets"/>
    <n v="28598.18"/>
    <x v="1"/>
    <d v="2024-10-01T00:00:00"/>
  </r>
  <r>
    <s v="GL-412"/>
    <d v="2024-10-23T00:00:00"/>
    <n v="4010"/>
    <n v="0"/>
    <n v="28598.18"/>
    <s v="Sales for Invoice AR-INV-7103"/>
    <x v="3"/>
    <s v="Revenue"/>
    <n v="-28598.18"/>
    <x v="1"/>
    <d v="2024-10-01T00:00:00"/>
  </r>
  <r>
    <s v="GL-749"/>
    <d v="2024-10-23T00:00:00"/>
    <n v="5010"/>
    <n v="19646.990000000002"/>
    <n v="0"/>
    <s v="COGS for Invoice AP-INV-5188"/>
    <x v="0"/>
    <s v="Expenses"/>
    <n v="19646.990000000002"/>
    <x v="1"/>
    <d v="2024-10-01T00:00:00"/>
  </r>
  <r>
    <s v="GL-750"/>
    <d v="2024-10-23T00:00:00"/>
    <n v="2010"/>
    <n v="0"/>
    <n v="19646.990000000002"/>
    <s v="AP for Invoice AP-INV-5188"/>
    <x v="1"/>
    <s v="Liabilities"/>
    <n v="-19646.990000000002"/>
    <x v="1"/>
    <d v="2024-10-01T00:00:00"/>
  </r>
  <r>
    <s v="GL-1523"/>
    <d v="2024-10-24T00:00:00"/>
    <n v="1200"/>
    <n v="39916.22"/>
    <n v="0"/>
    <s v="AR for Invoice AR-INV-7381"/>
    <x v="2"/>
    <s v="Assets"/>
    <n v="39916.22"/>
    <x v="1"/>
    <d v="2024-10-01T00:00:00"/>
  </r>
  <r>
    <s v="GL-1524"/>
    <d v="2024-10-24T00:00:00"/>
    <n v="4010"/>
    <n v="0"/>
    <n v="39916.22"/>
    <s v="Sales for Invoice AR-INV-7381"/>
    <x v="3"/>
    <s v="Revenue"/>
    <n v="-39916.22"/>
    <x v="1"/>
    <d v="2024-10-01T00:00:00"/>
  </r>
  <r>
    <s v="GL-741"/>
    <d v="2024-10-27T00:00:00"/>
    <n v="5010"/>
    <n v="14975.72"/>
    <n v="0"/>
    <s v="COGS for Invoice AP-INV-5186"/>
    <x v="0"/>
    <s v="Expenses"/>
    <n v="14975.72"/>
    <x v="1"/>
    <d v="2024-10-01T00:00:00"/>
  </r>
  <r>
    <s v="GL-742"/>
    <d v="2024-10-27T00:00:00"/>
    <n v="2010"/>
    <n v="0"/>
    <n v="14975.72"/>
    <s v="AP for Invoice AP-INV-5186"/>
    <x v="1"/>
    <s v="Liabilities"/>
    <n v="-14975.72"/>
    <x v="1"/>
    <d v="2024-10-01T00:00:00"/>
  </r>
  <r>
    <s v="GL-511"/>
    <d v="2024-10-30T00:00:00"/>
    <n v="1200"/>
    <n v="23030.04"/>
    <n v="0"/>
    <s v="AR for Invoice AR-INV-7128"/>
    <x v="2"/>
    <s v="Assets"/>
    <n v="23030.04"/>
    <x v="1"/>
    <d v="2024-10-01T00:00:00"/>
  </r>
  <r>
    <s v="GL-512"/>
    <d v="2024-10-30T00:00:00"/>
    <n v="4010"/>
    <n v="0"/>
    <n v="23030.04"/>
    <s v="Sales for Invoice AR-INV-7128"/>
    <x v="3"/>
    <s v="Revenue"/>
    <n v="-23030.04"/>
    <x v="1"/>
    <d v="2024-10-01T00:00:00"/>
  </r>
  <r>
    <s v="GL-1293"/>
    <d v="2024-11-02T00:00:00"/>
    <n v="5010"/>
    <n v="18351.53"/>
    <n v="0"/>
    <s v="COGS for Invoice AP-INV-5324"/>
    <x v="0"/>
    <s v="Expenses"/>
    <n v="18351.53"/>
    <x v="1"/>
    <d v="2024-11-01T00:00:00"/>
  </r>
  <r>
    <s v="GL-1294"/>
    <d v="2024-11-02T00:00:00"/>
    <n v="2010"/>
    <n v="0"/>
    <n v="18351.53"/>
    <s v="AP for Invoice AP-INV-5324"/>
    <x v="1"/>
    <s v="Liabilities"/>
    <n v="-18351.53"/>
    <x v="1"/>
    <d v="2024-11-01T00:00:00"/>
  </r>
  <r>
    <s v="GL-515"/>
    <d v="2024-11-08T00:00:00"/>
    <n v="1200"/>
    <n v="7835.55"/>
    <n v="0"/>
    <s v="AR for Invoice AR-INV-7129"/>
    <x v="2"/>
    <s v="Assets"/>
    <n v="7835.55"/>
    <x v="1"/>
    <d v="2024-11-01T00:00:00"/>
  </r>
  <r>
    <s v="GL-516"/>
    <d v="2024-11-08T00:00:00"/>
    <n v="4010"/>
    <n v="0"/>
    <n v="7835.55"/>
    <s v="Sales for Invoice AR-INV-7129"/>
    <x v="3"/>
    <s v="Revenue"/>
    <n v="-7835.55"/>
    <x v="1"/>
    <d v="2024-11-01T00:00:00"/>
  </r>
  <r>
    <s v="GL-917"/>
    <d v="2024-11-08T00:00:00"/>
    <n v="5010"/>
    <n v="12676.66"/>
    <n v="0"/>
    <s v="COGS for Invoice AP-INV-5230"/>
    <x v="0"/>
    <s v="Expenses"/>
    <n v="12676.66"/>
    <x v="1"/>
    <d v="2024-11-01T00:00:00"/>
  </r>
  <r>
    <s v="GL-918"/>
    <d v="2024-11-08T00:00:00"/>
    <n v="2010"/>
    <n v="0"/>
    <n v="12676.66"/>
    <s v="AP for Invoice AP-INV-5230"/>
    <x v="1"/>
    <s v="Liabilities"/>
    <n v="-12676.66"/>
    <x v="1"/>
    <d v="2024-11-01T00:00:00"/>
  </r>
  <r>
    <s v="GL-1179"/>
    <d v="2024-11-09T00:00:00"/>
    <n v="1200"/>
    <n v="33581.96"/>
    <n v="0"/>
    <s v="AR for Invoice AR-INV-7295"/>
    <x v="2"/>
    <s v="Assets"/>
    <n v="33581.96"/>
    <x v="1"/>
    <d v="2024-11-01T00:00:00"/>
  </r>
  <r>
    <s v="GL-1180"/>
    <d v="2024-11-09T00:00:00"/>
    <n v="4010"/>
    <n v="0"/>
    <n v="33581.96"/>
    <s v="Sales for Invoice AR-INV-7295"/>
    <x v="3"/>
    <s v="Revenue"/>
    <n v="-33581.96"/>
    <x v="1"/>
    <d v="2024-11-01T00:00:00"/>
  </r>
  <r>
    <s v="GL-289"/>
    <d v="2024-11-10T00:00:00"/>
    <n v="5010"/>
    <n v="11881.86"/>
    <n v="0"/>
    <s v="COGS for Invoice AP-INV-5073"/>
    <x v="0"/>
    <s v="Expenses"/>
    <n v="11881.86"/>
    <x v="1"/>
    <d v="2024-11-01T00:00:00"/>
  </r>
  <r>
    <s v="GL-290"/>
    <d v="2024-11-10T00:00:00"/>
    <n v="2010"/>
    <n v="0"/>
    <n v="11881.86"/>
    <s v="AP for Invoice AP-INV-5073"/>
    <x v="1"/>
    <s v="Liabilities"/>
    <n v="-11881.86"/>
    <x v="1"/>
    <d v="2024-11-01T00:00:00"/>
  </r>
  <r>
    <s v="GL-1413"/>
    <d v="2024-11-11T00:00:00"/>
    <n v="5010"/>
    <n v="19577.189999999999"/>
    <n v="0"/>
    <s v="COGS for Invoice AP-INV-5354"/>
    <x v="0"/>
    <s v="Expenses"/>
    <n v="19577.189999999999"/>
    <x v="1"/>
    <d v="2024-11-01T00:00:00"/>
  </r>
  <r>
    <s v="GL-1414"/>
    <d v="2024-11-11T00:00:00"/>
    <n v="2010"/>
    <n v="0"/>
    <n v="19577.189999999999"/>
    <s v="AP for Invoice AP-INV-5354"/>
    <x v="1"/>
    <s v="Liabilities"/>
    <n v="-19577.189999999999"/>
    <x v="1"/>
    <d v="2024-11-01T00:00:00"/>
  </r>
  <r>
    <s v="GL-15"/>
    <d v="2024-11-14T00:00:00"/>
    <n v="1200"/>
    <n v="38399.269999999997"/>
    <n v="0"/>
    <s v="AR for Invoice AR-INV-7004"/>
    <x v="2"/>
    <s v="Assets"/>
    <n v="38399.269999999997"/>
    <x v="1"/>
    <d v="2024-11-01T00:00:00"/>
  </r>
  <r>
    <s v="GL-16"/>
    <d v="2024-11-14T00:00:00"/>
    <n v="4010"/>
    <n v="0"/>
    <n v="38399.269999999997"/>
    <s v="Sales for Invoice AR-INV-7004"/>
    <x v="3"/>
    <s v="Revenue"/>
    <n v="-38399.269999999997"/>
    <x v="1"/>
    <d v="2024-11-01T00:00:00"/>
  </r>
  <r>
    <s v="GL-589"/>
    <d v="2024-11-15T00:00:00"/>
    <n v="5010"/>
    <n v="5959.45"/>
    <n v="0"/>
    <s v="COGS for Invoice AP-INV-5148"/>
    <x v="0"/>
    <s v="Expenses"/>
    <n v="5959.45"/>
    <x v="1"/>
    <d v="2024-11-01T00:00:00"/>
  </r>
  <r>
    <s v="GL-590"/>
    <d v="2024-11-15T00:00:00"/>
    <n v="2010"/>
    <n v="0"/>
    <n v="5959.45"/>
    <s v="AP for Invoice AP-INV-5148"/>
    <x v="1"/>
    <s v="Liabilities"/>
    <n v="-5959.45"/>
    <x v="1"/>
    <d v="2024-11-01T00:00:00"/>
  </r>
  <r>
    <s v="GL-765"/>
    <d v="2024-11-15T00:00:00"/>
    <n v="5010"/>
    <n v="1640.47"/>
    <n v="0"/>
    <s v="COGS for Invoice AP-INV-5192"/>
    <x v="0"/>
    <s v="Expenses"/>
    <n v="1640.47"/>
    <x v="1"/>
    <d v="2024-11-01T00:00:00"/>
  </r>
  <r>
    <s v="GL-766"/>
    <d v="2024-11-15T00:00:00"/>
    <n v="2010"/>
    <n v="0"/>
    <n v="1640.47"/>
    <s v="AP for Invoice AP-INV-5192"/>
    <x v="1"/>
    <s v="Liabilities"/>
    <n v="-1640.47"/>
    <x v="1"/>
    <d v="2024-11-01T00:00:00"/>
  </r>
  <r>
    <s v="GL-323"/>
    <d v="2024-11-17T00:00:00"/>
    <n v="1200"/>
    <n v="44978.6"/>
    <n v="0"/>
    <s v="AR for Invoice AR-INV-7081"/>
    <x v="2"/>
    <s v="Assets"/>
    <n v="44978.6"/>
    <x v="1"/>
    <d v="2024-11-01T00:00:00"/>
  </r>
  <r>
    <s v="GL-324"/>
    <d v="2024-11-17T00:00:00"/>
    <n v="4010"/>
    <n v="0"/>
    <n v="44978.6"/>
    <s v="Sales for Invoice AR-INV-7081"/>
    <x v="3"/>
    <s v="Revenue"/>
    <n v="-44978.6"/>
    <x v="1"/>
    <d v="2024-11-01T00:00:00"/>
  </r>
  <r>
    <s v="GL-1305"/>
    <d v="2024-11-18T00:00:00"/>
    <n v="5010"/>
    <n v="11552.78"/>
    <n v="0"/>
    <s v="COGS for Invoice AP-INV-5327"/>
    <x v="0"/>
    <s v="Expenses"/>
    <n v="11552.78"/>
    <x v="1"/>
    <d v="2024-11-01T00:00:00"/>
  </r>
  <r>
    <s v="GL-1306"/>
    <d v="2024-11-18T00:00:00"/>
    <n v="2010"/>
    <n v="0"/>
    <n v="11552.78"/>
    <s v="AP for Invoice AP-INV-5327"/>
    <x v="1"/>
    <s v="Liabilities"/>
    <n v="-11552.78"/>
    <x v="1"/>
    <d v="2024-11-01T00:00:00"/>
  </r>
  <r>
    <s v="GL-1195"/>
    <d v="2024-11-23T00:00:00"/>
    <n v="1200"/>
    <n v="31571.96"/>
    <n v="0"/>
    <s v="AR for Invoice AR-INV-7299"/>
    <x v="2"/>
    <s v="Assets"/>
    <n v="31571.96"/>
    <x v="1"/>
    <d v="2024-11-01T00:00:00"/>
  </r>
  <r>
    <s v="GL-1196"/>
    <d v="2024-11-23T00:00:00"/>
    <n v="4010"/>
    <n v="0"/>
    <n v="31571.96"/>
    <s v="Sales for Invoice AR-INV-7299"/>
    <x v="3"/>
    <s v="Revenue"/>
    <n v="-31571.96"/>
    <x v="1"/>
    <d v="2024-11-01T00:00:00"/>
  </r>
  <r>
    <s v="GL-211"/>
    <d v="2024-11-23T00:00:00"/>
    <n v="1200"/>
    <n v="46557.19"/>
    <n v="0"/>
    <s v="AR for Invoice AR-INV-7053"/>
    <x v="2"/>
    <s v="Assets"/>
    <n v="46557.19"/>
    <x v="1"/>
    <d v="2024-11-01T00:00:00"/>
  </r>
  <r>
    <s v="GL-212"/>
    <d v="2024-11-23T00:00:00"/>
    <n v="4010"/>
    <n v="0"/>
    <n v="46557.19"/>
    <s v="Sales for Invoice AR-INV-7053"/>
    <x v="3"/>
    <s v="Revenue"/>
    <n v="-46557.19"/>
    <x v="1"/>
    <d v="2024-11-01T00:00:00"/>
  </r>
  <r>
    <s v="GL-1091"/>
    <d v="2024-11-24T00:00:00"/>
    <n v="1200"/>
    <n v="19159.57"/>
    <n v="0"/>
    <s v="AR for Invoice AR-INV-7273"/>
    <x v="2"/>
    <s v="Assets"/>
    <n v="19159.57"/>
    <x v="1"/>
    <d v="2024-11-01T00:00:00"/>
  </r>
  <r>
    <s v="GL-1092"/>
    <d v="2024-11-24T00:00:00"/>
    <n v="4010"/>
    <n v="0"/>
    <n v="19159.57"/>
    <s v="Sales for Invoice AR-INV-7273"/>
    <x v="3"/>
    <s v="Revenue"/>
    <n v="-19159.57"/>
    <x v="1"/>
    <d v="2024-11-01T00:00:00"/>
  </r>
  <r>
    <s v="GL-813"/>
    <d v="2024-11-25T00:00:00"/>
    <n v="5010"/>
    <n v="9142.9"/>
    <n v="0"/>
    <s v="COGS for Invoice AP-INV-5204"/>
    <x v="0"/>
    <s v="Expenses"/>
    <n v="9142.9"/>
    <x v="1"/>
    <d v="2024-11-01T00:00:00"/>
  </r>
  <r>
    <s v="GL-814"/>
    <d v="2024-11-25T00:00:00"/>
    <n v="2010"/>
    <n v="0"/>
    <n v="9142.9"/>
    <s v="AP for Invoice AP-INV-5204"/>
    <x v="1"/>
    <s v="Liabilities"/>
    <n v="-9142.9"/>
    <x v="1"/>
    <d v="2024-11-01T00:00:00"/>
  </r>
  <r>
    <s v="GL-1491"/>
    <d v="2024-11-28T00:00:00"/>
    <n v="1200"/>
    <n v="26685.22"/>
    <n v="0"/>
    <s v="AR for Invoice AR-INV-7373"/>
    <x v="2"/>
    <s v="Assets"/>
    <n v="26685.22"/>
    <x v="1"/>
    <d v="2024-11-01T00:00:00"/>
  </r>
  <r>
    <s v="GL-1492"/>
    <d v="2024-11-28T00:00:00"/>
    <n v="4010"/>
    <n v="0"/>
    <n v="26685.22"/>
    <s v="Sales for Invoice AR-INV-7373"/>
    <x v="3"/>
    <s v="Revenue"/>
    <n v="-26685.22"/>
    <x v="1"/>
    <d v="2024-11-01T00:00:00"/>
  </r>
  <r>
    <s v="GL-245"/>
    <d v="2024-11-29T00:00:00"/>
    <n v="5010"/>
    <n v="7446.58"/>
    <n v="0"/>
    <s v="COGS for Invoice AP-INV-5062"/>
    <x v="0"/>
    <s v="Expenses"/>
    <n v="7446.58"/>
    <x v="1"/>
    <d v="2024-11-01T00:00:00"/>
  </r>
  <r>
    <s v="GL-246"/>
    <d v="2024-11-29T00:00:00"/>
    <n v="2010"/>
    <n v="0"/>
    <n v="7446.58"/>
    <s v="AP for Invoice AP-INV-5062"/>
    <x v="1"/>
    <s v="Liabilities"/>
    <n v="-7446.58"/>
    <x v="1"/>
    <d v="2024-11-01T00:00:00"/>
  </r>
  <r>
    <s v="GL-913"/>
    <d v="2024-11-29T00:00:00"/>
    <n v="5010"/>
    <n v="4430.25"/>
    <n v="0"/>
    <s v="COGS for Invoice AP-INV-5229"/>
    <x v="0"/>
    <s v="Expenses"/>
    <n v="4430.25"/>
    <x v="1"/>
    <d v="2024-11-01T00:00:00"/>
  </r>
  <r>
    <s v="GL-914"/>
    <d v="2024-11-29T00:00:00"/>
    <n v="2010"/>
    <n v="0"/>
    <n v="4430.25"/>
    <s v="AP for Invoice AP-INV-5229"/>
    <x v="1"/>
    <s v="Liabilities"/>
    <n v="-4430.25"/>
    <x v="1"/>
    <d v="2024-11-01T00:00:00"/>
  </r>
  <r>
    <s v="GL-221"/>
    <d v="2024-11-30T00:00:00"/>
    <n v="5010"/>
    <n v="15703.41"/>
    <n v="0"/>
    <s v="COGS for Invoice AP-INV-5056"/>
    <x v="0"/>
    <s v="Expenses"/>
    <n v="15703.41"/>
    <x v="1"/>
    <d v="2024-11-01T00:00:00"/>
  </r>
  <r>
    <s v="GL-222"/>
    <d v="2024-11-30T00:00:00"/>
    <n v="2010"/>
    <n v="0"/>
    <n v="15703.41"/>
    <s v="AP for Invoice AP-INV-5056"/>
    <x v="1"/>
    <s v="Liabilities"/>
    <n v="-15703.41"/>
    <x v="1"/>
    <d v="2024-11-01T00:00:00"/>
  </r>
  <r>
    <s v="GL-277"/>
    <d v="2024-11-30T00:00:00"/>
    <n v="5010"/>
    <n v="14525.44"/>
    <n v="0"/>
    <s v="COGS for Invoice AP-INV-5070"/>
    <x v="0"/>
    <s v="Expenses"/>
    <n v="14525.44"/>
    <x v="1"/>
    <d v="2024-11-01T00:00:00"/>
  </r>
  <r>
    <s v="GL-278"/>
    <d v="2024-11-30T00:00:00"/>
    <n v="2010"/>
    <n v="0"/>
    <n v="14525.44"/>
    <s v="AP for Invoice AP-INV-5070"/>
    <x v="1"/>
    <s v="Liabilities"/>
    <n v="-14525.44"/>
    <x v="1"/>
    <d v="2024-11-01T00:00:00"/>
  </r>
  <r>
    <s v="GL-1433"/>
    <d v="2024-12-01T00:00:00"/>
    <n v="5010"/>
    <n v="16559.64"/>
    <n v="0"/>
    <s v="COGS for Invoice AP-INV-5359"/>
    <x v="0"/>
    <s v="Expenses"/>
    <n v="16559.64"/>
    <x v="1"/>
    <d v="2024-12-01T00:00:00"/>
  </r>
  <r>
    <s v="GL-1434"/>
    <d v="2024-12-01T00:00:00"/>
    <n v="2010"/>
    <n v="0"/>
    <n v="16559.64"/>
    <s v="AP for Invoice AP-INV-5359"/>
    <x v="1"/>
    <s v="Liabilities"/>
    <n v="-16559.64"/>
    <x v="1"/>
    <d v="2024-12-01T00:00:00"/>
  </r>
  <r>
    <s v="GL-87"/>
    <d v="2024-12-01T00:00:00"/>
    <n v="1200"/>
    <n v="37381.089999999997"/>
    <n v="0"/>
    <s v="AR for Invoice AR-INV-7022"/>
    <x v="2"/>
    <s v="Assets"/>
    <n v="37381.089999999997"/>
    <x v="1"/>
    <d v="2024-12-01T00:00:00"/>
  </r>
  <r>
    <s v="GL-88"/>
    <d v="2024-12-01T00:00:00"/>
    <n v="4010"/>
    <n v="0"/>
    <n v="37381.089999999997"/>
    <s v="Sales for Invoice AR-INV-7022"/>
    <x v="3"/>
    <s v="Revenue"/>
    <n v="-37381.089999999997"/>
    <x v="1"/>
    <d v="2024-12-01T00:00:00"/>
  </r>
  <r>
    <s v="GL-623"/>
    <d v="2024-12-03T00:00:00"/>
    <n v="1200"/>
    <n v="44785.53"/>
    <n v="0"/>
    <s v="AR for Invoice AR-INV-7156"/>
    <x v="2"/>
    <s v="Assets"/>
    <n v="44785.53"/>
    <x v="1"/>
    <d v="2024-12-01T00:00:00"/>
  </r>
  <r>
    <s v="GL-624"/>
    <d v="2024-12-03T00:00:00"/>
    <n v="4010"/>
    <n v="0"/>
    <n v="44785.53"/>
    <s v="Sales for Invoice AR-INV-7156"/>
    <x v="3"/>
    <s v="Revenue"/>
    <n v="-44785.53"/>
    <x v="1"/>
    <d v="2024-12-01T00:00:00"/>
  </r>
  <r>
    <s v="GL-1315"/>
    <d v="2024-12-04T00:00:00"/>
    <n v="1200"/>
    <n v="38597.79"/>
    <n v="0"/>
    <s v="AR for Invoice AR-INV-7329"/>
    <x v="2"/>
    <s v="Assets"/>
    <n v="38597.79"/>
    <x v="1"/>
    <d v="2024-12-01T00:00:00"/>
  </r>
  <r>
    <s v="GL-1316"/>
    <d v="2024-12-04T00:00:00"/>
    <n v="4010"/>
    <n v="0"/>
    <n v="38597.79"/>
    <s v="Sales for Invoice AR-INV-7329"/>
    <x v="3"/>
    <s v="Revenue"/>
    <n v="-38597.79"/>
    <x v="1"/>
    <d v="2024-12-01T00:00:00"/>
  </r>
  <r>
    <s v="GL-43"/>
    <d v="2024-12-07T00:00:00"/>
    <n v="1200"/>
    <n v="12755.27"/>
    <n v="0"/>
    <s v="AR for Invoice AR-INV-7011"/>
    <x v="2"/>
    <s v="Assets"/>
    <n v="12755.27"/>
    <x v="1"/>
    <d v="2024-12-01T00:00:00"/>
  </r>
  <r>
    <s v="GL-44"/>
    <d v="2024-12-07T00:00:00"/>
    <n v="4010"/>
    <n v="0"/>
    <n v="12755.27"/>
    <s v="Sales for Invoice AR-INV-7011"/>
    <x v="3"/>
    <s v="Revenue"/>
    <n v="-12755.27"/>
    <x v="1"/>
    <d v="2024-12-01T00:00:00"/>
  </r>
  <r>
    <s v="GL-1283"/>
    <d v="2024-12-08T00:00:00"/>
    <n v="1200"/>
    <n v="19805.98"/>
    <n v="0"/>
    <s v="AR for Invoice AR-INV-7321"/>
    <x v="2"/>
    <s v="Assets"/>
    <n v="19805.98"/>
    <x v="1"/>
    <d v="2024-12-01T00:00:00"/>
  </r>
  <r>
    <s v="GL-1284"/>
    <d v="2024-12-08T00:00:00"/>
    <n v="4010"/>
    <n v="0"/>
    <n v="19805.98"/>
    <s v="Sales for Invoice AR-INV-7321"/>
    <x v="3"/>
    <s v="Revenue"/>
    <n v="-19805.98"/>
    <x v="1"/>
    <d v="2024-12-01T00:00:00"/>
  </r>
  <r>
    <s v="GL-441"/>
    <d v="2024-12-08T00:00:00"/>
    <n v="5010"/>
    <n v="17463.88"/>
    <n v="0"/>
    <s v="COGS for Invoice AP-INV-5111"/>
    <x v="0"/>
    <s v="Expenses"/>
    <n v="17463.88"/>
    <x v="1"/>
    <d v="2024-12-01T00:00:00"/>
  </r>
  <r>
    <s v="GL-442"/>
    <d v="2024-12-08T00:00:00"/>
    <n v="2010"/>
    <n v="0"/>
    <n v="17463.88"/>
    <s v="AP for Invoice AP-INV-5111"/>
    <x v="1"/>
    <s v="Liabilities"/>
    <n v="-17463.88"/>
    <x v="1"/>
    <d v="2024-12-01T00:00:00"/>
  </r>
  <r>
    <s v="GL-717"/>
    <d v="2024-12-08T00:00:00"/>
    <n v="5010"/>
    <n v="14524.55"/>
    <n v="0"/>
    <s v="COGS for Invoice AP-INV-5180"/>
    <x v="0"/>
    <s v="Expenses"/>
    <n v="14524.55"/>
    <x v="1"/>
    <d v="2024-12-01T00:00:00"/>
  </r>
  <r>
    <s v="GL-718"/>
    <d v="2024-12-08T00:00:00"/>
    <n v="2010"/>
    <n v="0"/>
    <n v="14524.55"/>
    <s v="AP for Invoice AP-INV-5180"/>
    <x v="1"/>
    <s v="Liabilities"/>
    <n v="-14524.55"/>
    <x v="1"/>
    <d v="2024-12-01T00:00:00"/>
  </r>
  <r>
    <s v="GL-451"/>
    <d v="2024-12-11T00:00:00"/>
    <n v="1200"/>
    <n v="5973.02"/>
    <n v="0"/>
    <s v="AR for Invoice AR-INV-7113"/>
    <x v="2"/>
    <s v="Assets"/>
    <n v="5973.02"/>
    <x v="1"/>
    <d v="2024-12-01T00:00:00"/>
  </r>
  <r>
    <s v="GL-452"/>
    <d v="2024-12-11T00:00:00"/>
    <n v="4010"/>
    <n v="0"/>
    <n v="5973.02"/>
    <s v="Sales for Invoice AR-INV-7113"/>
    <x v="3"/>
    <s v="Revenue"/>
    <n v="-5973.02"/>
    <x v="1"/>
    <d v="2024-12-01T00:00:00"/>
  </r>
  <r>
    <s v="GL-1105"/>
    <d v="2024-12-12T00:00:00"/>
    <n v="5010"/>
    <n v="10715.5"/>
    <n v="0"/>
    <s v="COGS for Invoice AP-INV-5277"/>
    <x v="0"/>
    <s v="Expenses"/>
    <n v="10715.5"/>
    <x v="1"/>
    <d v="2024-12-01T00:00:00"/>
  </r>
  <r>
    <s v="GL-1106"/>
    <d v="2024-12-12T00:00:00"/>
    <n v="2010"/>
    <n v="0"/>
    <n v="10715.5"/>
    <s v="AP for Invoice AP-INV-5277"/>
    <x v="1"/>
    <s v="Liabilities"/>
    <n v="-10715.5"/>
    <x v="1"/>
    <d v="2024-12-01T00:00:00"/>
  </r>
  <r>
    <s v="GL-699"/>
    <d v="2024-12-12T00:00:00"/>
    <n v="1200"/>
    <n v="39428.67"/>
    <n v="0"/>
    <s v="AR for Invoice AR-INV-7175"/>
    <x v="2"/>
    <s v="Assets"/>
    <n v="39428.67"/>
    <x v="1"/>
    <d v="2024-12-01T00:00:00"/>
  </r>
  <r>
    <s v="GL-700"/>
    <d v="2024-12-12T00:00:00"/>
    <n v="4010"/>
    <n v="0"/>
    <n v="39428.67"/>
    <s v="Sales for Invoice AR-INV-7175"/>
    <x v="3"/>
    <s v="Revenue"/>
    <n v="-39428.67"/>
    <x v="1"/>
    <d v="2024-12-01T00:00:00"/>
  </r>
  <r>
    <s v="GL-755"/>
    <d v="2024-12-12T00:00:00"/>
    <n v="1200"/>
    <n v="3470.44"/>
    <n v="0"/>
    <s v="AR for Invoice AR-INV-7189"/>
    <x v="2"/>
    <s v="Assets"/>
    <n v="3470.44"/>
    <x v="1"/>
    <d v="2024-12-01T00:00:00"/>
  </r>
  <r>
    <s v="GL-756"/>
    <d v="2024-12-12T00:00:00"/>
    <n v="4010"/>
    <n v="0"/>
    <n v="3470.44"/>
    <s v="Sales for Invoice AR-INV-7189"/>
    <x v="3"/>
    <s v="Revenue"/>
    <n v="-3470.44"/>
    <x v="1"/>
    <d v="2024-12-01T00:00:00"/>
  </r>
  <r>
    <s v="GL-421"/>
    <d v="2024-12-14T00:00:00"/>
    <n v="5010"/>
    <n v="8460.7000000000007"/>
    <n v="0"/>
    <s v="COGS for Invoice AP-INV-5106"/>
    <x v="0"/>
    <s v="Expenses"/>
    <n v="8460.7000000000007"/>
    <x v="1"/>
    <d v="2024-12-01T00:00:00"/>
  </r>
  <r>
    <s v="GL-422"/>
    <d v="2024-12-14T00:00:00"/>
    <n v="2010"/>
    <n v="0"/>
    <n v="8460.7000000000007"/>
    <s v="AP for Invoice AP-INV-5106"/>
    <x v="1"/>
    <s v="Liabilities"/>
    <n v="-8460.7000000000007"/>
    <x v="1"/>
    <d v="2024-12-01T00:00:00"/>
  </r>
  <r>
    <s v="GL-1139"/>
    <d v="2024-12-16T00:00:00"/>
    <n v="1200"/>
    <n v="9202.68"/>
    <n v="0"/>
    <s v="AR for Invoice AR-INV-7285"/>
    <x v="2"/>
    <s v="Assets"/>
    <n v="9202.68"/>
    <x v="1"/>
    <d v="2024-12-01T00:00:00"/>
  </r>
  <r>
    <s v="GL-1140"/>
    <d v="2024-12-16T00:00:00"/>
    <n v="4010"/>
    <n v="0"/>
    <n v="9202.68"/>
    <s v="Sales for Invoice AR-INV-7285"/>
    <x v="3"/>
    <s v="Revenue"/>
    <n v="-9202.68"/>
    <x v="1"/>
    <d v="2024-12-01T00:00:00"/>
  </r>
  <r>
    <s v="GL-1005"/>
    <d v="2024-12-20T00:00:00"/>
    <n v="5010"/>
    <n v="2144.56"/>
    <n v="0"/>
    <s v="COGS for Invoice AP-INV-5252"/>
    <x v="0"/>
    <s v="Expenses"/>
    <n v="2144.56"/>
    <x v="1"/>
    <d v="2024-12-01T00:00:00"/>
  </r>
  <r>
    <s v="GL-1006"/>
    <d v="2024-12-20T00:00:00"/>
    <n v="2010"/>
    <n v="0"/>
    <n v="2144.56"/>
    <s v="AP for Invoice AP-INV-5252"/>
    <x v="1"/>
    <s v="Liabilities"/>
    <n v="-2144.56"/>
    <x v="1"/>
    <d v="2024-12-01T00:00:00"/>
  </r>
  <r>
    <s v="GL-1015"/>
    <d v="2024-12-22T00:00:00"/>
    <n v="1200"/>
    <n v="4337.51"/>
    <n v="0"/>
    <s v="AR for Invoice AR-INV-7254"/>
    <x v="2"/>
    <s v="Assets"/>
    <n v="4337.51"/>
    <x v="1"/>
    <d v="2024-12-01T00:00:00"/>
  </r>
  <r>
    <s v="GL-1016"/>
    <d v="2024-12-22T00:00:00"/>
    <n v="4010"/>
    <n v="0"/>
    <n v="4337.51"/>
    <s v="Sales for Invoice AR-INV-7254"/>
    <x v="3"/>
    <s v="Revenue"/>
    <n v="-4337.51"/>
    <x v="1"/>
    <d v="2024-12-01T00:00:00"/>
  </r>
  <r>
    <s v="GL-1077"/>
    <d v="2024-12-24T00:00:00"/>
    <n v="5010"/>
    <n v="18958.43"/>
    <n v="0"/>
    <s v="COGS for Invoice AP-INV-5270"/>
    <x v="0"/>
    <s v="Expenses"/>
    <n v="18958.43"/>
    <x v="1"/>
    <d v="2024-12-01T00:00:00"/>
  </r>
  <r>
    <s v="GL-1078"/>
    <d v="2024-12-24T00:00:00"/>
    <n v="2010"/>
    <n v="0"/>
    <n v="18958.43"/>
    <s v="AP for Invoice AP-INV-5270"/>
    <x v="1"/>
    <s v="Liabilities"/>
    <n v="-18958.43"/>
    <x v="1"/>
    <d v="2024-12-01T00:00:00"/>
  </r>
  <r>
    <s v="GL-1127"/>
    <d v="2024-12-24T00:00:00"/>
    <n v="1200"/>
    <n v="12873.25"/>
    <n v="0"/>
    <s v="AR for Invoice AR-INV-7282"/>
    <x v="2"/>
    <s v="Assets"/>
    <n v="12873.25"/>
    <x v="1"/>
    <d v="2024-12-01T00:00:00"/>
  </r>
  <r>
    <s v="GL-1128"/>
    <d v="2024-12-24T00:00:00"/>
    <n v="4010"/>
    <n v="0"/>
    <n v="12873.25"/>
    <s v="Sales for Invoice AR-INV-7282"/>
    <x v="3"/>
    <s v="Revenue"/>
    <n v="-12873.25"/>
    <x v="1"/>
    <d v="2024-12-01T00:00:00"/>
  </r>
  <r>
    <s v="GL-487"/>
    <d v="2024-12-26T00:00:00"/>
    <n v="1200"/>
    <n v="49705.04"/>
    <n v="0"/>
    <s v="AR for Invoice AR-INV-7122"/>
    <x v="2"/>
    <s v="Assets"/>
    <n v="49705.04"/>
    <x v="1"/>
    <d v="2024-12-01T00:00:00"/>
  </r>
  <r>
    <s v="GL-488"/>
    <d v="2024-12-26T00:00:00"/>
    <n v="4010"/>
    <n v="0"/>
    <n v="49705.04"/>
    <s v="Sales for Invoice AR-INV-7122"/>
    <x v="3"/>
    <s v="Revenue"/>
    <n v="-49705.04"/>
    <x v="1"/>
    <d v="2024-12-01T00:00:00"/>
  </r>
  <r>
    <s v="GL-217"/>
    <d v="2025-01-04T00:00:00"/>
    <n v="5010"/>
    <n v="4601.03"/>
    <n v="0"/>
    <s v="COGS for Invoice AP-INV-5055"/>
    <x v="0"/>
    <s v="Expenses"/>
    <n v="4601.03"/>
    <x v="2"/>
    <d v="2025-01-01T00:00:00"/>
  </r>
  <r>
    <s v="GL-218"/>
    <d v="2025-01-04T00:00:00"/>
    <n v="2010"/>
    <n v="0"/>
    <n v="4601.03"/>
    <s v="AP for Invoice AP-INV-5055"/>
    <x v="1"/>
    <s v="Liabilities"/>
    <n v="-4601.03"/>
    <x v="2"/>
    <d v="2025-01-01T00:00:00"/>
  </r>
  <r>
    <s v="GL-969"/>
    <d v="2025-01-04T00:00:00"/>
    <n v="5010"/>
    <n v="6944.08"/>
    <n v="0"/>
    <s v="COGS for Invoice AP-INV-5243"/>
    <x v="0"/>
    <s v="Expenses"/>
    <n v="6944.08"/>
    <x v="2"/>
    <d v="2025-01-01T00:00:00"/>
  </r>
  <r>
    <s v="GL-970"/>
    <d v="2025-01-04T00:00:00"/>
    <n v="2010"/>
    <n v="0"/>
    <n v="6944.08"/>
    <s v="AP for Invoice AP-INV-5243"/>
    <x v="1"/>
    <s v="Liabilities"/>
    <n v="-6944.08"/>
    <x v="2"/>
    <d v="2025-01-01T00:00:00"/>
  </r>
  <r>
    <s v="GL-1715"/>
    <d v="2025-01-05T00:00:00"/>
    <n v="1200"/>
    <n v="27560.92"/>
    <n v="0"/>
    <s v="AR for Invoice AR-INV-7429"/>
    <x v="2"/>
    <s v="Assets"/>
    <n v="27560.92"/>
    <x v="2"/>
    <d v="2025-01-01T00:00:00"/>
  </r>
  <r>
    <s v="GL-1716"/>
    <d v="2025-01-05T00:00:00"/>
    <n v="4010"/>
    <n v="0"/>
    <n v="27560.92"/>
    <s v="Sales for Invoice AR-INV-7429"/>
    <x v="3"/>
    <s v="Revenue"/>
    <n v="-27560.92"/>
    <x v="2"/>
    <d v="2025-01-01T00:00:00"/>
  </r>
  <r>
    <s v="GL-325"/>
    <d v="2025-01-05T00:00:00"/>
    <n v="5010"/>
    <n v="8410.65"/>
    <n v="0"/>
    <s v="COGS for Invoice AP-INV-5082"/>
    <x v="0"/>
    <s v="Expenses"/>
    <n v="8410.65"/>
    <x v="2"/>
    <d v="2025-01-01T00:00:00"/>
  </r>
  <r>
    <s v="GL-326"/>
    <d v="2025-01-05T00:00:00"/>
    <n v="2010"/>
    <n v="0"/>
    <n v="8410.65"/>
    <s v="AP for Invoice AP-INV-5082"/>
    <x v="1"/>
    <s v="Liabilities"/>
    <n v="-8410.65"/>
    <x v="2"/>
    <d v="2025-01-01T00:00:00"/>
  </r>
  <r>
    <s v="GL-583"/>
    <d v="2025-01-05T00:00:00"/>
    <n v="1200"/>
    <n v="29708.86"/>
    <n v="0"/>
    <s v="AR for Invoice AR-INV-7146"/>
    <x v="2"/>
    <s v="Assets"/>
    <n v="29708.86"/>
    <x v="2"/>
    <d v="2025-01-01T00:00:00"/>
  </r>
  <r>
    <s v="GL-584"/>
    <d v="2025-01-05T00:00:00"/>
    <n v="4010"/>
    <n v="0"/>
    <n v="29708.86"/>
    <s v="Sales for Invoice AR-INV-7146"/>
    <x v="3"/>
    <s v="Revenue"/>
    <n v="-29708.86"/>
    <x v="2"/>
    <d v="2025-01-01T00:00:00"/>
  </r>
  <r>
    <s v="GL-789"/>
    <d v="2025-01-07T00:00:00"/>
    <n v="5010"/>
    <n v="3164.81"/>
    <n v="0"/>
    <s v="COGS for Invoice AP-INV-5198"/>
    <x v="0"/>
    <s v="Expenses"/>
    <n v="3164.81"/>
    <x v="2"/>
    <d v="2025-01-01T00:00:00"/>
  </r>
  <r>
    <s v="GL-790"/>
    <d v="2025-01-07T00:00:00"/>
    <n v="2010"/>
    <n v="0"/>
    <n v="3164.81"/>
    <s v="AP for Invoice AP-INV-5198"/>
    <x v="1"/>
    <s v="Liabilities"/>
    <n v="-3164.81"/>
    <x v="2"/>
    <d v="2025-01-01T00:00:00"/>
  </r>
  <r>
    <s v="GL-959"/>
    <d v="2025-01-09T00:00:00"/>
    <n v="1200"/>
    <n v="32261.73"/>
    <n v="0"/>
    <s v="AR for Invoice AR-INV-7240"/>
    <x v="2"/>
    <s v="Assets"/>
    <n v="32261.73"/>
    <x v="2"/>
    <d v="2025-01-01T00:00:00"/>
  </r>
  <r>
    <s v="GL-960"/>
    <d v="2025-01-09T00:00:00"/>
    <n v="4010"/>
    <n v="0"/>
    <n v="32261.73"/>
    <s v="Sales for Invoice AR-INV-7240"/>
    <x v="3"/>
    <s v="Revenue"/>
    <n v="-32261.73"/>
    <x v="2"/>
    <d v="2025-01-01T00:00:00"/>
  </r>
  <r>
    <s v="GL-1639"/>
    <d v="2025-01-10T00:00:00"/>
    <n v="1200"/>
    <n v="6023.32"/>
    <n v="0"/>
    <s v="AR for Invoice AR-INV-7410"/>
    <x v="2"/>
    <s v="Assets"/>
    <n v="6023.32"/>
    <x v="2"/>
    <d v="2025-01-01T00:00:00"/>
  </r>
  <r>
    <s v="GL-1640"/>
    <d v="2025-01-10T00:00:00"/>
    <n v="4010"/>
    <n v="0"/>
    <n v="6023.32"/>
    <s v="Sales for Invoice AR-INV-7410"/>
    <x v="3"/>
    <s v="Revenue"/>
    <n v="-6023.32"/>
    <x v="2"/>
    <d v="2025-01-01T00:00:00"/>
  </r>
  <r>
    <s v="GL-1563"/>
    <d v="2025-01-11T00:00:00"/>
    <n v="1200"/>
    <n v="12533.11"/>
    <n v="0"/>
    <s v="AR for Invoice AR-INV-7391"/>
    <x v="2"/>
    <s v="Assets"/>
    <n v="12533.11"/>
    <x v="2"/>
    <d v="2025-01-01T00:00:00"/>
  </r>
  <r>
    <s v="GL-1564"/>
    <d v="2025-01-11T00:00:00"/>
    <n v="4010"/>
    <n v="0"/>
    <n v="12533.11"/>
    <s v="Sales for Invoice AR-INV-7391"/>
    <x v="3"/>
    <s v="Revenue"/>
    <n v="-12533.11"/>
    <x v="2"/>
    <d v="2025-01-01T00:00:00"/>
  </r>
  <r>
    <s v="GL-757"/>
    <d v="2025-01-11T00:00:00"/>
    <n v="5010"/>
    <n v="11377.73"/>
    <n v="0"/>
    <s v="COGS for Invoice AP-INV-5190"/>
    <x v="0"/>
    <s v="Expenses"/>
    <n v="11377.73"/>
    <x v="2"/>
    <d v="2025-01-01T00:00:00"/>
  </r>
  <r>
    <s v="GL-758"/>
    <d v="2025-01-11T00:00:00"/>
    <n v="2010"/>
    <n v="0"/>
    <n v="11377.73"/>
    <s v="AP for Invoice AP-INV-5190"/>
    <x v="1"/>
    <s v="Liabilities"/>
    <n v="-11377.73"/>
    <x v="2"/>
    <d v="2025-01-01T00:00:00"/>
  </r>
  <r>
    <s v="GL-499"/>
    <d v="2025-01-14T00:00:00"/>
    <n v="1200"/>
    <n v="38033.9"/>
    <n v="0"/>
    <s v="AR for Invoice AR-INV-7125"/>
    <x v="2"/>
    <s v="Assets"/>
    <n v="38033.9"/>
    <x v="2"/>
    <d v="2025-01-01T00:00:00"/>
  </r>
  <r>
    <s v="GL-500"/>
    <d v="2025-01-14T00:00:00"/>
    <n v="4010"/>
    <n v="0"/>
    <n v="38033.9"/>
    <s v="Sales for Invoice AR-INV-7125"/>
    <x v="3"/>
    <s v="Revenue"/>
    <n v="-38033.9"/>
    <x v="2"/>
    <d v="2025-01-01T00:00:00"/>
  </r>
  <r>
    <s v="GL-575"/>
    <d v="2025-01-14T00:00:00"/>
    <n v="1200"/>
    <n v="20787.810000000001"/>
    <n v="0"/>
    <s v="AR for Invoice AR-INV-7144"/>
    <x v="2"/>
    <s v="Assets"/>
    <n v="20787.810000000001"/>
    <x v="2"/>
    <d v="2025-01-01T00:00:00"/>
  </r>
  <r>
    <s v="GL-576"/>
    <d v="2025-01-14T00:00:00"/>
    <n v="4010"/>
    <n v="0"/>
    <n v="20787.810000000001"/>
    <s v="Sales for Invoice AR-INV-7144"/>
    <x v="3"/>
    <s v="Revenue"/>
    <n v="-20787.810000000001"/>
    <x v="2"/>
    <d v="2025-01-01T00:00:00"/>
  </r>
  <r>
    <s v="GL-59"/>
    <d v="2025-01-16T00:00:00"/>
    <n v="1200"/>
    <n v="38220.910000000003"/>
    <n v="0"/>
    <s v="AR for Invoice AR-INV-7015"/>
    <x v="2"/>
    <s v="Assets"/>
    <n v="38220.910000000003"/>
    <x v="2"/>
    <d v="2025-01-01T00:00:00"/>
  </r>
  <r>
    <s v="GL-60"/>
    <d v="2025-01-16T00:00:00"/>
    <n v="4010"/>
    <n v="0"/>
    <n v="38220.910000000003"/>
    <s v="Sales for Invoice AR-INV-7015"/>
    <x v="3"/>
    <s v="Revenue"/>
    <n v="-38220.910000000003"/>
    <x v="2"/>
    <d v="2025-01-01T00:00:00"/>
  </r>
  <r>
    <s v="GL-1861"/>
    <d v="2025-01-19T00:00:00"/>
    <n v="5010"/>
    <n v="14680.35"/>
    <n v="0"/>
    <s v="COGS for Invoice AP-INV-5466"/>
    <x v="0"/>
    <s v="Expenses"/>
    <n v="14680.35"/>
    <x v="2"/>
    <d v="2025-01-01T00:00:00"/>
  </r>
  <r>
    <s v="GL-1862"/>
    <d v="2025-01-19T00:00:00"/>
    <n v="2010"/>
    <n v="0"/>
    <n v="14680.35"/>
    <s v="AP for Invoice AP-INV-5466"/>
    <x v="1"/>
    <s v="Liabilities"/>
    <n v="-14680.35"/>
    <x v="2"/>
    <d v="2025-01-01T00:00:00"/>
  </r>
  <r>
    <s v="GL-37"/>
    <d v="2025-01-21T00:00:00"/>
    <n v="5010"/>
    <n v="19312.759999999998"/>
    <n v="0"/>
    <s v="COGS for Invoice AP-INV-5010"/>
    <x v="0"/>
    <s v="Expenses"/>
    <n v="19312.759999999998"/>
    <x v="2"/>
    <d v="2025-01-01T00:00:00"/>
  </r>
  <r>
    <s v="GL-38"/>
    <d v="2025-01-21T00:00:00"/>
    <n v="2010"/>
    <n v="0"/>
    <n v="19312.759999999998"/>
    <s v="AP for Invoice AP-INV-5010"/>
    <x v="1"/>
    <s v="Liabilities"/>
    <n v="-19312.759999999998"/>
    <x v="2"/>
    <d v="2025-01-01T00:00:00"/>
  </r>
  <r>
    <s v="GL-565"/>
    <d v="2025-01-21T00:00:00"/>
    <n v="5010"/>
    <n v="10252.540000000001"/>
    <n v="0"/>
    <s v="COGS for Invoice AP-INV-5142"/>
    <x v="0"/>
    <s v="Expenses"/>
    <n v="10252.540000000001"/>
    <x v="2"/>
    <d v="2025-01-01T00:00:00"/>
  </r>
  <r>
    <s v="GL-566"/>
    <d v="2025-01-21T00:00:00"/>
    <n v="2010"/>
    <n v="0"/>
    <n v="10252.540000000001"/>
    <s v="AP for Invoice AP-INV-5142"/>
    <x v="1"/>
    <s v="Liabilities"/>
    <n v="-10252.540000000001"/>
    <x v="2"/>
    <d v="2025-01-01T00:00:00"/>
  </r>
  <r>
    <s v="GL-907"/>
    <d v="2025-01-22T00:00:00"/>
    <n v="1200"/>
    <n v="12964.8"/>
    <n v="0"/>
    <s v="AR for Invoice AR-INV-7227"/>
    <x v="2"/>
    <s v="Assets"/>
    <n v="12964.8"/>
    <x v="2"/>
    <d v="2025-01-01T00:00:00"/>
  </r>
  <r>
    <s v="GL-908"/>
    <d v="2025-01-22T00:00:00"/>
    <n v="4010"/>
    <n v="0"/>
    <n v="12964.8"/>
    <s v="Sales for Invoice AR-INV-7227"/>
    <x v="3"/>
    <s v="Revenue"/>
    <n v="-12964.8"/>
    <x v="2"/>
    <d v="2025-01-01T00:00:00"/>
  </r>
  <r>
    <s v="GL-1671"/>
    <d v="2025-01-23T00:00:00"/>
    <n v="1200"/>
    <n v="41218.36"/>
    <n v="0"/>
    <s v="AR for Invoice AR-INV-7418"/>
    <x v="2"/>
    <s v="Assets"/>
    <n v="41218.36"/>
    <x v="2"/>
    <d v="2025-01-01T00:00:00"/>
  </r>
  <r>
    <s v="GL-1672"/>
    <d v="2025-01-23T00:00:00"/>
    <n v="4010"/>
    <n v="0"/>
    <n v="41218.36"/>
    <s v="Sales for Invoice AR-INV-7418"/>
    <x v="3"/>
    <s v="Revenue"/>
    <n v="-41218.36"/>
    <x v="2"/>
    <d v="2025-01-01T00:00:00"/>
  </r>
  <r>
    <s v="GL-671"/>
    <d v="2025-01-26T00:00:00"/>
    <n v="1200"/>
    <n v="10770.28"/>
    <n v="0"/>
    <s v="AR for Invoice AR-INV-7168"/>
    <x v="2"/>
    <s v="Assets"/>
    <n v="10770.28"/>
    <x v="2"/>
    <d v="2025-01-01T00:00:00"/>
  </r>
  <r>
    <s v="GL-672"/>
    <d v="2025-01-26T00:00:00"/>
    <n v="4010"/>
    <n v="0"/>
    <n v="10770.28"/>
    <s v="Sales for Invoice AR-INV-7168"/>
    <x v="3"/>
    <s v="Revenue"/>
    <n v="-10770.28"/>
    <x v="2"/>
    <d v="2025-01-01T00:00:00"/>
  </r>
  <r>
    <s v="GL-1043"/>
    <d v="2025-01-31T00:00:00"/>
    <n v="1200"/>
    <n v="49599.07"/>
    <n v="0"/>
    <s v="AR for Invoice AR-INV-7261"/>
    <x v="2"/>
    <s v="Assets"/>
    <n v="49599.07"/>
    <x v="2"/>
    <d v="2025-01-01T00:00:00"/>
  </r>
  <r>
    <s v="GL-1044"/>
    <d v="2025-01-31T00:00:00"/>
    <n v="4010"/>
    <n v="0"/>
    <n v="49599.07"/>
    <s v="Sales for Invoice AR-INV-7261"/>
    <x v="3"/>
    <s v="Revenue"/>
    <n v="-49599.07"/>
    <x v="2"/>
    <d v="2025-01-01T00:00:00"/>
  </r>
  <r>
    <s v="GL-1515"/>
    <d v="2025-01-31T00:00:00"/>
    <n v="1200"/>
    <n v="37201.08"/>
    <n v="0"/>
    <s v="AR for Invoice AR-INV-7379"/>
    <x v="2"/>
    <s v="Assets"/>
    <n v="37201.08"/>
    <x v="2"/>
    <d v="2025-01-01T00:00:00"/>
  </r>
  <r>
    <s v="GL-1516"/>
    <d v="2025-01-31T00:00:00"/>
    <n v="4010"/>
    <n v="0"/>
    <n v="37201.08"/>
    <s v="Sales for Invoice AR-INV-7379"/>
    <x v="3"/>
    <s v="Revenue"/>
    <n v="-37201.08"/>
    <x v="2"/>
    <d v="2025-01-01T00:00:00"/>
  </r>
  <r>
    <s v="GL-73"/>
    <d v="2025-01-31T00:00:00"/>
    <n v="5010"/>
    <n v="12272.86"/>
    <n v="0"/>
    <s v="COGS for Invoice AP-INV-5019"/>
    <x v="0"/>
    <s v="Expenses"/>
    <n v="12272.86"/>
    <x v="2"/>
    <d v="2025-01-01T00:00:00"/>
  </r>
  <r>
    <s v="GL-74"/>
    <d v="2025-01-31T00:00:00"/>
    <n v="2010"/>
    <n v="0"/>
    <n v="12272.86"/>
    <s v="AP for Invoice AP-INV-5019"/>
    <x v="1"/>
    <s v="Liabilities"/>
    <n v="-12272.86"/>
    <x v="2"/>
    <d v="2025-01-01T00:00:00"/>
  </r>
  <r>
    <s v="GL-17"/>
    <d v="2025-02-04T00:00:00"/>
    <n v="5010"/>
    <n v="4295.97"/>
    <n v="0"/>
    <s v="COGS for Invoice AP-INV-5005"/>
    <x v="0"/>
    <s v="Expenses"/>
    <n v="4295.97"/>
    <x v="2"/>
    <d v="2025-02-01T00:00:00"/>
  </r>
  <r>
    <s v="GL-1719"/>
    <d v="2025-02-04T00:00:00"/>
    <n v="1200"/>
    <n v="16905.75"/>
    <n v="0"/>
    <s v="AR for Invoice AR-INV-7430"/>
    <x v="2"/>
    <s v="Assets"/>
    <n v="16905.75"/>
    <x v="2"/>
    <d v="2025-02-01T00:00:00"/>
  </r>
  <r>
    <s v="GL-1720"/>
    <d v="2025-02-04T00:00:00"/>
    <n v="4010"/>
    <n v="0"/>
    <n v="16905.75"/>
    <s v="Sales for Invoice AR-INV-7430"/>
    <x v="3"/>
    <s v="Revenue"/>
    <n v="-16905.75"/>
    <x v="2"/>
    <d v="2025-02-01T00:00:00"/>
  </r>
  <r>
    <s v="GL-18"/>
    <d v="2025-02-04T00:00:00"/>
    <n v="2010"/>
    <n v="0"/>
    <n v="4295.97"/>
    <s v="AP for Invoice AP-INV-5005"/>
    <x v="1"/>
    <s v="Liabilities"/>
    <n v="-4295.97"/>
    <x v="2"/>
    <d v="2025-02-01T00:00:00"/>
  </r>
  <r>
    <s v="GL-533"/>
    <d v="2025-02-06T00:00:00"/>
    <n v="5010"/>
    <n v="2194.25"/>
    <n v="0"/>
    <s v="COGS for Invoice AP-INV-5134"/>
    <x v="0"/>
    <s v="Expenses"/>
    <n v="2194.25"/>
    <x v="2"/>
    <d v="2025-02-01T00:00:00"/>
  </r>
  <r>
    <s v="GL-534"/>
    <d v="2025-02-06T00:00:00"/>
    <n v="2010"/>
    <n v="0"/>
    <n v="2194.25"/>
    <s v="AP for Invoice AP-INV-5134"/>
    <x v="1"/>
    <s v="Liabilities"/>
    <n v="-2194.25"/>
    <x v="2"/>
    <d v="2025-02-01T00:00:00"/>
  </r>
  <r>
    <s v="GL-1775"/>
    <d v="2025-02-08T00:00:00"/>
    <n v="1200"/>
    <n v="14125.27"/>
    <n v="0"/>
    <s v="AR for Invoice AR-INV-7444"/>
    <x v="2"/>
    <s v="Assets"/>
    <n v="14125.27"/>
    <x v="2"/>
    <d v="2025-02-01T00:00:00"/>
  </r>
  <r>
    <s v="GL-1776"/>
    <d v="2025-02-08T00:00:00"/>
    <n v="4010"/>
    <n v="0"/>
    <n v="14125.27"/>
    <s v="Sales for Invoice AR-INV-7444"/>
    <x v="3"/>
    <s v="Revenue"/>
    <n v="-14125.27"/>
    <x v="2"/>
    <d v="2025-02-01T00:00:00"/>
  </r>
  <r>
    <s v="GL-1319"/>
    <d v="2025-02-11T00:00:00"/>
    <n v="1200"/>
    <n v="30945.86"/>
    <n v="0"/>
    <s v="AR for Invoice AR-INV-7330"/>
    <x v="2"/>
    <s v="Assets"/>
    <n v="30945.86"/>
    <x v="2"/>
    <d v="2025-02-01T00:00:00"/>
  </r>
  <r>
    <s v="GL-1320"/>
    <d v="2025-02-11T00:00:00"/>
    <n v="4010"/>
    <n v="0"/>
    <n v="30945.86"/>
    <s v="Sales for Invoice AR-INV-7330"/>
    <x v="3"/>
    <s v="Revenue"/>
    <n v="-30945.86"/>
    <x v="2"/>
    <d v="2025-02-01T00:00:00"/>
  </r>
  <r>
    <s v="GL-69"/>
    <d v="2025-02-11T00:00:00"/>
    <n v="5010"/>
    <n v="5753.21"/>
    <n v="0"/>
    <s v="COGS for Invoice AP-INV-5018"/>
    <x v="0"/>
    <s v="Expenses"/>
    <n v="5753.21"/>
    <x v="2"/>
    <d v="2025-02-01T00:00:00"/>
  </r>
  <r>
    <s v="GL-70"/>
    <d v="2025-02-11T00:00:00"/>
    <n v="2010"/>
    <n v="0"/>
    <n v="5753.21"/>
    <s v="AP for Invoice AP-INV-5018"/>
    <x v="1"/>
    <s v="Liabilities"/>
    <n v="-5753.21"/>
    <x v="2"/>
    <d v="2025-02-01T00:00:00"/>
  </r>
  <r>
    <s v="GL-1765"/>
    <d v="2025-02-15T00:00:00"/>
    <n v="5010"/>
    <n v="12181.96"/>
    <n v="0"/>
    <s v="COGS for Invoice AP-INV-5442"/>
    <x v="0"/>
    <s v="Expenses"/>
    <n v="12181.96"/>
    <x v="2"/>
    <d v="2025-02-01T00:00:00"/>
  </r>
  <r>
    <s v="GL-1766"/>
    <d v="2025-02-15T00:00:00"/>
    <n v="2010"/>
    <n v="0"/>
    <n v="12181.96"/>
    <s v="AP for Invoice AP-INV-5442"/>
    <x v="1"/>
    <s v="Liabilities"/>
    <n v="-12181.96"/>
    <x v="2"/>
    <d v="2025-02-01T00:00:00"/>
  </r>
  <r>
    <s v="GL-745"/>
    <d v="2025-02-15T00:00:00"/>
    <n v="5010"/>
    <n v="11229.91"/>
    <n v="0"/>
    <s v="COGS for Invoice AP-INV-5187"/>
    <x v="0"/>
    <s v="Expenses"/>
    <n v="11229.91"/>
    <x v="2"/>
    <d v="2025-02-01T00:00:00"/>
  </r>
  <r>
    <s v="GL-746"/>
    <d v="2025-02-15T00:00:00"/>
    <n v="2010"/>
    <n v="0"/>
    <n v="11229.91"/>
    <s v="AP for Invoice AP-INV-5187"/>
    <x v="1"/>
    <s v="Liabilities"/>
    <n v="-11229.91"/>
    <x v="2"/>
    <d v="2025-02-01T00:00:00"/>
  </r>
  <r>
    <s v="GL-147"/>
    <d v="2025-02-19T00:00:00"/>
    <n v="1200"/>
    <n v="18324.34"/>
    <n v="0"/>
    <s v="AR for Invoice AR-INV-7037"/>
    <x v="2"/>
    <s v="Assets"/>
    <n v="18324.34"/>
    <x v="2"/>
    <d v="2025-02-01T00:00:00"/>
  </r>
  <r>
    <s v="GL-148"/>
    <d v="2025-02-19T00:00:00"/>
    <n v="4010"/>
    <n v="0"/>
    <n v="18324.34"/>
    <s v="Sales for Invoice AR-INV-7037"/>
    <x v="3"/>
    <s v="Revenue"/>
    <n v="-18324.34"/>
    <x v="2"/>
    <d v="2025-02-01T00:00:00"/>
  </r>
  <r>
    <s v="GL-1367"/>
    <d v="2025-02-22T00:00:00"/>
    <n v="1200"/>
    <n v="33527.08"/>
    <n v="0"/>
    <s v="AR for Invoice AR-INV-7342"/>
    <x v="2"/>
    <s v="Assets"/>
    <n v="33527.08"/>
    <x v="2"/>
    <d v="2025-02-01T00:00:00"/>
  </r>
  <r>
    <s v="GL-1368"/>
    <d v="2025-02-22T00:00:00"/>
    <n v="4010"/>
    <n v="0"/>
    <n v="33527.08"/>
    <s v="Sales for Invoice AR-INV-7342"/>
    <x v="3"/>
    <s v="Revenue"/>
    <n v="-33527.08"/>
    <x v="2"/>
    <d v="2025-02-01T00:00:00"/>
  </r>
  <r>
    <s v="GL-871"/>
    <d v="2025-02-23T00:00:00"/>
    <n v="1200"/>
    <n v="30407.79"/>
    <n v="0"/>
    <s v="AR for Invoice AR-INV-7218"/>
    <x v="2"/>
    <s v="Assets"/>
    <n v="30407.79"/>
    <x v="2"/>
    <d v="2025-02-01T00:00:00"/>
  </r>
  <r>
    <s v="GL-872"/>
    <d v="2025-02-23T00:00:00"/>
    <n v="4010"/>
    <n v="0"/>
    <n v="30407.79"/>
    <s v="Sales for Invoice AR-INV-7218"/>
    <x v="3"/>
    <s v="Revenue"/>
    <n v="-30407.79"/>
    <x v="2"/>
    <d v="2025-02-01T00:00:00"/>
  </r>
  <r>
    <s v="GL-1455"/>
    <d v="2025-02-24T00:00:00"/>
    <n v="1200"/>
    <n v="7962.39"/>
    <n v="0"/>
    <s v="AR for Invoice AR-INV-7364"/>
    <x v="2"/>
    <s v="Assets"/>
    <n v="7962.39"/>
    <x v="2"/>
    <d v="2025-02-01T00:00:00"/>
  </r>
  <r>
    <s v="GL-1456"/>
    <d v="2025-02-24T00:00:00"/>
    <n v="4010"/>
    <n v="0"/>
    <n v="7962.39"/>
    <s v="Sales for Invoice AR-INV-7364"/>
    <x v="3"/>
    <s v="Revenue"/>
    <n v="-7962.39"/>
    <x v="2"/>
    <d v="2025-02-01T00:00:00"/>
  </r>
  <r>
    <s v="GL-225"/>
    <d v="2025-02-25T00:00:00"/>
    <n v="5010"/>
    <n v="19367.54"/>
    <n v="0"/>
    <s v="COGS for Invoice AP-INV-5057"/>
    <x v="0"/>
    <s v="Expenses"/>
    <n v="19367.54"/>
    <x v="2"/>
    <d v="2025-02-01T00:00:00"/>
  </r>
  <r>
    <s v="GL-226"/>
    <d v="2025-02-25T00:00:00"/>
    <n v="2010"/>
    <n v="0"/>
    <n v="19367.54"/>
    <s v="AP for Invoice AP-INV-5057"/>
    <x v="1"/>
    <s v="Liabilities"/>
    <n v="-19367.54"/>
    <x v="2"/>
    <d v="2025-02-01T00:00:00"/>
  </r>
  <r>
    <s v="GL-993"/>
    <d v="2025-02-25T00:00:00"/>
    <n v="5010"/>
    <n v="11142.55"/>
    <n v="0"/>
    <s v="COGS for Invoice AP-INV-5249"/>
    <x v="0"/>
    <s v="Expenses"/>
    <n v="11142.55"/>
    <x v="2"/>
    <d v="2025-02-01T00:00:00"/>
  </r>
  <r>
    <s v="GL-994"/>
    <d v="2025-02-25T00:00:00"/>
    <n v="2010"/>
    <n v="0"/>
    <n v="11142.55"/>
    <s v="AP for Invoice AP-INV-5249"/>
    <x v="1"/>
    <s v="Liabilities"/>
    <n v="-11142.55"/>
    <x v="2"/>
    <d v="2025-02-01T00:00:00"/>
  </r>
  <r>
    <s v="GL-1657"/>
    <d v="2025-02-27T00:00:00"/>
    <n v="5010"/>
    <n v="5015.43"/>
    <n v="0"/>
    <s v="COGS for Invoice AP-INV-5415"/>
    <x v="0"/>
    <s v="Expenses"/>
    <n v="5015.43"/>
    <x v="2"/>
    <d v="2025-02-01T00:00:00"/>
  </r>
  <r>
    <s v="GL-1658"/>
    <d v="2025-02-27T00:00:00"/>
    <n v="2010"/>
    <n v="0"/>
    <n v="5015.43"/>
    <s v="AP for Invoice AP-INV-5415"/>
    <x v="1"/>
    <s v="Liabilities"/>
    <n v="-5015.43"/>
    <x v="2"/>
    <d v="2025-02-01T00:00:00"/>
  </r>
  <r>
    <s v="GL-1707"/>
    <d v="2025-02-27T00:00:00"/>
    <n v="1200"/>
    <n v="18361.830000000002"/>
    <n v="0"/>
    <s v="AR for Invoice AR-INV-7427"/>
    <x v="2"/>
    <s v="Assets"/>
    <n v="18361.830000000002"/>
    <x v="2"/>
    <d v="2025-02-01T00:00:00"/>
  </r>
  <r>
    <s v="GL-1708"/>
    <d v="2025-02-27T00:00:00"/>
    <n v="4010"/>
    <n v="0"/>
    <n v="18361.830000000002"/>
    <s v="Sales for Invoice AR-INV-7427"/>
    <x v="3"/>
    <s v="Revenue"/>
    <n v="-18361.830000000002"/>
    <x v="2"/>
    <d v="2025-02-01T00:00:00"/>
  </r>
  <r>
    <s v="GL-481"/>
    <d v="2025-03-02T00:00:00"/>
    <n v="5010"/>
    <n v="1961.22"/>
    <n v="0"/>
    <s v="COGS for Invoice AP-INV-5121"/>
    <x v="0"/>
    <s v="Expenses"/>
    <n v="1961.22"/>
    <x v="2"/>
    <d v="2025-03-01T00:00:00"/>
  </r>
  <r>
    <s v="GL-482"/>
    <d v="2025-03-02T00:00:00"/>
    <n v="2010"/>
    <n v="0"/>
    <n v="1961.22"/>
    <s v="AP for Invoice AP-INV-5121"/>
    <x v="1"/>
    <s v="Liabilities"/>
    <n v="-1961.22"/>
    <x v="2"/>
    <d v="2025-03-01T00:00:00"/>
  </r>
  <r>
    <s v="GL-1721"/>
    <d v="2025-03-04T00:00:00"/>
    <n v="5010"/>
    <n v="2556.46"/>
    <n v="0"/>
    <s v="COGS for Invoice AP-INV-5431"/>
    <x v="0"/>
    <s v="Expenses"/>
    <n v="2556.46"/>
    <x v="2"/>
    <d v="2025-03-01T00:00:00"/>
  </r>
  <r>
    <s v="GL-1722"/>
    <d v="2025-03-04T00:00:00"/>
    <n v="2010"/>
    <n v="0"/>
    <n v="2556.46"/>
    <s v="AP for Invoice AP-INV-5431"/>
    <x v="1"/>
    <s v="Liabilities"/>
    <n v="-2556.46"/>
    <x v="2"/>
    <d v="2025-03-01T00:00:00"/>
  </r>
  <r>
    <s v="GL-1787"/>
    <d v="2025-03-04T00:00:00"/>
    <n v="1200"/>
    <n v="19872.169999999998"/>
    <n v="0"/>
    <s v="AR for Invoice AR-INV-7447"/>
    <x v="2"/>
    <s v="Assets"/>
    <n v="19872.169999999998"/>
    <x v="2"/>
    <d v="2025-03-01T00:00:00"/>
  </r>
  <r>
    <s v="GL-1788"/>
    <d v="2025-03-04T00:00:00"/>
    <n v="4010"/>
    <n v="0"/>
    <n v="19872.169999999998"/>
    <s v="Sales for Invoice AR-INV-7447"/>
    <x v="3"/>
    <s v="Revenue"/>
    <n v="-19872.169999999998"/>
    <x v="2"/>
    <d v="2025-03-01T00:00:00"/>
  </r>
  <r>
    <s v="GL-961"/>
    <d v="2025-03-07T00:00:00"/>
    <n v="5010"/>
    <n v="1781.44"/>
    <n v="0"/>
    <s v="COGS for Invoice AP-INV-5241"/>
    <x v="0"/>
    <s v="Expenses"/>
    <n v="1781.44"/>
    <x v="2"/>
    <d v="2025-03-01T00:00:00"/>
  </r>
  <r>
    <s v="GL-962"/>
    <d v="2025-03-07T00:00:00"/>
    <n v="2010"/>
    <n v="0"/>
    <n v="1781.44"/>
    <s v="AP for Invoice AP-INV-5241"/>
    <x v="1"/>
    <s v="Liabilities"/>
    <n v="-1781.44"/>
    <x v="2"/>
    <d v="2025-03-01T00:00:00"/>
  </r>
  <r>
    <s v="GL-1437"/>
    <d v="2025-03-10T00:00:00"/>
    <n v="5010"/>
    <n v="4092.47"/>
    <n v="0"/>
    <s v="COGS for Invoice AP-INV-5360"/>
    <x v="0"/>
    <s v="Expenses"/>
    <n v="4092.47"/>
    <x v="2"/>
    <d v="2025-03-01T00:00:00"/>
  </r>
  <r>
    <s v="GL-1438"/>
    <d v="2025-03-10T00:00:00"/>
    <n v="2010"/>
    <n v="0"/>
    <n v="4092.47"/>
    <s v="AP for Invoice AP-INV-5360"/>
    <x v="1"/>
    <s v="Liabilities"/>
    <n v="-4092.47"/>
    <x v="2"/>
    <d v="2025-03-01T00:00:00"/>
  </r>
  <r>
    <s v="GL-825"/>
    <d v="2025-03-10T00:00:00"/>
    <n v="5010"/>
    <n v="11785.07"/>
    <n v="0"/>
    <s v="COGS for Invoice AP-INV-5207"/>
    <x v="0"/>
    <s v="Expenses"/>
    <n v="11785.07"/>
    <x v="2"/>
    <d v="2025-03-01T00:00:00"/>
  </r>
  <r>
    <s v="GL-826"/>
    <d v="2025-03-10T00:00:00"/>
    <n v="2010"/>
    <n v="0"/>
    <n v="11785.07"/>
    <s v="AP for Invoice AP-INV-5207"/>
    <x v="1"/>
    <s v="Liabilities"/>
    <n v="-11785.07"/>
    <x v="2"/>
    <d v="2025-03-01T00:00:00"/>
  </r>
  <r>
    <s v="GL-735"/>
    <d v="2025-03-12T00:00:00"/>
    <n v="1200"/>
    <n v="24363.47"/>
    <n v="0"/>
    <s v="AR for Invoice AR-INV-7184"/>
    <x v="2"/>
    <s v="Assets"/>
    <n v="24363.47"/>
    <x v="2"/>
    <d v="2025-03-01T00:00:00"/>
  </r>
  <r>
    <s v="GL-736"/>
    <d v="2025-03-12T00:00:00"/>
    <n v="4010"/>
    <n v="0"/>
    <n v="24363.47"/>
    <s v="Sales for Invoice AR-INV-7184"/>
    <x v="3"/>
    <s v="Revenue"/>
    <n v="-24363.47"/>
    <x v="2"/>
    <d v="2025-03-01T00:00:00"/>
  </r>
  <r>
    <s v="GL-1365"/>
    <d v="2025-03-17T00:00:00"/>
    <n v="5010"/>
    <n v="17587.29"/>
    <n v="0"/>
    <s v="COGS for Invoice AP-INV-5342"/>
    <x v="0"/>
    <s v="Expenses"/>
    <n v="17587.29"/>
    <x v="2"/>
    <d v="2025-03-01T00:00:00"/>
  </r>
  <r>
    <s v="GL-1366"/>
    <d v="2025-03-17T00:00:00"/>
    <n v="2010"/>
    <n v="0"/>
    <n v="17587.29"/>
    <s v="AP for Invoice AP-INV-5342"/>
    <x v="1"/>
    <s v="Liabilities"/>
    <n v="-17587.29"/>
    <x v="2"/>
    <d v="2025-03-01T00:00:00"/>
  </r>
  <r>
    <s v="GL-255"/>
    <d v="2025-03-17T00:00:00"/>
    <n v="1200"/>
    <n v="16563.46"/>
    <n v="0"/>
    <s v="AR for Invoice AR-INV-7064"/>
    <x v="2"/>
    <s v="Assets"/>
    <n v="16563.46"/>
    <x v="2"/>
    <d v="2025-03-01T00:00:00"/>
  </r>
  <r>
    <s v="GL-256"/>
    <d v="2025-03-17T00:00:00"/>
    <n v="4010"/>
    <n v="0"/>
    <n v="16563.46"/>
    <s v="Sales for Invoice AR-INV-7064"/>
    <x v="3"/>
    <s v="Revenue"/>
    <n v="-16563.46"/>
    <x v="2"/>
    <d v="2025-03-01T00:00:00"/>
  </r>
  <r>
    <s v="GL-1507"/>
    <d v="2025-03-18T00:00:00"/>
    <n v="1200"/>
    <n v="4628.05"/>
    <n v="0"/>
    <s v="AR for Invoice AR-INV-7377"/>
    <x v="2"/>
    <s v="Assets"/>
    <n v="4628.05"/>
    <x v="2"/>
    <d v="2025-03-01T00:00:00"/>
  </r>
  <r>
    <s v="GL-1508"/>
    <d v="2025-03-18T00:00:00"/>
    <n v="4010"/>
    <n v="0"/>
    <n v="4628.05"/>
    <s v="Sales for Invoice AR-INV-7377"/>
    <x v="3"/>
    <s v="Revenue"/>
    <n v="-4628.05"/>
    <x v="2"/>
    <d v="2025-03-01T00:00:00"/>
  </r>
  <r>
    <s v="GL-1929"/>
    <d v="2025-03-18T00:00:00"/>
    <n v="5010"/>
    <n v="5192.1899999999996"/>
    <n v="0"/>
    <s v="COGS for Invoice AP-INV-5483"/>
    <x v="0"/>
    <s v="Expenses"/>
    <n v="5192.1899999999996"/>
    <x v="2"/>
    <d v="2025-03-01T00:00:00"/>
  </r>
  <r>
    <s v="GL-1930"/>
    <d v="2025-03-18T00:00:00"/>
    <n v="2010"/>
    <n v="0"/>
    <n v="5192.1899999999996"/>
    <s v="AP for Invoice AP-INV-5483"/>
    <x v="1"/>
    <s v="Liabilities"/>
    <n v="-5192.1899999999996"/>
    <x v="2"/>
    <d v="2025-03-01T00:00:00"/>
  </r>
  <r>
    <s v="GL-1551"/>
    <d v="2025-03-22T00:00:00"/>
    <n v="1200"/>
    <n v="36732.07"/>
    <n v="0"/>
    <s v="AR for Invoice AR-INV-7388"/>
    <x v="2"/>
    <s v="Assets"/>
    <n v="36732.07"/>
    <x v="2"/>
    <d v="2025-03-01T00:00:00"/>
  </r>
  <r>
    <s v="GL-1552"/>
    <d v="2025-03-22T00:00:00"/>
    <n v="4010"/>
    <n v="0"/>
    <n v="36732.07"/>
    <s v="Sales for Invoice AR-INV-7388"/>
    <x v="3"/>
    <s v="Revenue"/>
    <n v="-36732.07"/>
    <x v="2"/>
    <d v="2025-03-01T00:00:00"/>
  </r>
  <r>
    <s v="GL-1655"/>
    <d v="2025-03-26T00:00:00"/>
    <n v="1200"/>
    <n v="28785.360000000001"/>
    <n v="0"/>
    <s v="AR for Invoice AR-INV-7414"/>
    <x v="2"/>
    <s v="Assets"/>
    <n v="28785.360000000001"/>
    <x v="2"/>
    <d v="2025-03-01T00:00:00"/>
  </r>
  <r>
    <s v="GL-1656"/>
    <d v="2025-03-26T00:00:00"/>
    <n v="4010"/>
    <n v="0"/>
    <n v="28785.360000000001"/>
    <s v="Sales for Invoice AR-INV-7414"/>
    <x v="3"/>
    <s v="Revenue"/>
    <n v="-28785.360000000001"/>
    <x v="2"/>
    <d v="2025-03-01T00:00:00"/>
  </r>
  <r>
    <s v="GL-1453"/>
    <d v="2025-03-27T00:00:00"/>
    <n v="5010"/>
    <n v="16353.16"/>
    <n v="0"/>
    <s v="COGS for Invoice AP-INV-5364"/>
    <x v="0"/>
    <s v="Expenses"/>
    <n v="16353.16"/>
    <x v="2"/>
    <d v="2025-03-01T00:00:00"/>
  </r>
  <r>
    <s v="GL-1454"/>
    <d v="2025-03-27T00:00:00"/>
    <n v="2010"/>
    <n v="0"/>
    <n v="16353.16"/>
    <s v="AP for Invoice AP-INV-5364"/>
    <x v="1"/>
    <s v="Liabilities"/>
    <n v="-16353.16"/>
    <x v="2"/>
    <d v="2025-03-01T00:00:00"/>
  </r>
  <r>
    <s v="GL-975"/>
    <d v="2025-03-27T00:00:00"/>
    <n v="1200"/>
    <n v="48957.64"/>
    <n v="0"/>
    <s v="AR for Invoice AR-INV-7244"/>
    <x v="2"/>
    <s v="Assets"/>
    <n v="48957.64"/>
    <x v="2"/>
    <d v="2025-03-01T00:00:00"/>
  </r>
  <r>
    <s v="GL-976"/>
    <d v="2025-03-27T00:00:00"/>
    <n v="4010"/>
    <n v="0"/>
    <n v="48957.64"/>
    <s v="Sales for Invoice AR-INV-7244"/>
    <x v="3"/>
    <s v="Revenue"/>
    <n v="-48957.64"/>
    <x v="2"/>
    <d v="2025-03-01T00:00:00"/>
  </r>
  <r>
    <s v="GL-1255"/>
    <d v="2025-03-28T00:00:00"/>
    <n v="1200"/>
    <n v="47062.3"/>
    <n v="0"/>
    <s v="AR for Invoice AR-INV-7314"/>
    <x v="2"/>
    <s v="Assets"/>
    <n v="47062.3"/>
    <x v="2"/>
    <d v="2025-03-01T00:00:00"/>
  </r>
  <r>
    <s v="GL-1256"/>
    <d v="2025-03-28T00:00:00"/>
    <n v="4010"/>
    <n v="0"/>
    <n v="47062.3"/>
    <s v="Sales for Invoice AR-INV-7314"/>
    <x v="3"/>
    <s v="Revenue"/>
    <n v="-47062.3"/>
    <x v="2"/>
    <d v="2025-03-01T00:00:00"/>
  </r>
  <r>
    <s v="GL-449"/>
    <d v="2025-03-29T00:00:00"/>
    <n v="5010"/>
    <n v="2924.65"/>
    <n v="0"/>
    <s v="COGS for Invoice AP-INV-5113"/>
    <x v="0"/>
    <s v="Expenses"/>
    <n v="2924.65"/>
    <x v="2"/>
    <d v="2025-03-01T00:00:00"/>
  </r>
  <r>
    <s v="GL-450"/>
    <d v="2025-03-29T00:00:00"/>
    <n v="2010"/>
    <n v="0"/>
    <n v="2924.65"/>
    <s v="AP for Invoice AP-INV-5113"/>
    <x v="1"/>
    <s v="Liabilities"/>
    <n v="-2924.65"/>
    <x v="2"/>
    <d v="2025-03-01T00:00:00"/>
  </r>
  <r>
    <s v="GL-1171"/>
    <d v="2025-04-01T00:00:00"/>
    <n v="1200"/>
    <n v="33320.870000000003"/>
    <n v="0"/>
    <s v="AR for Invoice AR-INV-7293"/>
    <x v="2"/>
    <s v="Assets"/>
    <n v="33320.870000000003"/>
    <x v="2"/>
    <d v="2025-04-01T00:00:00"/>
  </r>
  <r>
    <s v="GL-1172"/>
    <d v="2025-04-01T00:00:00"/>
    <n v="4010"/>
    <n v="0"/>
    <n v="33320.870000000003"/>
    <s v="Sales for Invoice AR-INV-7293"/>
    <x v="3"/>
    <s v="Revenue"/>
    <n v="-33320.870000000003"/>
    <x v="2"/>
    <d v="2025-04-01T00:00:00"/>
  </r>
  <r>
    <s v="GL-1885"/>
    <d v="2025-04-02T00:00:00"/>
    <n v="5010"/>
    <n v="11761.29"/>
    <n v="0"/>
    <s v="COGS for Invoice AP-INV-5472"/>
    <x v="0"/>
    <s v="Expenses"/>
    <n v="11761.29"/>
    <x v="2"/>
    <d v="2025-04-01T00:00:00"/>
  </r>
  <r>
    <s v="GL-1886"/>
    <d v="2025-04-02T00:00:00"/>
    <n v="2010"/>
    <n v="0"/>
    <n v="11761.29"/>
    <s v="AP for Invoice AP-INV-5472"/>
    <x v="1"/>
    <s v="Liabilities"/>
    <n v="-11761.29"/>
    <x v="2"/>
    <d v="2025-04-01T00:00:00"/>
  </r>
  <r>
    <s v="GL-1431"/>
    <d v="2025-04-07T00:00:00"/>
    <n v="1200"/>
    <n v="43416"/>
    <n v="0"/>
    <s v="AR for Invoice AR-INV-7358"/>
    <x v="2"/>
    <s v="Assets"/>
    <n v="43416"/>
    <x v="2"/>
    <d v="2025-04-01T00:00:00"/>
  </r>
  <r>
    <s v="GL-1432"/>
    <d v="2025-04-07T00:00:00"/>
    <n v="4010"/>
    <n v="0"/>
    <n v="43416"/>
    <s v="Sales for Invoice AR-INV-7358"/>
    <x v="3"/>
    <s v="Revenue"/>
    <n v="-43416"/>
    <x v="2"/>
    <d v="2025-04-01T00:00:00"/>
  </r>
  <r>
    <s v="GL-1595"/>
    <d v="2025-04-07T00:00:00"/>
    <n v="1200"/>
    <n v="13590.41"/>
    <n v="0"/>
    <s v="AR for Invoice AR-INV-7399"/>
    <x v="2"/>
    <s v="Assets"/>
    <n v="13590.41"/>
    <x v="2"/>
    <d v="2025-04-01T00:00:00"/>
  </r>
  <r>
    <s v="GL-1596"/>
    <d v="2025-04-07T00:00:00"/>
    <n v="4010"/>
    <n v="0"/>
    <n v="13590.41"/>
    <s v="Sales for Invoice AR-INV-7399"/>
    <x v="3"/>
    <s v="Revenue"/>
    <n v="-13590.41"/>
    <x v="2"/>
    <d v="2025-04-01T00:00:00"/>
  </r>
  <r>
    <s v="GL-287"/>
    <d v="2025-04-07T00:00:00"/>
    <n v="1200"/>
    <n v="41643.39"/>
    <n v="0"/>
    <s v="AR for Invoice AR-INV-7072"/>
    <x v="2"/>
    <s v="Assets"/>
    <n v="41643.39"/>
    <x v="2"/>
    <d v="2025-04-01T00:00:00"/>
  </r>
  <r>
    <s v="GL-288"/>
    <d v="2025-04-07T00:00:00"/>
    <n v="4010"/>
    <n v="0"/>
    <n v="41643.39"/>
    <s v="Sales for Invoice AR-INV-7072"/>
    <x v="3"/>
    <s v="Revenue"/>
    <n v="-41643.39"/>
    <x v="2"/>
    <d v="2025-04-01T00:00:00"/>
  </r>
  <r>
    <s v="GL-365"/>
    <d v="2025-04-08T00:00:00"/>
    <n v="5010"/>
    <n v="5538.67"/>
    <n v="0"/>
    <s v="COGS for Invoice AP-INV-5092"/>
    <x v="0"/>
    <s v="Expenses"/>
    <n v="5538.67"/>
    <x v="2"/>
    <d v="2025-04-01T00:00:00"/>
  </r>
  <r>
    <s v="GL-366"/>
    <d v="2025-04-08T00:00:00"/>
    <n v="2010"/>
    <n v="0"/>
    <n v="5538.67"/>
    <s v="AP for Invoice AP-INV-5092"/>
    <x v="1"/>
    <s v="Liabilities"/>
    <n v="-5538.67"/>
    <x v="2"/>
    <d v="2025-04-01T00:00:00"/>
  </r>
  <r>
    <s v="GL-413"/>
    <d v="2025-04-10T00:00:00"/>
    <n v="5010"/>
    <n v="950.54"/>
    <n v="0"/>
    <s v="COGS for Invoice AP-INV-5104"/>
    <x v="0"/>
    <s v="Expenses"/>
    <n v="950.54"/>
    <x v="2"/>
    <d v="2025-04-01T00:00:00"/>
  </r>
  <r>
    <s v="GL-414"/>
    <d v="2025-04-10T00:00:00"/>
    <n v="2010"/>
    <n v="0"/>
    <n v="950.54"/>
    <s v="AP for Invoice AP-INV-5104"/>
    <x v="1"/>
    <s v="Liabilities"/>
    <n v="-950.54"/>
    <x v="2"/>
    <d v="2025-04-01T00:00:00"/>
  </r>
  <r>
    <s v="GL-493"/>
    <d v="2025-04-10T00:00:00"/>
    <n v="5010"/>
    <n v="19411.95"/>
    <n v="0"/>
    <s v="COGS for Invoice AP-INV-5124"/>
    <x v="0"/>
    <s v="Expenses"/>
    <n v="19411.95"/>
    <x v="2"/>
    <d v="2025-04-01T00:00:00"/>
  </r>
  <r>
    <s v="GL-494"/>
    <d v="2025-04-10T00:00:00"/>
    <n v="2010"/>
    <n v="0"/>
    <n v="19411.95"/>
    <s v="AP for Invoice AP-INV-5124"/>
    <x v="1"/>
    <s v="Liabilities"/>
    <n v="-19411.95"/>
    <x v="2"/>
    <d v="2025-04-01T00:00:00"/>
  </r>
  <r>
    <s v="GL-385"/>
    <d v="2025-04-13T00:00:00"/>
    <n v="5010"/>
    <n v="6408.87"/>
    <n v="0"/>
    <s v="COGS for Invoice AP-INV-5097"/>
    <x v="0"/>
    <s v="Expenses"/>
    <n v="6408.87"/>
    <x v="2"/>
    <d v="2025-04-01T00:00:00"/>
  </r>
  <r>
    <s v="GL-386"/>
    <d v="2025-04-13T00:00:00"/>
    <n v="2010"/>
    <n v="0"/>
    <n v="6408.87"/>
    <s v="AP for Invoice AP-INV-5097"/>
    <x v="1"/>
    <s v="Liabilities"/>
    <n v="-6408.87"/>
    <x v="2"/>
    <d v="2025-04-01T00:00:00"/>
  </r>
  <r>
    <s v="GL-1607"/>
    <d v="2025-04-14T00:00:00"/>
    <n v="1200"/>
    <n v="12128.12"/>
    <n v="0"/>
    <s v="AR for Invoice AR-INV-7402"/>
    <x v="2"/>
    <s v="Assets"/>
    <n v="12128.12"/>
    <x v="2"/>
    <d v="2025-04-01T00:00:00"/>
  </r>
  <r>
    <s v="GL-1608"/>
    <d v="2025-04-14T00:00:00"/>
    <n v="4010"/>
    <n v="0"/>
    <n v="12128.12"/>
    <s v="Sales for Invoice AR-INV-7402"/>
    <x v="3"/>
    <s v="Revenue"/>
    <n v="-12128.12"/>
    <x v="2"/>
    <d v="2025-04-01T00:00:00"/>
  </r>
  <r>
    <s v="GL-1079"/>
    <d v="2025-04-16T00:00:00"/>
    <n v="1200"/>
    <n v="1170.29"/>
    <n v="0"/>
    <s v="AR for Invoice AR-INV-7270"/>
    <x v="2"/>
    <s v="Assets"/>
    <n v="1170.29"/>
    <x v="2"/>
    <d v="2025-04-01T00:00:00"/>
  </r>
  <r>
    <s v="GL-1080"/>
    <d v="2025-04-16T00:00:00"/>
    <n v="4010"/>
    <n v="0"/>
    <n v="1170.29"/>
    <s v="Sales for Invoice AR-INV-7270"/>
    <x v="3"/>
    <s v="Revenue"/>
    <n v="-1170.29"/>
    <x v="2"/>
    <d v="2025-04-01T00:00:00"/>
  </r>
  <r>
    <s v="GL-1401"/>
    <d v="2025-04-17T00:00:00"/>
    <n v="5010"/>
    <n v="15117.32"/>
    <n v="0"/>
    <s v="COGS for Invoice AP-INV-5351"/>
    <x v="0"/>
    <s v="Expenses"/>
    <n v="15117.32"/>
    <x v="2"/>
    <d v="2025-04-01T00:00:00"/>
  </r>
  <r>
    <s v="GL-1402"/>
    <d v="2025-04-17T00:00:00"/>
    <n v="2010"/>
    <n v="0"/>
    <n v="15117.32"/>
    <s v="AP for Invoice AP-INV-5351"/>
    <x v="1"/>
    <s v="Liabilities"/>
    <n v="-15117.32"/>
    <x v="2"/>
    <d v="2025-04-01T00:00:00"/>
  </r>
  <r>
    <s v="GL-393"/>
    <d v="2025-04-17T00:00:00"/>
    <n v="5010"/>
    <n v="16120.1"/>
    <n v="0"/>
    <s v="COGS for Invoice AP-INV-5099"/>
    <x v="0"/>
    <s v="Expenses"/>
    <n v="16120.1"/>
    <x v="2"/>
    <d v="2025-04-01T00:00:00"/>
  </r>
  <r>
    <s v="GL-394"/>
    <d v="2025-04-17T00:00:00"/>
    <n v="2010"/>
    <n v="0"/>
    <n v="16120.1"/>
    <s v="AP for Invoice AP-INV-5099"/>
    <x v="1"/>
    <s v="Liabilities"/>
    <n v="-16120.1"/>
    <x v="2"/>
    <d v="2025-04-01T00:00:00"/>
  </r>
  <r>
    <s v="GL-311"/>
    <d v="2025-04-19T00:00:00"/>
    <n v="1200"/>
    <n v="27568.83"/>
    <n v="0"/>
    <s v="AR for Invoice AR-INV-7078"/>
    <x v="2"/>
    <s v="Assets"/>
    <n v="27568.83"/>
    <x v="2"/>
    <d v="2025-04-01T00:00:00"/>
  </r>
  <r>
    <s v="GL-312"/>
    <d v="2025-04-19T00:00:00"/>
    <n v="4010"/>
    <n v="0"/>
    <n v="27568.83"/>
    <s v="Sales for Invoice AR-INV-7078"/>
    <x v="3"/>
    <s v="Revenue"/>
    <n v="-27568.83"/>
    <x v="2"/>
    <d v="2025-04-01T00:00:00"/>
  </r>
  <r>
    <s v="GL-419"/>
    <d v="2025-04-20T00:00:00"/>
    <n v="1200"/>
    <n v="10828.69"/>
    <n v="0"/>
    <s v="AR for Invoice AR-INV-7105"/>
    <x v="2"/>
    <s v="Assets"/>
    <n v="10828.69"/>
    <x v="2"/>
    <d v="2025-04-01T00:00:00"/>
  </r>
  <r>
    <s v="GL-420"/>
    <d v="2025-04-20T00:00:00"/>
    <n v="4010"/>
    <n v="0"/>
    <n v="10828.69"/>
    <s v="Sales for Invoice AR-INV-7105"/>
    <x v="3"/>
    <s v="Revenue"/>
    <n v="-10828.69"/>
    <x v="2"/>
    <d v="2025-04-01T00:00:00"/>
  </r>
  <r>
    <s v="GL-1869"/>
    <d v="2025-04-26T00:00:00"/>
    <n v="5010"/>
    <n v="8647.08"/>
    <n v="0"/>
    <s v="COGS for Invoice AP-INV-5468"/>
    <x v="0"/>
    <s v="Expenses"/>
    <n v="8647.08"/>
    <x v="2"/>
    <d v="2025-04-01T00:00:00"/>
  </r>
  <r>
    <s v="GL-1870"/>
    <d v="2025-04-26T00:00:00"/>
    <n v="2010"/>
    <n v="0"/>
    <n v="8647.08"/>
    <s v="AP for Invoice AP-INV-5468"/>
    <x v="1"/>
    <s v="Liabilities"/>
    <n v="-8647.08"/>
    <x v="2"/>
    <d v="2025-04-01T00:00:00"/>
  </r>
  <r>
    <s v="GL-1023"/>
    <d v="2025-04-29T00:00:00"/>
    <n v="1200"/>
    <n v="46695.59"/>
    <n v="0"/>
    <s v="AR for Invoice AR-INV-7256"/>
    <x v="2"/>
    <s v="Assets"/>
    <n v="46695.59"/>
    <x v="2"/>
    <d v="2025-04-01T00:00:00"/>
  </r>
  <r>
    <s v="GL-1024"/>
    <d v="2025-04-29T00:00:00"/>
    <n v="4010"/>
    <n v="0"/>
    <n v="46695.59"/>
    <s v="Sales for Invoice AR-INV-7256"/>
    <x v="3"/>
    <s v="Revenue"/>
    <n v="-46695.59"/>
    <x v="2"/>
    <d v="2025-04-01T00:00:00"/>
  </r>
  <r>
    <s v="GL-131"/>
    <d v="2025-05-01T00:00:00"/>
    <n v="1200"/>
    <n v="49615.99"/>
    <n v="0"/>
    <s v="AR for Invoice AR-INV-7033"/>
    <x v="2"/>
    <s v="Assets"/>
    <n v="49615.99"/>
    <x v="2"/>
    <d v="2025-05-01T00:00:00"/>
  </r>
  <r>
    <s v="GL-132"/>
    <d v="2025-05-01T00:00:00"/>
    <n v="4010"/>
    <n v="0"/>
    <n v="49615.99"/>
    <s v="Sales for Invoice AR-INV-7033"/>
    <x v="3"/>
    <s v="Revenue"/>
    <n v="-49615.99"/>
    <x v="2"/>
    <d v="2025-05-01T00:00:00"/>
  </r>
  <r>
    <s v="GL-1449"/>
    <d v="2025-05-05T00:00:00"/>
    <n v="5010"/>
    <n v="15904.3"/>
    <n v="0"/>
    <s v="COGS for Invoice AP-INV-5363"/>
    <x v="0"/>
    <s v="Expenses"/>
    <n v="15904.3"/>
    <x v="2"/>
    <d v="2025-05-01T00:00:00"/>
  </r>
  <r>
    <s v="GL-1450"/>
    <d v="2025-05-05T00:00:00"/>
    <n v="2010"/>
    <n v="0"/>
    <n v="15904.3"/>
    <s v="AP for Invoice AP-INV-5363"/>
    <x v="1"/>
    <s v="Liabilities"/>
    <n v="-15904.3"/>
    <x v="2"/>
    <d v="2025-05-01T00:00:00"/>
  </r>
  <r>
    <s v="GL-171"/>
    <d v="2025-05-05T00:00:00"/>
    <n v="1200"/>
    <n v="6648.08"/>
    <n v="0"/>
    <s v="AR for Invoice AR-INV-7043"/>
    <x v="2"/>
    <s v="Assets"/>
    <n v="6648.08"/>
    <x v="2"/>
    <d v="2025-05-01T00:00:00"/>
  </r>
  <r>
    <s v="GL-172"/>
    <d v="2025-05-05T00:00:00"/>
    <n v="4010"/>
    <n v="0"/>
    <n v="6648.08"/>
    <s v="Sales for Invoice AR-INV-7043"/>
    <x v="3"/>
    <s v="Revenue"/>
    <n v="-6648.08"/>
    <x v="2"/>
    <d v="2025-05-01T00:00:00"/>
  </r>
  <r>
    <s v="GL-1423"/>
    <d v="2025-05-06T00:00:00"/>
    <n v="1200"/>
    <n v="8755.7800000000007"/>
    <n v="0"/>
    <s v="AR for Invoice AR-INV-7356"/>
    <x v="2"/>
    <s v="Assets"/>
    <n v="8755.7800000000007"/>
    <x v="2"/>
    <d v="2025-05-01T00:00:00"/>
  </r>
  <r>
    <s v="GL-1424"/>
    <d v="2025-05-06T00:00:00"/>
    <n v="4010"/>
    <n v="0"/>
    <n v="8755.7800000000007"/>
    <s v="Sales for Invoice AR-INV-7356"/>
    <x v="3"/>
    <s v="Revenue"/>
    <n v="-8755.7800000000007"/>
    <x v="2"/>
    <d v="2025-05-01T00:00:00"/>
  </r>
  <r>
    <s v="GL-673"/>
    <d v="2025-05-06T00:00:00"/>
    <n v="5010"/>
    <n v="7341.04"/>
    <n v="0"/>
    <s v="COGS for Invoice AP-INV-5169"/>
    <x v="0"/>
    <s v="Expenses"/>
    <n v="7341.04"/>
    <x v="2"/>
    <d v="2025-05-01T00:00:00"/>
  </r>
  <r>
    <s v="GL-674"/>
    <d v="2025-05-06T00:00:00"/>
    <n v="2010"/>
    <n v="0"/>
    <n v="7341.04"/>
    <s v="AP for Invoice AP-INV-5169"/>
    <x v="1"/>
    <s v="Liabilities"/>
    <n v="-7341.04"/>
    <x v="2"/>
    <d v="2025-05-01T00:00:00"/>
  </r>
  <r>
    <s v="GL-1771"/>
    <d v="2025-05-09T00:00:00"/>
    <n v="1200"/>
    <n v="19511.54"/>
    <n v="0"/>
    <s v="AR for Invoice AR-INV-7443"/>
    <x v="2"/>
    <s v="Assets"/>
    <n v="19511.54"/>
    <x v="2"/>
    <d v="2025-05-01T00:00:00"/>
  </r>
  <r>
    <s v="GL-1772"/>
    <d v="2025-05-09T00:00:00"/>
    <n v="4010"/>
    <n v="0"/>
    <n v="19511.54"/>
    <s v="Sales for Invoice AR-INV-7443"/>
    <x v="3"/>
    <s v="Revenue"/>
    <n v="-19511.54"/>
    <x v="2"/>
    <d v="2025-05-01T00:00:00"/>
  </r>
  <r>
    <s v="GL-971"/>
    <d v="2025-05-09T00:00:00"/>
    <n v="1200"/>
    <n v="40247.32"/>
    <n v="0"/>
    <s v="AR for Invoice AR-INV-7243"/>
    <x v="2"/>
    <s v="Assets"/>
    <n v="40247.32"/>
    <x v="2"/>
    <d v="2025-05-01T00:00:00"/>
  </r>
  <r>
    <s v="GL-972"/>
    <d v="2025-05-09T00:00:00"/>
    <n v="4010"/>
    <n v="0"/>
    <n v="40247.32"/>
    <s v="Sales for Invoice AR-INV-7243"/>
    <x v="3"/>
    <s v="Revenue"/>
    <n v="-40247.32"/>
    <x v="2"/>
    <d v="2025-05-01T00:00:00"/>
  </r>
  <r>
    <s v="GL-1045"/>
    <d v="2025-05-12T00:00:00"/>
    <n v="5010"/>
    <n v="5227.92"/>
    <n v="0"/>
    <s v="COGS for Invoice AP-INV-5262"/>
    <x v="0"/>
    <s v="Expenses"/>
    <n v="5227.92"/>
    <x v="2"/>
    <d v="2025-05-01T00:00:00"/>
  </r>
  <r>
    <s v="GL-1046"/>
    <d v="2025-05-12T00:00:00"/>
    <n v="2010"/>
    <n v="0"/>
    <n v="5227.92"/>
    <s v="AP for Invoice AP-INV-5262"/>
    <x v="1"/>
    <s v="Liabilities"/>
    <n v="-5227.92"/>
    <x v="2"/>
    <d v="2025-05-01T00:00:00"/>
  </r>
  <r>
    <s v="GL-1467"/>
    <d v="2025-05-12T00:00:00"/>
    <n v="1200"/>
    <n v="46987.33"/>
    <n v="0"/>
    <s v="AR for Invoice AR-INV-7367"/>
    <x v="2"/>
    <s v="Assets"/>
    <n v="46987.33"/>
    <x v="2"/>
    <d v="2025-05-01T00:00:00"/>
  </r>
  <r>
    <s v="GL-1468"/>
    <d v="2025-05-12T00:00:00"/>
    <n v="4010"/>
    <n v="0"/>
    <n v="46987.33"/>
    <s v="Sales for Invoice AR-INV-7367"/>
    <x v="3"/>
    <s v="Revenue"/>
    <n v="-46987.33"/>
    <x v="2"/>
    <d v="2025-05-01T00:00:00"/>
  </r>
  <r>
    <s v="GL-271"/>
    <d v="2025-05-12T00:00:00"/>
    <n v="1200"/>
    <n v="29403.67"/>
    <n v="0"/>
    <s v="AR for Invoice AR-INV-7068"/>
    <x v="2"/>
    <s v="Assets"/>
    <n v="29403.67"/>
    <x v="2"/>
    <d v="2025-05-01T00:00:00"/>
  </r>
  <r>
    <s v="GL-272"/>
    <d v="2025-05-12T00:00:00"/>
    <n v="4010"/>
    <n v="0"/>
    <n v="29403.67"/>
    <s v="Sales for Invoice AR-INV-7068"/>
    <x v="3"/>
    <s v="Revenue"/>
    <n v="-29403.67"/>
    <x v="2"/>
    <d v="2025-05-01T00:00:00"/>
  </r>
  <r>
    <s v="GL-893"/>
    <d v="2025-05-15T00:00:00"/>
    <n v="5010"/>
    <n v="15523.84"/>
    <n v="0"/>
    <s v="COGS for Invoice AP-INV-5224"/>
    <x v="0"/>
    <s v="Expenses"/>
    <n v="15523.84"/>
    <x v="2"/>
    <d v="2025-05-01T00:00:00"/>
  </r>
  <r>
    <s v="GL-894"/>
    <d v="2025-05-15T00:00:00"/>
    <n v="2010"/>
    <n v="0"/>
    <n v="15523.84"/>
    <s v="AP for Invoice AP-INV-5224"/>
    <x v="1"/>
    <s v="Liabilities"/>
    <n v="-15523.84"/>
    <x v="2"/>
    <d v="2025-05-01T00:00:00"/>
  </r>
  <r>
    <s v="GL-1709"/>
    <d v="2025-05-16T00:00:00"/>
    <n v="5010"/>
    <n v="17695.29"/>
    <n v="0"/>
    <s v="COGS for Invoice AP-INV-5428"/>
    <x v="0"/>
    <s v="Expenses"/>
    <n v="17695.29"/>
    <x v="2"/>
    <d v="2025-05-01T00:00:00"/>
  </r>
  <r>
    <s v="GL-1710"/>
    <d v="2025-05-16T00:00:00"/>
    <n v="2010"/>
    <n v="0"/>
    <n v="17695.29"/>
    <s v="AP for Invoice AP-INV-5428"/>
    <x v="1"/>
    <s v="Liabilities"/>
    <n v="-17695.29"/>
    <x v="2"/>
    <d v="2025-05-01T00:00:00"/>
  </r>
  <r>
    <s v="GL-363"/>
    <d v="2025-05-17T00:00:00"/>
    <n v="1200"/>
    <n v="41486.94"/>
    <n v="0"/>
    <s v="AR for Invoice AR-INV-7091"/>
    <x v="2"/>
    <s v="Assets"/>
    <n v="41486.94"/>
    <x v="2"/>
    <d v="2025-05-01T00:00:00"/>
  </r>
  <r>
    <s v="GL-364"/>
    <d v="2025-05-17T00:00:00"/>
    <n v="4010"/>
    <n v="0"/>
    <n v="41486.94"/>
    <s v="Sales for Invoice AR-INV-7091"/>
    <x v="3"/>
    <s v="Revenue"/>
    <n v="-41486.94"/>
    <x v="2"/>
    <d v="2025-05-01T00:00:00"/>
  </r>
  <r>
    <s v="GL-679"/>
    <d v="2025-05-17T00:00:00"/>
    <n v="1200"/>
    <n v="28564.89"/>
    <n v="0"/>
    <s v="AR for Invoice AR-INV-7170"/>
    <x v="2"/>
    <s v="Assets"/>
    <n v="28564.89"/>
    <x v="2"/>
    <d v="2025-05-01T00:00:00"/>
  </r>
  <r>
    <s v="GL-680"/>
    <d v="2025-05-17T00:00:00"/>
    <n v="4010"/>
    <n v="0"/>
    <n v="28564.89"/>
    <s v="Sales for Invoice AR-INV-7170"/>
    <x v="3"/>
    <s v="Revenue"/>
    <n v="-28564.89"/>
    <x v="2"/>
    <d v="2025-05-01T00:00:00"/>
  </r>
  <r>
    <s v="GL-177"/>
    <d v="2025-05-18T00:00:00"/>
    <n v="5010"/>
    <n v="8908.36"/>
    <n v="0"/>
    <s v="COGS for Invoice AP-INV-5045"/>
    <x v="0"/>
    <s v="Expenses"/>
    <n v="8908.36"/>
    <x v="2"/>
    <d v="2025-05-01T00:00:00"/>
  </r>
  <r>
    <s v="GL-178"/>
    <d v="2025-05-18T00:00:00"/>
    <n v="2010"/>
    <n v="0"/>
    <n v="8908.36"/>
    <s v="AP for Invoice AP-INV-5045"/>
    <x v="1"/>
    <s v="Liabilities"/>
    <n v="-8908.36"/>
    <x v="2"/>
    <d v="2025-05-01T00:00:00"/>
  </r>
  <r>
    <s v="GL-1867"/>
    <d v="2025-05-18T00:00:00"/>
    <n v="1200"/>
    <n v="36655.599999999999"/>
    <n v="0"/>
    <s v="AR for Invoice AR-INV-7467"/>
    <x v="2"/>
    <s v="Assets"/>
    <n v="36655.599999999999"/>
    <x v="2"/>
    <d v="2025-05-01T00:00:00"/>
  </r>
  <r>
    <s v="GL-1868"/>
    <d v="2025-05-18T00:00:00"/>
    <n v="4010"/>
    <n v="0"/>
    <n v="36655.599999999999"/>
    <s v="Sales for Invoice AR-INV-7467"/>
    <x v="3"/>
    <s v="Revenue"/>
    <n v="-36655.599999999999"/>
    <x v="2"/>
    <d v="2025-05-01T00:00:00"/>
  </r>
  <r>
    <s v="GL-1469"/>
    <d v="2025-05-19T00:00:00"/>
    <n v="5010"/>
    <n v="4233.24"/>
    <n v="0"/>
    <s v="COGS for Invoice AP-INV-5368"/>
    <x v="0"/>
    <s v="Expenses"/>
    <n v="4233.24"/>
    <x v="2"/>
    <d v="2025-05-01T00:00:00"/>
  </r>
  <r>
    <s v="GL-1470"/>
    <d v="2025-05-19T00:00:00"/>
    <n v="2010"/>
    <n v="0"/>
    <n v="4233.24"/>
    <s v="AP for Invoice AP-INV-5368"/>
    <x v="1"/>
    <s v="Liabilities"/>
    <n v="-4233.24"/>
    <x v="2"/>
    <d v="2025-05-01T00:00:00"/>
  </r>
  <r>
    <s v="GL-261"/>
    <d v="2025-05-19T00:00:00"/>
    <n v="5010"/>
    <n v="18483.38"/>
    <n v="0"/>
    <s v="COGS for Invoice AP-INV-5066"/>
    <x v="0"/>
    <s v="Expenses"/>
    <n v="18483.38"/>
    <x v="2"/>
    <d v="2025-05-01T00:00:00"/>
  </r>
  <r>
    <s v="GL-262"/>
    <d v="2025-05-19T00:00:00"/>
    <n v="2010"/>
    <n v="0"/>
    <n v="18483.38"/>
    <s v="AP for Invoice AP-INV-5066"/>
    <x v="1"/>
    <s v="Liabilities"/>
    <n v="-18483.38"/>
    <x v="2"/>
    <d v="2025-05-01T00:00:00"/>
  </r>
  <r>
    <s v="GL-751"/>
    <d v="2025-05-19T00:00:00"/>
    <n v="1200"/>
    <n v="33355.25"/>
    <n v="0"/>
    <s v="AR for Invoice AR-INV-7188"/>
    <x v="2"/>
    <s v="Assets"/>
    <n v="33355.25"/>
    <x v="2"/>
    <d v="2025-05-01T00:00:00"/>
  </r>
  <r>
    <s v="GL-752"/>
    <d v="2025-05-19T00:00:00"/>
    <n v="4010"/>
    <n v="0"/>
    <n v="33355.25"/>
    <s v="Sales for Invoice AR-INV-7188"/>
    <x v="3"/>
    <s v="Revenue"/>
    <n v="-33355.25"/>
    <x v="2"/>
    <d v="2025-05-01T00:00:00"/>
  </r>
  <r>
    <s v="GL-1187"/>
    <d v="2025-05-21T00:00:00"/>
    <n v="1200"/>
    <n v="46837.440000000002"/>
    <n v="0"/>
    <s v="AR for Invoice AR-INV-7297"/>
    <x v="2"/>
    <s v="Assets"/>
    <n v="46837.440000000002"/>
    <x v="2"/>
    <d v="2025-05-01T00:00:00"/>
  </r>
  <r>
    <s v="GL-1188"/>
    <d v="2025-05-21T00:00:00"/>
    <n v="4010"/>
    <n v="0"/>
    <n v="46837.440000000002"/>
    <s v="Sales for Invoice AR-INV-7297"/>
    <x v="3"/>
    <s v="Revenue"/>
    <n v="-46837.440000000002"/>
    <x v="2"/>
    <d v="2025-05-01T00:00:00"/>
  </r>
  <r>
    <s v="GL-1629"/>
    <d v="2025-05-21T00:00:00"/>
    <n v="5010"/>
    <n v="9781.14"/>
    <n v="0"/>
    <s v="COGS for Invoice AP-INV-5408"/>
    <x v="0"/>
    <s v="Expenses"/>
    <n v="9781.14"/>
    <x v="2"/>
    <d v="2025-05-01T00:00:00"/>
  </r>
  <r>
    <s v="GL-1630"/>
    <d v="2025-05-21T00:00:00"/>
    <n v="2010"/>
    <n v="0"/>
    <n v="9781.14"/>
    <s v="AP for Invoice AP-INV-5408"/>
    <x v="1"/>
    <s v="Liabilities"/>
    <n v="-9781.14"/>
    <x v="2"/>
    <d v="2025-05-01T00:00:00"/>
  </r>
  <r>
    <s v="GL-581"/>
    <d v="2025-05-21T00:00:00"/>
    <n v="5010"/>
    <n v="2844.45"/>
    <n v="0"/>
    <s v="COGS for Invoice AP-INV-5146"/>
    <x v="0"/>
    <s v="Expenses"/>
    <n v="2844.45"/>
    <x v="2"/>
    <d v="2025-05-01T00:00:00"/>
  </r>
  <r>
    <s v="GL-582"/>
    <d v="2025-05-21T00:00:00"/>
    <n v="2010"/>
    <n v="0"/>
    <n v="2844.45"/>
    <s v="AP for Invoice AP-INV-5146"/>
    <x v="1"/>
    <s v="Liabilities"/>
    <n v="-2844.45"/>
    <x v="2"/>
    <d v="2025-05-01T00:00:00"/>
  </r>
  <r>
    <s v="GL-485"/>
    <d v="2025-05-23T00:00:00"/>
    <n v="5010"/>
    <n v="18838.28"/>
    <n v="0"/>
    <s v="COGS for Invoice AP-INV-5122"/>
    <x v="0"/>
    <s v="Expenses"/>
    <n v="18838.28"/>
    <x v="2"/>
    <d v="2025-05-01T00:00:00"/>
  </r>
  <r>
    <s v="GL-486"/>
    <d v="2025-05-23T00:00:00"/>
    <n v="2010"/>
    <n v="0"/>
    <n v="18838.28"/>
    <s v="AP for Invoice AP-INV-5122"/>
    <x v="1"/>
    <s v="Liabilities"/>
    <n v="-18838.28"/>
    <x v="2"/>
    <d v="2025-05-01T00:00:00"/>
  </r>
  <r>
    <s v="GL-1981"/>
    <d v="2025-05-26T00:00:00"/>
    <n v="5010"/>
    <n v="11104.36"/>
    <n v="0"/>
    <s v="COGS for Invoice AP-INV-5496"/>
    <x v="0"/>
    <s v="Expenses"/>
    <n v="11104.36"/>
    <x v="2"/>
    <d v="2025-05-01T00:00:00"/>
  </r>
  <r>
    <s v="GL-1982"/>
    <d v="2025-05-26T00:00:00"/>
    <n v="2010"/>
    <n v="0"/>
    <n v="11104.36"/>
    <s v="AP for Invoice AP-INV-5496"/>
    <x v="1"/>
    <s v="Liabilities"/>
    <n v="-11104.36"/>
    <x v="2"/>
    <d v="2025-05-01T00:00:00"/>
  </r>
  <r>
    <s v="GL-641"/>
    <d v="2025-05-27T00:00:00"/>
    <n v="5010"/>
    <n v="4214.01"/>
    <n v="0"/>
    <s v="COGS for Invoice AP-INV-5161"/>
    <x v="0"/>
    <s v="Expenses"/>
    <n v="4214.01"/>
    <x v="2"/>
    <d v="2025-05-01T00:00:00"/>
  </r>
  <r>
    <s v="GL-642"/>
    <d v="2025-05-27T00:00:00"/>
    <n v="2010"/>
    <n v="0"/>
    <n v="4214.01"/>
    <s v="AP for Invoice AP-INV-5161"/>
    <x v="1"/>
    <s v="Liabilities"/>
    <n v="-4214.01"/>
    <x v="2"/>
    <d v="2025-05-01T00:00:00"/>
  </r>
  <r>
    <s v="GL-100"/>
    <d v="2025-05-28T00:00:00"/>
    <n v="4010"/>
    <n v="0"/>
    <n v="21969.81"/>
    <s v="Sales for Invoice AR-INV-7025"/>
    <x v="3"/>
    <s v="Revenue"/>
    <n v="-21969.81"/>
    <x v="2"/>
    <d v="2025-05-01T00:00:00"/>
  </r>
  <r>
    <s v="GL-99"/>
    <d v="2025-05-28T00:00:00"/>
    <n v="1200"/>
    <n v="21969.81"/>
    <n v="0"/>
    <s v="AR for Invoice AR-INV-7025"/>
    <x v="2"/>
    <s v="Assets"/>
    <n v="21969.81"/>
    <x v="2"/>
    <d v="2025-05-01T00:00:00"/>
  </r>
  <r>
    <s v="GL-367"/>
    <d v="2025-05-29T00:00:00"/>
    <n v="1200"/>
    <n v="40791.58"/>
    <n v="0"/>
    <s v="AR for Invoice AR-INV-7092"/>
    <x v="2"/>
    <s v="Assets"/>
    <n v="40791.58"/>
    <x v="2"/>
    <d v="2025-05-01T00:00:00"/>
  </r>
  <r>
    <s v="GL-368"/>
    <d v="2025-05-29T00:00:00"/>
    <n v="4010"/>
    <n v="0"/>
    <n v="40791.58"/>
    <s v="Sales for Invoice AR-INV-7092"/>
    <x v="3"/>
    <s v="Revenue"/>
    <n v="-40791.58"/>
    <x v="2"/>
    <d v="2025-05-01T00:00:00"/>
  </r>
  <r>
    <s v="GL-1593"/>
    <d v="2025-05-31T00:00:00"/>
    <n v="5010"/>
    <n v="19078.93"/>
    <n v="0"/>
    <s v="COGS for Invoice AP-INV-5399"/>
    <x v="0"/>
    <s v="Expenses"/>
    <n v="19078.93"/>
    <x v="2"/>
    <d v="2025-05-01T00:00:00"/>
  </r>
  <r>
    <s v="GL-1594"/>
    <d v="2025-05-31T00:00:00"/>
    <n v="2010"/>
    <n v="0"/>
    <n v="19078.93"/>
    <s v="AP for Invoice AP-INV-5399"/>
    <x v="1"/>
    <s v="Liabilities"/>
    <n v="-19078.93"/>
    <x v="2"/>
    <d v="2025-05-01T00:00:00"/>
  </r>
  <r>
    <s v="GL-1181"/>
    <d v="2025-06-01T00:00:00"/>
    <n v="5010"/>
    <n v="19661.96"/>
    <n v="0"/>
    <s v="COGS for Invoice AP-INV-5296"/>
    <x v="0"/>
    <s v="Expenses"/>
    <n v="19661.96"/>
    <x v="2"/>
    <d v="2025-06-01T00:00:00"/>
  </r>
  <r>
    <s v="GL-1182"/>
    <d v="2025-06-01T00:00:00"/>
    <n v="2010"/>
    <n v="0"/>
    <n v="19661.96"/>
    <s v="AP for Invoice AP-INV-5296"/>
    <x v="1"/>
    <s v="Liabilities"/>
    <n v="-19661.96"/>
    <x v="2"/>
    <d v="2025-06-01T00:00:00"/>
  </r>
  <r>
    <s v="GL-1847"/>
    <d v="2025-06-03T00:00:00"/>
    <n v="1200"/>
    <n v="22718.26"/>
    <n v="0"/>
    <s v="AR for Invoice AR-INV-7462"/>
    <x v="2"/>
    <s v="Assets"/>
    <n v="22718.26"/>
    <x v="2"/>
    <d v="2025-06-01T00:00:00"/>
  </r>
  <r>
    <s v="GL-1848"/>
    <d v="2025-06-03T00:00:00"/>
    <n v="4010"/>
    <n v="0"/>
    <n v="22718.26"/>
    <s v="Sales for Invoice AR-INV-7462"/>
    <x v="3"/>
    <s v="Revenue"/>
    <n v="-22718.26"/>
    <x v="2"/>
    <d v="2025-06-01T00:00:00"/>
  </r>
  <r>
    <s v="GL-1767"/>
    <d v="2025-06-05T00:00:00"/>
    <n v="1200"/>
    <n v="26478.68"/>
    <n v="0"/>
    <s v="AR for Invoice AR-INV-7442"/>
    <x v="2"/>
    <s v="Assets"/>
    <n v="26478.68"/>
    <x v="2"/>
    <d v="2025-06-01T00:00:00"/>
  </r>
  <r>
    <s v="GL-1768"/>
    <d v="2025-06-05T00:00:00"/>
    <n v="4010"/>
    <n v="0"/>
    <n v="26478.68"/>
    <s v="Sales for Invoice AR-INV-7442"/>
    <x v="3"/>
    <s v="Revenue"/>
    <n v="-26478.68"/>
    <x v="2"/>
    <d v="2025-06-01T00:00:00"/>
  </r>
  <r>
    <s v="GL-21"/>
    <d v="2025-06-08T00:00:00"/>
    <n v="5010"/>
    <n v="16725.689999999999"/>
    <n v="0"/>
    <s v="COGS for Invoice AP-INV-5006"/>
    <x v="0"/>
    <s v="Expenses"/>
    <n v="16725.689999999999"/>
    <x v="2"/>
    <d v="2025-06-01T00:00:00"/>
  </r>
  <r>
    <s v="GL-22"/>
    <d v="2025-06-08T00:00:00"/>
    <n v="2010"/>
    <n v="0"/>
    <n v="16725.689999999999"/>
    <s v="AP for Invoice AP-INV-5006"/>
    <x v="1"/>
    <s v="Liabilities"/>
    <n v="-16725.689999999999"/>
    <x v="2"/>
    <d v="2025-06-01T00:00:00"/>
  </r>
  <r>
    <s v="GL-1137"/>
    <d v="2025-06-11T00:00:00"/>
    <n v="5010"/>
    <n v="12353.81"/>
    <n v="0"/>
    <s v="COGS for Invoice AP-INV-5285"/>
    <x v="0"/>
    <s v="Expenses"/>
    <n v="12353.81"/>
    <x v="2"/>
    <d v="2025-06-01T00:00:00"/>
  </r>
  <r>
    <s v="GL-1138"/>
    <d v="2025-06-11T00:00:00"/>
    <n v="2010"/>
    <n v="0"/>
    <n v="12353.81"/>
    <s v="AP for Invoice AP-INV-5285"/>
    <x v="1"/>
    <s v="Liabilities"/>
    <n v="-12353.81"/>
    <x v="2"/>
    <d v="2025-06-01T00:00:00"/>
  </r>
  <r>
    <s v="GL-1053"/>
    <d v="2025-06-12T00:00:00"/>
    <n v="5010"/>
    <n v="17398.73"/>
    <n v="0"/>
    <s v="COGS for Invoice AP-INV-5264"/>
    <x v="0"/>
    <s v="Expenses"/>
    <n v="17398.73"/>
    <x v="2"/>
    <d v="2025-06-01T00:00:00"/>
  </r>
  <r>
    <s v="GL-1054"/>
    <d v="2025-06-12T00:00:00"/>
    <n v="2010"/>
    <n v="0"/>
    <n v="17398.73"/>
    <s v="AP for Invoice AP-INV-5264"/>
    <x v="1"/>
    <s v="Liabilities"/>
    <n v="-17398.73"/>
    <x v="2"/>
    <d v="2025-06-01T00:00:00"/>
  </r>
  <r>
    <s v="GL-1963"/>
    <d v="2025-06-15T00:00:00"/>
    <n v="1200"/>
    <n v="27334.47"/>
    <n v="0"/>
    <s v="AR for Invoice AR-INV-7491"/>
    <x v="2"/>
    <s v="Assets"/>
    <n v="27334.47"/>
    <x v="2"/>
    <d v="2025-06-01T00:00:00"/>
  </r>
  <r>
    <s v="GL-1964"/>
    <d v="2025-06-15T00:00:00"/>
    <n v="4010"/>
    <n v="0"/>
    <n v="27334.47"/>
    <s v="Sales for Invoice AR-INV-7491"/>
    <x v="3"/>
    <s v="Revenue"/>
    <n v="-27334.47"/>
    <x v="2"/>
    <d v="2025-06-01T00:00:00"/>
  </r>
  <r>
    <s v="GL-1277"/>
    <d v="2025-06-16T00:00:00"/>
    <n v="5010"/>
    <n v="12808.68"/>
    <n v="0"/>
    <s v="COGS for Invoice AP-INV-5320"/>
    <x v="0"/>
    <s v="Expenses"/>
    <n v="12808.68"/>
    <x v="2"/>
    <d v="2025-06-01T00:00:00"/>
  </r>
  <r>
    <s v="GL-1278"/>
    <d v="2025-06-16T00:00:00"/>
    <n v="2010"/>
    <n v="0"/>
    <n v="12808.68"/>
    <s v="AP for Invoice AP-INV-5320"/>
    <x v="1"/>
    <s v="Liabilities"/>
    <n v="-12808.68"/>
    <x v="2"/>
    <d v="2025-06-01T00:00:00"/>
  </r>
  <r>
    <s v="GL-303"/>
    <d v="2025-06-16T00:00:00"/>
    <n v="1200"/>
    <n v="9530.17"/>
    <n v="0"/>
    <s v="AR for Invoice AR-INV-7076"/>
    <x v="2"/>
    <s v="Assets"/>
    <n v="9530.17"/>
    <x v="2"/>
    <d v="2025-06-01T00:00:00"/>
  </r>
  <r>
    <s v="GL-304"/>
    <d v="2025-06-16T00:00:00"/>
    <n v="4010"/>
    <n v="0"/>
    <n v="9530.17"/>
    <s v="Sales for Invoice AR-INV-7076"/>
    <x v="3"/>
    <s v="Revenue"/>
    <n v="-9530.17"/>
    <x v="2"/>
    <d v="2025-06-01T00:00:00"/>
  </r>
  <r>
    <s v="GL-1131"/>
    <d v="2025-06-18T00:00:00"/>
    <n v="1200"/>
    <n v="40431.56"/>
    <n v="0"/>
    <s v="AR for Invoice AR-INV-7283"/>
    <x v="2"/>
    <s v="Assets"/>
    <n v="40431.56"/>
    <x v="2"/>
    <d v="2025-06-01T00:00:00"/>
  </r>
  <r>
    <s v="GL-1132"/>
    <d v="2025-06-18T00:00:00"/>
    <n v="4010"/>
    <n v="0"/>
    <n v="40431.56"/>
    <s v="Sales for Invoice AR-INV-7283"/>
    <x v="3"/>
    <s v="Revenue"/>
    <n v="-40431.56"/>
    <x v="2"/>
    <d v="2025-06-01T00:00:00"/>
  </r>
  <r>
    <s v="GL-199"/>
    <d v="2025-06-21T00:00:00"/>
    <n v="1200"/>
    <n v="8271.14"/>
    <n v="0"/>
    <s v="AR for Invoice AR-INV-7050"/>
    <x v="2"/>
    <s v="Assets"/>
    <n v="8271.14"/>
    <x v="2"/>
    <d v="2025-06-01T00:00:00"/>
  </r>
  <r>
    <s v="GL-200"/>
    <d v="2025-06-21T00:00:00"/>
    <n v="4010"/>
    <n v="0"/>
    <n v="8271.14"/>
    <s v="Sales for Invoice AR-INV-7050"/>
    <x v="3"/>
    <s v="Revenue"/>
    <n v="-8271.14"/>
    <x v="2"/>
    <d v="2025-06-01T00:00:00"/>
  </r>
  <r>
    <s v="GL-231"/>
    <d v="2025-06-21T00:00:00"/>
    <n v="1200"/>
    <n v="19306.93"/>
    <n v="0"/>
    <s v="AR for Invoice AR-INV-7058"/>
    <x v="2"/>
    <s v="Assets"/>
    <n v="19306.93"/>
    <x v="2"/>
    <d v="2025-06-01T00:00:00"/>
  </r>
  <r>
    <s v="GL-232"/>
    <d v="2025-06-21T00:00:00"/>
    <n v="4010"/>
    <n v="0"/>
    <n v="19306.93"/>
    <s v="Sales for Invoice AR-INV-7058"/>
    <x v="3"/>
    <s v="Revenue"/>
    <n v="-19306.93"/>
    <x v="2"/>
    <d v="2025-06-01T00:00:00"/>
  </r>
  <r>
    <s v="GL-1151"/>
    <d v="2025-06-22T00:00:00"/>
    <n v="1200"/>
    <n v="3869.69"/>
    <n v="0"/>
    <s v="AR for Invoice AR-INV-7288"/>
    <x v="2"/>
    <s v="Assets"/>
    <n v="3869.69"/>
    <x v="2"/>
    <d v="2025-06-01T00:00:00"/>
  </r>
  <r>
    <s v="GL-1152"/>
    <d v="2025-06-22T00:00:00"/>
    <n v="4010"/>
    <n v="0"/>
    <n v="3869.69"/>
    <s v="Sales for Invoice AR-INV-7288"/>
    <x v="3"/>
    <s v="Revenue"/>
    <n v="-3869.69"/>
    <x v="2"/>
    <d v="2025-06-01T00:00:00"/>
  </r>
  <r>
    <s v="GL-1219"/>
    <d v="2025-06-22T00:00:00"/>
    <n v="1200"/>
    <n v="35922.629999999997"/>
    <n v="0"/>
    <s v="AR for Invoice AR-INV-7305"/>
    <x v="2"/>
    <s v="Assets"/>
    <n v="35922.629999999997"/>
    <x v="2"/>
    <d v="2025-06-01T00:00:00"/>
  </r>
  <r>
    <s v="GL-1220"/>
    <d v="2025-06-22T00:00:00"/>
    <n v="4010"/>
    <n v="0"/>
    <n v="35922.629999999997"/>
    <s v="Sales for Invoice AR-INV-7305"/>
    <x v="3"/>
    <s v="Revenue"/>
    <n v="-35922.629999999997"/>
    <x v="2"/>
    <d v="2025-06-01T00:00:00"/>
  </r>
  <r>
    <s v="GL-691"/>
    <d v="2025-06-22T00:00:00"/>
    <n v="1200"/>
    <n v="21126.03"/>
    <n v="0"/>
    <s v="AR for Invoice AR-INV-7173"/>
    <x v="2"/>
    <s v="Assets"/>
    <n v="21126.03"/>
    <x v="2"/>
    <d v="2025-06-01T00:00:00"/>
  </r>
  <r>
    <s v="GL-692"/>
    <d v="2025-06-22T00:00:00"/>
    <n v="4010"/>
    <n v="0"/>
    <n v="21126.03"/>
    <s v="Sales for Invoice AR-INV-7173"/>
    <x v="3"/>
    <s v="Revenue"/>
    <n v="-21126.03"/>
    <x v="2"/>
    <d v="2025-06-01T00:00:00"/>
  </r>
  <r>
    <s v="GL-407"/>
    <d v="2025-06-26T00:00:00"/>
    <n v="1200"/>
    <n v="19664.240000000002"/>
    <n v="0"/>
    <s v="AR for Invoice AR-INV-7102"/>
    <x v="2"/>
    <s v="Assets"/>
    <n v="19664.240000000002"/>
    <x v="2"/>
    <d v="2025-06-01T00:00:00"/>
  </r>
  <r>
    <s v="GL-408"/>
    <d v="2025-06-26T00:00:00"/>
    <n v="4010"/>
    <n v="0"/>
    <n v="19664.240000000002"/>
    <s v="Sales for Invoice AR-INV-7102"/>
    <x v="3"/>
    <s v="Revenue"/>
    <n v="-19664.240000000002"/>
    <x v="2"/>
    <d v="2025-06-01T00:00:00"/>
  </r>
  <r>
    <s v="GL-619"/>
    <d v="2025-06-30T00:00:00"/>
    <n v="1200"/>
    <n v="20280.560000000001"/>
    <n v="0"/>
    <s v="AR for Invoice AR-INV-7155"/>
    <x v="2"/>
    <s v="Assets"/>
    <n v="20280.560000000001"/>
    <x v="2"/>
    <d v="2025-06-01T00:00:00"/>
  </r>
  <r>
    <s v="GL-620"/>
    <d v="2025-06-30T00:00:00"/>
    <n v="4010"/>
    <n v="0"/>
    <n v="20280.560000000001"/>
    <s v="Sales for Invoice AR-INV-7155"/>
    <x v="3"/>
    <s v="Revenue"/>
    <n v="-20280.560000000001"/>
    <x v="2"/>
    <d v="2025-06-01T00:00:00"/>
  </r>
  <r>
    <s v="GL-903"/>
    <d v="2025-07-02T00:00:00"/>
    <n v="1200"/>
    <n v="20726.73"/>
    <n v="0"/>
    <s v="AR for Invoice AR-INV-7226"/>
    <x v="2"/>
    <s v="Assets"/>
    <n v="20726.73"/>
    <x v="2"/>
    <d v="2025-07-01T00:00:00"/>
  </r>
  <r>
    <s v="GL-904"/>
    <d v="2025-07-02T00:00:00"/>
    <n v="4010"/>
    <n v="0"/>
    <n v="20726.73"/>
    <s v="Sales for Invoice AR-INV-7226"/>
    <x v="3"/>
    <s v="Revenue"/>
    <n v="-20726.73"/>
    <x v="2"/>
    <d v="2025-07-01T00:00:00"/>
  </r>
  <r>
    <s v="GL-241"/>
    <d v="2025-07-03T00:00:00"/>
    <n v="5010"/>
    <n v="3397.67"/>
    <n v="0"/>
    <s v="COGS for Invoice AP-INV-5061"/>
    <x v="0"/>
    <s v="Expenses"/>
    <n v="3397.67"/>
    <x v="2"/>
    <d v="2025-07-01T00:00:00"/>
  </r>
  <r>
    <s v="GL-242"/>
    <d v="2025-07-03T00:00:00"/>
    <n v="2010"/>
    <n v="0"/>
    <n v="3397.67"/>
    <s v="AP for Invoice AP-INV-5061"/>
    <x v="1"/>
    <s v="Liabilities"/>
    <n v="-3397.67"/>
    <x v="2"/>
    <d v="2025-07-01T00:00:00"/>
  </r>
  <r>
    <s v="GL-397"/>
    <d v="2025-07-03T00:00:00"/>
    <n v="5010"/>
    <n v="6105.84"/>
    <n v="0"/>
    <s v="COGS for Invoice AP-INV-5100"/>
    <x v="0"/>
    <s v="Expenses"/>
    <n v="6105.84"/>
    <x v="2"/>
    <d v="2025-07-01T00:00:00"/>
  </r>
  <r>
    <s v="GL-398"/>
    <d v="2025-07-03T00:00:00"/>
    <n v="2010"/>
    <n v="0"/>
    <n v="6105.84"/>
    <s v="AP for Invoice AP-INV-5100"/>
    <x v="1"/>
    <s v="Liabilities"/>
    <n v="-6105.84"/>
    <x v="2"/>
    <d v="2025-07-01T00:00:00"/>
  </r>
  <r>
    <s v="GL-1613"/>
    <d v="2025-07-04T00:00:00"/>
    <n v="5010"/>
    <n v="5135.04"/>
    <n v="0"/>
    <s v="COGS for Invoice AP-INV-5404"/>
    <x v="0"/>
    <s v="Expenses"/>
    <n v="5135.04"/>
    <x v="2"/>
    <d v="2025-07-01T00:00:00"/>
  </r>
  <r>
    <s v="GL-1614"/>
    <d v="2025-07-04T00:00:00"/>
    <n v="2010"/>
    <n v="0"/>
    <n v="5135.04"/>
    <s v="AP for Invoice AP-INV-5404"/>
    <x v="1"/>
    <s v="Liabilities"/>
    <n v="-5135.04"/>
    <x v="2"/>
    <d v="2025-07-01T00:00:00"/>
  </r>
  <r>
    <s v="GL-55"/>
    <d v="2025-07-07T00:00:00"/>
    <n v="1200"/>
    <n v="5230.1000000000004"/>
    <n v="0"/>
    <s v="AR for Invoice AR-INV-7014"/>
    <x v="2"/>
    <s v="Assets"/>
    <n v="5230.1000000000004"/>
    <x v="2"/>
    <d v="2025-07-01T00:00:00"/>
  </r>
  <r>
    <s v="GL-56"/>
    <d v="2025-07-07T00:00:00"/>
    <n v="4010"/>
    <n v="0"/>
    <n v="5230.1000000000004"/>
    <s v="Sales for Invoice AR-INV-7014"/>
    <x v="3"/>
    <s v="Revenue"/>
    <n v="-5230.1000000000004"/>
    <x v="2"/>
    <d v="2025-07-01T00:00:00"/>
  </r>
  <r>
    <s v="GL-1681"/>
    <d v="2025-07-08T00:00:00"/>
    <n v="5010"/>
    <n v="1869.64"/>
    <n v="0"/>
    <s v="COGS for Invoice AP-INV-5421"/>
    <x v="0"/>
    <s v="Expenses"/>
    <n v="1869.64"/>
    <x v="2"/>
    <d v="2025-07-01T00:00:00"/>
  </r>
  <r>
    <s v="GL-1682"/>
    <d v="2025-07-08T00:00:00"/>
    <n v="2010"/>
    <n v="0"/>
    <n v="1869.64"/>
    <s v="AP for Invoice AP-INV-5421"/>
    <x v="1"/>
    <s v="Liabilities"/>
    <n v="-1869.64"/>
    <x v="2"/>
    <d v="2025-07-01T00:00:00"/>
  </r>
  <r>
    <s v="GL-543"/>
    <d v="2025-07-10T00:00:00"/>
    <n v="1200"/>
    <n v="8777.4500000000007"/>
    <n v="0"/>
    <s v="AR for Invoice AR-INV-7136"/>
    <x v="2"/>
    <s v="Assets"/>
    <n v="8777.4500000000007"/>
    <x v="2"/>
    <d v="2025-07-01T00:00:00"/>
  </r>
  <r>
    <s v="GL-544"/>
    <d v="2025-07-10T00:00:00"/>
    <n v="4010"/>
    <n v="0"/>
    <n v="8777.4500000000007"/>
    <s v="Sales for Invoice AR-INV-7136"/>
    <x v="3"/>
    <s v="Revenue"/>
    <n v="-8777.4500000000007"/>
    <x v="2"/>
    <d v="2025-07-01T00:00:00"/>
  </r>
  <r>
    <s v="GL-1739"/>
    <d v="2025-07-11T00:00:00"/>
    <n v="1200"/>
    <n v="11874.6"/>
    <n v="0"/>
    <s v="AR for Invoice AR-INV-7435"/>
    <x v="2"/>
    <s v="Assets"/>
    <n v="11874.6"/>
    <x v="2"/>
    <d v="2025-07-01T00:00:00"/>
  </r>
  <r>
    <s v="GL-1740"/>
    <d v="2025-07-11T00:00:00"/>
    <n v="4010"/>
    <n v="0"/>
    <n v="11874.6"/>
    <s v="Sales for Invoice AR-INV-7435"/>
    <x v="3"/>
    <s v="Revenue"/>
    <n v="-11874.6"/>
    <x v="2"/>
    <d v="2025-07-01T00:00:00"/>
  </r>
  <r>
    <s v="GL-489"/>
    <d v="2025-07-11T00:00:00"/>
    <n v="5010"/>
    <n v="848.63"/>
    <n v="0"/>
    <s v="COGS for Invoice AP-INV-5123"/>
    <x v="0"/>
    <s v="Expenses"/>
    <n v="848.63"/>
    <x v="2"/>
    <d v="2025-07-01T00:00:00"/>
  </r>
  <r>
    <s v="GL-490"/>
    <d v="2025-07-11T00:00:00"/>
    <n v="2010"/>
    <n v="0"/>
    <n v="848.63"/>
    <s v="AP for Invoice AP-INV-5123"/>
    <x v="1"/>
    <s v="Liabilities"/>
    <n v="-848.63"/>
    <x v="2"/>
    <d v="2025-07-01T00:00:00"/>
  </r>
  <r>
    <s v="GL-559"/>
    <d v="2025-07-11T00:00:00"/>
    <n v="1200"/>
    <n v="41654.639999999999"/>
    <n v="0"/>
    <s v="AR for Invoice AR-INV-7140"/>
    <x v="2"/>
    <s v="Assets"/>
    <n v="41654.639999999999"/>
    <x v="2"/>
    <d v="2025-07-01T00:00:00"/>
  </r>
  <r>
    <s v="GL-560"/>
    <d v="2025-07-11T00:00:00"/>
    <n v="4010"/>
    <n v="0"/>
    <n v="41654.639999999999"/>
    <s v="Sales for Invoice AR-INV-7140"/>
    <x v="3"/>
    <s v="Revenue"/>
    <n v="-41654.639999999999"/>
    <x v="2"/>
    <d v="2025-07-01T00:00:00"/>
  </r>
  <r>
    <s v="GL-651"/>
    <d v="2025-07-11T00:00:00"/>
    <n v="1200"/>
    <n v="26184.11"/>
    <n v="0"/>
    <s v="AR for Invoice AR-INV-7163"/>
    <x v="2"/>
    <s v="Assets"/>
    <n v="26184.11"/>
    <x v="2"/>
    <d v="2025-07-01T00:00:00"/>
  </r>
  <r>
    <s v="GL-652"/>
    <d v="2025-07-11T00:00:00"/>
    <n v="4010"/>
    <n v="0"/>
    <n v="26184.11"/>
    <s v="Sales for Invoice AR-INV-7163"/>
    <x v="3"/>
    <s v="Revenue"/>
    <n v="-26184.11"/>
    <x v="2"/>
    <d v="2025-07-01T00:00:00"/>
  </r>
  <r>
    <s v="GL-521"/>
    <d v="2025-07-12T00:00:00"/>
    <n v="5010"/>
    <n v="6830.38"/>
    <n v="0"/>
    <s v="COGS for Invoice AP-INV-5131"/>
    <x v="0"/>
    <s v="Expenses"/>
    <n v="6830.38"/>
    <x v="2"/>
    <d v="2025-07-01T00:00:00"/>
  </r>
  <r>
    <s v="GL-522"/>
    <d v="2025-07-12T00:00:00"/>
    <n v="2010"/>
    <n v="0"/>
    <n v="6830.38"/>
    <s v="AP for Invoice AP-INV-5131"/>
    <x v="1"/>
    <s v="Liabilities"/>
    <n v="-6830.38"/>
    <x v="2"/>
    <d v="2025-07-01T00:00:00"/>
  </r>
  <r>
    <s v="GL-505"/>
    <d v="2025-07-14T00:00:00"/>
    <n v="5010"/>
    <n v="615.78"/>
    <n v="0"/>
    <s v="COGS for Invoice AP-INV-5127"/>
    <x v="0"/>
    <s v="Expenses"/>
    <n v="615.78"/>
    <x v="2"/>
    <d v="2025-07-01T00:00:00"/>
  </r>
  <r>
    <s v="GL-506"/>
    <d v="2025-07-14T00:00:00"/>
    <n v="2010"/>
    <n v="0"/>
    <n v="615.78"/>
    <s v="AP for Invoice AP-INV-5127"/>
    <x v="1"/>
    <s v="Liabilities"/>
    <n v="-615.78"/>
    <x v="2"/>
    <d v="2025-07-01T00:00:00"/>
  </r>
  <r>
    <s v="GL-527"/>
    <d v="2025-07-16T00:00:00"/>
    <n v="1200"/>
    <n v="35061.24"/>
    <n v="0"/>
    <s v="AR for Invoice AR-INV-7132"/>
    <x v="2"/>
    <s v="Assets"/>
    <n v="35061.24"/>
    <x v="2"/>
    <d v="2025-07-01T00:00:00"/>
  </r>
  <r>
    <s v="GL-528"/>
    <d v="2025-07-16T00:00:00"/>
    <n v="4010"/>
    <n v="0"/>
    <n v="35061.24"/>
    <s v="Sales for Invoice AR-INV-7132"/>
    <x v="3"/>
    <s v="Revenue"/>
    <n v="-35061.24"/>
    <x v="2"/>
    <d v="2025-07-01T00:00:00"/>
  </r>
  <r>
    <s v="GL-859"/>
    <d v="2025-07-16T00:00:00"/>
    <n v="1200"/>
    <n v="14532.28"/>
    <n v="0"/>
    <s v="AR for Invoice AR-INV-7215"/>
    <x v="2"/>
    <s v="Assets"/>
    <n v="14532.28"/>
    <x v="2"/>
    <d v="2025-07-01T00:00:00"/>
  </r>
  <r>
    <s v="GL-860"/>
    <d v="2025-07-16T00:00:00"/>
    <n v="4010"/>
    <n v="0"/>
    <n v="14532.28"/>
    <s v="Sales for Invoice AR-INV-7215"/>
    <x v="3"/>
    <s v="Revenue"/>
    <n v="-14532.28"/>
    <x v="2"/>
    <d v="2025-07-01T00:00:00"/>
  </r>
  <r>
    <s v="GL-729"/>
    <d v="2025-07-18T00:00:00"/>
    <n v="5010"/>
    <n v="1712"/>
    <n v="0"/>
    <s v="COGS for Invoice AP-INV-5183"/>
    <x v="0"/>
    <s v="Expenses"/>
    <n v="1712"/>
    <x v="2"/>
    <d v="2025-07-01T00:00:00"/>
  </r>
  <r>
    <s v="GL-730"/>
    <d v="2025-07-18T00:00:00"/>
    <n v="2010"/>
    <n v="0"/>
    <n v="1712"/>
    <s v="AP for Invoice AP-INV-5183"/>
    <x v="1"/>
    <s v="Liabilities"/>
    <n v="-1712"/>
    <x v="2"/>
    <d v="2025-07-01T00:00:00"/>
  </r>
  <r>
    <s v="GL-213"/>
    <d v="2025-07-19T00:00:00"/>
    <n v="5010"/>
    <n v="17782.71"/>
    <n v="0"/>
    <s v="COGS for Invoice AP-INV-5054"/>
    <x v="0"/>
    <s v="Expenses"/>
    <n v="17782.71"/>
    <x v="2"/>
    <d v="2025-07-01T00:00:00"/>
  </r>
  <r>
    <s v="GL-214"/>
    <d v="2025-07-19T00:00:00"/>
    <n v="2010"/>
    <n v="0"/>
    <n v="17782.71"/>
    <s v="AP for Invoice AP-INV-5054"/>
    <x v="1"/>
    <s v="Liabilities"/>
    <n v="-17782.71"/>
    <x v="2"/>
    <d v="2025-07-01T00:00:00"/>
  </r>
  <r>
    <s v="GL-983"/>
    <d v="2025-07-22T00:00:00"/>
    <n v="1200"/>
    <n v="4201.04"/>
    <n v="0"/>
    <s v="AR for Invoice AR-INV-7246"/>
    <x v="2"/>
    <s v="Assets"/>
    <n v="4201.04"/>
    <x v="2"/>
    <d v="2025-07-01T00:00:00"/>
  </r>
  <r>
    <s v="GL-984"/>
    <d v="2025-07-22T00:00:00"/>
    <n v="4010"/>
    <n v="0"/>
    <n v="4201.04"/>
    <s v="Sales for Invoice AR-INV-7246"/>
    <x v="3"/>
    <s v="Revenue"/>
    <n v="-4201.04"/>
    <x v="2"/>
    <d v="2025-07-01T00:00:00"/>
  </r>
  <r>
    <s v="GL-919"/>
    <d v="2025-07-23T00:00:00"/>
    <n v="1200"/>
    <n v="37331.65"/>
    <n v="0"/>
    <s v="AR for Invoice AR-INV-7230"/>
    <x v="2"/>
    <s v="Assets"/>
    <n v="37331.65"/>
    <x v="2"/>
    <d v="2025-07-01T00:00:00"/>
  </r>
  <r>
    <s v="GL-920"/>
    <d v="2025-07-23T00:00:00"/>
    <n v="4010"/>
    <n v="0"/>
    <n v="37331.65"/>
    <s v="Sales for Invoice AR-INV-7230"/>
    <x v="3"/>
    <s v="Revenue"/>
    <n v="-37331.65"/>
    <x v="2"/>
    <d v="2025-07-01T00:00:00"/>
  </r>
  <r>
    <s v="GL-861"/>
    <d v="2025-07-24T00:00:00"/>
    <n v="5010"/>
    <n v="3460.89"/>
    <n v="0"/>
    <s v="COGS for Invoice AP-INV-5216"/>
    <x v="0"/>
    <s v="Expenses"/>
    <n v="3460.89"/>
    <x v="2"/>
    <d v="2025-07-01T00:00:00"/>
  </r>
  <r>
    <s v="GL-862"/>
    <d v="2025-07-24T00:00:00"/>
    <n v="2010"/>
    <n v="0"/>
    <n v="3460.89"/>
    <s v="AP for Invoice AP-INV-5216"/>
    <x v="1"/>
    <s v="Liabilities"/>
    <n v="-3460.89"/>
    <x v="2"/>
    <d v="2025-07-01T00:00:00"/>
  </r>
  <r>
    <s v="GL-1107"/>
    <d v="2025-07-27T00:00:00"/>
    <n v="1200"/>
    <n v="14850.69"/>
    <n v="0"/>
    <s v="AR for Invoice AR-INV-7277"/>
    <x v="2"/>
    <s v="Assets"/>
    <n v="14850.69"/>
    <x v="2"/>
    <d v="2025-07-01T00:00:00"/>
  </r>
  <r>
    <s v="GL-1108"/>
    <d v="2025-07-27T00:00:00"/>
    <n v="4010"/>
    <n v="0"/>
    <n v="14850.69"/>
    <s v="Sales for Invoice AR-INV-7277"/>
    <x v="3"/>
    <s v="Revenue"/>
    <n v="-14850.69"/>
    <x v="2"/>
    <d v="2025-07-01T00:00:00"/>
  </r>
  <r>
    <s v="GL-1679"/>
    <d v="2025-07-28T00:00:00"/>
    <n v="1200"/>
    <n v="30141.59"/>
    <n v="0"/>
    <s v="AR for Invoice AR-INV-7420"/>
    <x v="2"/>
    <s v="Assets"/>
    <n v="30141.59"/>
    <x v="2"/>
    <d v="2025-07-01T00:00:00"/>
  </r>
  <r>
    <s v="GL-1680"/>
    <d v="2025-07-28T00:00:00"/>
    <n v="4010"/>
    <n v="0"/>
    <n v="30141.59"/>
    <s v="Sales for Invoice AR-INV-7420"/>
    <x v="3"/>
    <s v="Revenue"/>
    <n v="-30141.59"/>
    <x v="2"/>
    <d v="2025-07-01T00:00:00"/>
  </r>
  <r>
    <s v="GL-313"/>
    <d v="2025-07-28T00:00:00"/>
    <n v="5010"/>
    <n v="11128.94"/>
    <n v="0"/>
    <s v="COGS for Invoice AP-INV-5079"/>
    <x v="0"/>
    <s v="Expenses"/>
    <n v="11128.94"/>
    <x v="2"/>
    <d v="2025-07-01T00:00:00"/>
  </r>
  <r>
    <s v="GL-314"/>
    <d v="2025-07-28T00:00:00"/>
    <n v="2010"/>
    <n v="0"/>
    <n v="11128.94"/>
    <s v="AP for Invoice AP-INV-5079"/>
    <x v="1"/>
    <s v="Liabilities"/>
    <n v="-11128.94"/>
    <x v="2"/>
    <d v="2025-07-01T00:00:00"/>
  </r>
  <r>
    <s v="GL-1307"/>
    <d v="2025-08-01T00:00:00"/>
    <n v="1200"/>
    <n v="12799.54"/>
    <n v="0"/>
    <s v="AR for Invoice AR-INV-7327"/>
    <x v="2"/>
    <s v="Assets"/>
    <n v="12799.54"/>
    <x v="2"/>
    <d v="2025-08-01T00:00:00"/>
  </r>
  <r>
    <s v="GL-1308"/>
    <d v="2025-08-01T00:00:00"/>
    <n v="4010"/>
    <n v="0"/>
    <n v="12799.54"/>
    <s v="Sales for Invoice AR-INV-7327"/>
    <x v="3"/>
    <s v="Revenue"/>
    <n v="-12799.54"/>
    <x v="2"/>
    <d v="2025-08-01T00:00:00"/>
  </r>
  <r>
    <s v="GL-1289"/>
    <d v="2025-08-05T00:00:00"/>
    <n v="5010"/>
    <n v="12514.04"/>
    <n v="0"/>
    <s v="COGS for Invoice AP-INV-5323"/>
    <x v="0"/>
    <s v="Expenses"/>
    <n v="12514.04"/>
    <x v="2"/>
    <d v="2025-08-01T00:00:00"/>
  </r>
  <r>
    <s v="GL-1290"/>
    <d v="2025-08-05T00:00:00"/>
    <n v="2010"/>
    <n v="0"/>
    <n v="12514.04"/>
    <s v="AP for Invoice AP-INV-5323"/>
    <x v="1"/>
    <s v="Liabilities"/>
    <n v="-12514.04"/>
    <x v="2"/>
    <d v="2025-08-01T00:00:00"/>
  </r>
  <r>
    <s v="GL-1811"/>
    <d v="2025-08-05T00:00:00"/>
    <n v="1200"/>
    <n v="26046.400000000001"/>
    <n v="0"/>
    <s v="AR for Invoice AR-INV-7453"/>
    <x v="2"/>
    <s v="Assets"/>
    <n v="26046.400000000001"/>
    <x v="2"/>
    <d v="2025-08-01T00:00:00"/>
  </r>
  <r>
    <s v="GL-1812"/>
    <d v="2025-08-05T00:00:00"/>
    <n v="4010"/>
    <n v="0"/>
    <n v="26046.400000000001"/>
    <s v="Sales for Invoice AR-INV-7453"/>
    <x v="3"/>
    <s v="Revenue"/>
    <n v="-26046.400000000001"/>
    <x v="2"/>
    <d v="2025-08-01T00:00:00"/>
  </r>
  <r>
    <s v="GL-329"/>
    <d v="2025-08-08T00:00:00"/>
    <n v="5010"/>
    <n v="11614.68"/>
    <n v="0"/>
    <s v="COGS for Invoice AP-INV-5083"/>
    <x v="0"/>
    <s v="Expenses"/>
    <n v="11614.68"/>
    <x v="2"/>
    <d v="2025-08-01T00:00:00"/>
  </r>
  <r>
    <s v="GL-330"/>
    <d v="2025-08-08T00:00:00"/>
    <n v="2010"/>
    <n v="0"/>
    <n v="11614.68"/>
    <s v="AP for Invoice AP-INV-5083"/>
    <x v="1"/>
    <s v="Liabilities"/>
    <n v="-11614.68"/>
    <x v="2"/>
    <d v="2025-08-01T00:00:00"/>
  </r>
  <r>
    <s v="GL-145"/>
    <d v="2025-08-09T00:00:00"/>
    <n v="5010"/>
    <n v="15109.44"/>
    <n v="0"/>
    <s v="COGS for Invoice AP-INV-5037"/>
    <x v="0"/>
    <s v="Expenses"/>
    <n v="15109.44"/>
    <x v="2"/>
    <d v="2025-08-01T00:00:00"/>
  </r>
  <r>
    <s v="GL-146"/>
    <d v="2025-08-09T00:00:00"/>
    <n v="2010"/>
    <n v="0"/>
    <n v="15109.44"/>
    <s v="AP for Invoice AP-INV-5037"/>
    <x v="1"/>
    <s v="Liabilities"/>
    <n v="-15109.44"/>
    <x v="2"/>
    <d v="2025-08-01T00:00:00"/>
  </r>
  <r>
    <s v="GL-1227"/>
    <d v="2025-08-10T00:00:00"/>
    <n v="1200"/>
    <n v="28300.26"/>
    <n v="0"/>
    <s v="AR for Invoice AR-INV-7307"/>
    <x v="2"/>
    <s v="Assets"/>
    <n v="28300.26"/>
    <x v="2"/>
    <d v="2025-08-01T00:00:00"/>
  </r>
  <r>
    <s v="GL-1228"/>
    <d v="2025-08-10T00:00:00"/>
    <n v="4010"/>
    <n v="0"/>
    <n v="28300.26"/>
    <s v="Sales for Invoice AR-INV-7307"/>
    <x v="3"/>
    <s v="Revenue"/>
    <n v="-28300.26"/>
    <x v="2"/>
    <d v="2025-08-01T00:00:00"/>
  </r>
  <r>
    <s v="GL-1163"/>
    <d v="2025-08-12T00:00:00"/>
    <n v="1200"/>
    <n v="45208.85"/>
    <n v="0"/>
    <s v="AR for Invoice AR-INV-7291"/>
    <x v="2"/>
    <s v="Assets"/>
    <n v="45208.85"/>
    <x v="2"/>
    <d v="2025-08-01T00:00:00"/>
  </r>
  <r>
    <s v="GL-1164"/>
    <d v="2025-08-12T00:00:00"/>
    <n v="4010"/>
    <n v="0"/>
    <n v="45208.85"/>
    <s v="Sales for Invoice AR-INV-7291"/>
    <x v="3"/>
    <s v="Revenue"/>
    <n v="-45208.85"/>
    <x v="2"/>
    <d v="2025-08-01T00:00:00"/>
  </r>
  <r>
    <s v="GL-1067"/>
    <d v="2025-08-14T00:00:00"/>
    <n v="1200"/>
    <n v="20706.89"/>
    <n v="0"/>
    <s v="AR for Invoice AR-INV-7267"/>
    <x v="2"/>
    <s v="Assets"/>
    <n v="20706.89"/>
    <x v="2"/>
    <d v="2025-08-01T00:00:00"/>
  </r>
  <r>
    <s v="GL-1068"/>
    <d v="2025-08-14T00:00:00"/>
    <n v="4010"/>
    <n v="0"/>
    <n v="20706.89"/>
    <s v="Sales for Invoice AR-INV-7267"/>
    <x v="3"/>
    <s v="Revenue"/>
    <n v="-20706.89"/>
    <x v="2"/>
    <d v="2025-08-01T00:00:00"/>
  </r>
  <r>
    <s v="GL-855"/>
    <d v="2025-08-14T00:00:00"/>
    <n v="1200"/>
    <n v="1689.38"/>
    <n v="0"/>
    <s v="AR for Invoice AR-INV-7214"/>
    <x v="2"/>
    <s v="Assets"/>
    <n v="1689.38"/>
    <x v="2"/>
    <d v="2025-08-01T00:00:00"/>
  </r>
  <r>
    <s v="GL-856"/>
    <d v="2025-08-14T00:00:00"/>
    <n v="4010"/>
    <n v="0"/>
    <n v="1689.38"/>
    <s v="Sales for Invoice AR-INV-7214"/>
    <x v="3"/>
    <s v="Revenue"/>
    <n v="-1689.38"/>
    <x v="2"/>
    <d v="2025-08-01T00:00:00"/>
  </r>
  <r>
    <s v="GL-835"/>
    <d v="2025-08-16T00:00:00"/>
    <n v="1200"/>
    <n v="44281.11"/>
    <n v="0"/>
    <s v="AR for Invoice AR-INV-7209"/>
    <x v="2"/>
    <s v="Assets"/>
    <n v="44281.11"/>
    <x v="2"/>
    <d v="2025-08-01T00:00:00"/>
  </r>
  <r>
    <s v="GL-836"/>
    <d v="2025-08-16T00:00:00"/>
    <n v="4010"/>
    <n v="0"/>
    <n v="44281.11"/>
    <s v="Sales for Invoice AR-INV-7209"/>
    <x v="3"/>
    <s v="Revenue"/>
    <n v="-44281.11"/>
    <x v="2"/>
    <d v="2025-08-01T00:00:00"/>
  </r>
  <r>
    <s v="GL-1675"/>
    <d v="2025-08-17T00:00:00"/>
    <n v="1200"/>
    <n v="30345.34"/>
    <n v="0"/>
    <s v="AR for Invoice AR-INV-7419"/>
    <x v="2"/>
    <s v="Assets"/>
    <n v="30345.34"/>
    <x v="2"/>
    <d v="2025-08-01T00:00:00"/>
  </r>
  <r>
    <s v="GL-1676"/>
    <d v="2025-08-17T00:00:00"/>
    <n v="4010"/>
    <n v="0"/>
    <n v="30345.34"/>
    <s v="Sales for Invoice AR-INV-7419"/>
    <x v="3"/>
    <s v="Revenue"/>
    <n v="-30345.34"/>
    <x v="2"/>
    <d v="2025-08-01T00:00:00"/>
  </r>
  <r>
    <s v="GL-195"/>
    <d v="2025-08-17T00:00:00"/>
    <n v="1200"/>
    <n v="39714.94"/>
    <n v="0"/>
    <s v="AR for Invoice AR-INV-7049"/>
    <x v="2"/>
    <s v="Assets"/>
    <n v="39714.94"/>
    <x v="2"/>
    <d v="2025-08-01T00:00:00"/>
  </r>
  <r>
    <s v="GL-196"/>
    <d v="2025-08-17T00:00:00"/>
    <n v="4010"/>
    <n v="0"/>
    <n v="39714.94"/>
    <s v="Sales for Invoice AR-INV-7049"/>
    <x v="3"/>
    <s v="Revenue"/>
    <n v="-39714.94"/>
    <x v="2"/>
    <d v="2025-08-01T00:00:00"/>
  </r>
  <r>
    <s v="GL-1237"/>
    <d v="2025-08-19T00:00:00"/>
    <n v="5010"/>
    <n v="17466.07"/>
    <n v="0"/>
    <s v="COGS for Invoice AP-INV-5310"/>
    <x v="0"/>
    <s v="Expenses"/>
    <n v="17466.07"/>
    <x v="2"/>
    <d v="2025-08-01T00:00:00"/>
  </r>
  <r>
    <s v="GL-1238"/>
    <d v="2025-08-19T00:00:00"/>
    <n v="2010"/>
    <n v="0"/>
    <n v="17466.07"/>
    <s v="AP for Invoice AP-INV-5310"/>
    <x v="1"/>
    <s v="Liabilities"/>
    <n v="-17466.07"/>
    <x v="2"/>
    <d v="2025-08-01T00:00:00"/>
  </r>
  <r>
    <s v="GL-1347"/>
    <d v="2025-08-19T00:00:00"/>
    <n v="1200"/>
    <n v="16198.95"/>
    <n v="0"/>
    <s v="AR for Invoice AR-INV-7337"/>
    <x v="2"/>
    <s v="Assets"/>
    <n v="16198.95"/>
    <x v="2"/>
    <d v="2025-08-01T00:00:00"/>
  </r>
  <r>
    <s v="GL-1348"/>
    <d v="2025-08-19T00:00:00"/>
    <n v="4010"/>
    <n v="0"/>
    <n v="16198.95"/>
    <s v="Sales for Invoice AR-INV-7337"/>
    <x v="3"/>
    <s v="Revenue"/>
    <n v="-16198.95"/>
    <x v="2"/>
    <d v="2025-08-01T00:00:00"/>
  </r>
  <r>
    <s v="GL-1141"/>
    <d v="2025-08-21T00:00:00"/>
    <n v="5010"/>
    <n v="15379.13"/>
    <n v="0"/>
    <s v="COGS for Invoice AP-INV-5286"/>
    <x v="0"/>
    <s v="Expenses"/>
    <n v="15379.13"/>
    <x v="2"/>
    <d v="2025-08-01T00:00:00"/>
  </r>
  <r>
    <s v="GL-1142"/>
    <d v="2025-08-21T00:00:00"/>
    <n v="2010"/>
    <n v="0"/>
    <n v="15379.13"/>
    <s v="AP for Invoice AP-INV-5286"/>
    <x v="1"/>
    <s v="Liabilities"/>
    <n v="-15379.13"/>
    <x v="2"/>
    <d v="2025-08-01T00:00:00"/>
  </r>
  <r>
    <s v="GL-1369"/>
    <d v="2025-08-21T00:00:00"/>
    <n v="5010"/>
    <n v="11370.1"/>
    <n v="0"/>
    <s v="COGS for Invoice AP-INV-5343"/>
    <x v="0"/>
    <s v="Expenses"/>
    <n v="11370.1"/>
    <x v="2"/>
    <d v="2025-08-01T00:00:00"/>
  </r>
  <r>
    <s v="GL-1370"/>
    <d v="2025-08-21T00:00:00"/>
    <n v="2010"/>
    <n v="0"/>
    <n v="11370.1"/>
    <s v="AP for Invoice AP-INV-5343"/>
    <x v="1"/>
    <s v="Liabilities"/>
    <n v="-11370.1"/>
    <x v="2"/>
    <d v="2025-08-01T00:00:00"/>
  </r>
  <r>
    <s v="GL-1527"/>
    <d v="2025-08-21T00:00:00"/>
    <n v="1200"/>
    <n v="49278.47"/>
    <n v="0"/>
    <s v="AR for Invoice AR-INV-7382"/>
    <x v="2"/>
    <s v="Assets"/>
    <n v="49278.47"/>
    <x v="2"/>
    <d v="2025-08-01T00:00:00"/>
  </r>
  <r>
    <s v="GL-1528"/>
    <d v="2025-08-21T00:00:00"/>
    <n v="4010"/>
    <n v="0"/>
    <n v="49278.47"/>
    <s v="Sales for Invoice AR-INV-7382"/>
    <x v="3"/>
    <s v="Revenue"/>
    <n v="-49278.47"/>
    <x v="2"/>
    <d v="2025-08-01T00:00:00"/>
  </r>
  <r>
    <s v="GL-723"/>
    <d v="2025-08-21T00:00:00"/>
    <n v="1200"/>
    <n v="29865.53"/>
    <n v="0"/>
    <s v="AR for Invoice AR-INV-7181"/>
    <x v="2"/>
    <s v="Assets"/>
    <n v="29865.53"/>
    <x v="2"/>
    <d v="2025-08-01T00:00:00"/>
  </r>
  <r>
    <s v="GL-724"/>
    <d v="2025-08-21T00:00:00"/>
    <n v="4010"/>
    <n v="0"/>
    <n v="29865.53"/>
    <s v="Sales for Invoice AR-INV-7181"/>
    <x v="3"/>
    <s v="Revenue"/>
    <n v="-29865.53"/>
    <x v="2"/>
    <d v="2025-08-01T00:00:00"/>
  </r>
  <r>
    <s v="GL-769"/>
    <d v="2025-08-21T00:00:00"/>
    <n v="5010"/>
    <n v="19635.73"/>
    <n v="0"/>
    <s v="COGS for Invoice AP-INV-5193"/>
    <x v="0"/>
    <s v="Expenses"/>
    <n v="19635.73"/>
    <x v="2"/>
    <d v="2025-08-01T00:00:00"/>
  </r>
  <r>
    <s v="GL-770"/>
    <d v="2025-08-21T00:00:00"/>
    <n v="2010"/>
    <n v="0"/>
    <n v="19635.73"/>
    <s v="AP for Invoice AP-INV-5193"/>
    <x v="1"/>
    <s v="Liabilities"/>
    <n v="-19635.73"/>
    <x v="2"/>
    <d v="2025-08-01T00:00:00"/>
  </r>
  <r>
    <s v="GL-965"/>
    <d v="2025-08-21T00:00:00"/>
    <n v="5010"/>
    <n v="6729.34"/>
    <n v="0"/>
    <s v="COGS for Invoice AP-INV-5242"/>
    <x v="0"/>
    <s v="Expenses"/>
    <n v="6729.34"/>
    <x v="2"/>
    <d v="2025-08-01T00:00:00"/>
  </r>
  <r>
    <s v="GL-966"/>
    <d v="2025-08-21T00:00:00"/>
    <n v="2010"/>
    <n v="0"/>
    <n v="6729.34"/>
    <s v="AP for Invoice AP-INV-5242"/>
    <x v="1"/>
    <s v="Liabilities"/>
    <n v="-6729.34"/>
    <x v="2"/>
    <d v="2025-08-01T00:00:00"/>
  </r>
  <r>
    <s v="GL-1647"/>
    <d v="2025-08-22T00:00:00"/>
    <n v="1200"/>
    <n v="30119.71"/>
    <n v="0"/>
    <s v="AR for Invoice AR-INV-7412"/>
    <x v="2"/>
    <s v="Assets"/>
    <n v="30119.71"/>
    <x v="2"/>
    <d v="2025-08-01T00:00:00"/>
  </r>
  <r>
    <s v="GL-1648"/>
    <d v="2025-08-22T00:00:00"/>
    <n v="4010"/>
    <n v="0"/>
    <n v="30119.71"/>
    <s v="Sales for Invoice AR-INV-7412"/>
    <x v="3"/>
    <s v="Revenue"/>
    <n v="-30119.71"/>
    <x v="2"/>
    <d v="2025-08-01T00:00:00"/>
  </r>
  <r>
    <s v="GL-1903"/>
    <d v="2025-08-23T00:00:00"/>
    <n v="1200"/>
    <n v="29189.89"/>
    <n v="0"/>
    <s v="AR for Invoice AR-INV-7476"/>
    <x v="2"/>
    <s v="Assets"/>
    <n v="29189.89"/>
    <x v="2"/>
    <d v="2025-08-01T00:00:00"/>
  </r>
  <r>
    <s v="GL-1904"/>
    <d v="2025-08-23T00:00:00"/>
    <n v="4010"/>
    <n v="0"/>
    <n v="29189.89"/>
    <s v="Sales for Invoice AR-INV-7476"/>
    <x v="3"/>
    <s v="Revenue"/>
    <n v="-29189.89"/>
    <x v="2"/>
    <d v="2025-08-01T00:00:00"/>
  </r>
  <r>
    <s v="GL-1117"/>
    <d v="2025-08-25T00:00:00"/>
    <n v="5010"/>
    <n v="5461.76"/>
    <n v="0"/>
    <s v="COGS for Invoice AP-INV-5280"/>
    <x v="0"/>
    <s v="Expenses"/>
    <n v="5461.76"/>
    <x v="2"/>
    <d v="2025-08-01T00:00:00"/>
  </r>
  <r>
    <s v="GL-1118"/>
    <d v="2025-08-25T00:00:00"/>
    <n v="2010"/>
    <n v="0"/>
    <n v="5461.76"/>
    <s v="AP for Invoice AP-INV-5280"/>
    <x v="1"/>
    <s v="Liabilities"/>
    <n v="-5461.76"/>
    <x v="2"/>
    <d v="2025-08-01T00:00:00"/>
  </r>
  <r>
    <s v="GL-103"/>
    <d v="2025-08-26T00:00:00"/>
    <n v="1200"/>
    <n v="31838.09"/>
    <n v="0"/>
    <s v="AR for Invoice AR-INV-7026"/>
    <x v="2"/>
    <s v="Assets"/>
    <n v="31838.09"/>
    <x v="2"/>
    <d v="2025-08-01T00:00:00"/>
  </r>
  <r>
    <s v="GL-104"/>
    <d v="2025-08-26T00:00:00"/>
    <n v="4010"/>
    <n v="0"/>
    <n v="31838.09"/>
    <s v="Sales for Invoice AR-INV-7026"/>
    <x v="3"/>
    <s v="Revenue"/>
    <n v="-31838.09"/>
    <x v="2"/>
    <d v="2025-08-01T00:00:00"/>
  </r>
  <r>
    <s v="GL-1973"/>
    <d v="2025-08-26T00:00:00"/>
    <n v="5010"/>
    <n v="12090.48"/>
    <n v="0"/>
    <s v="COGS for Invoice AP-INV-5494"/>
    <x v="0"/>
    <s v="Expenses"/>
    <n v="12090.48"/>
    <x v="2"/>
    <d v="2025-08-01T00:00:00"/>
  </r>
  <r>
    <s v="GL-1974"/>
    <d v="2025-08-26T00:00:00"/>
    <n v="2010"/>
    <n v="0"/>
    <n v="12090.48"/>
    <s v="AP for Invoice AP-INV-5494"/>
    <x v="1"/>
    <s v="Liabilities"/>
    <n v="-12090.48"/>
    <x v="2"/>
    <d v="2025-08-01T00:00:00"/>
  </r>
  <r>
    <s v="GL-1165"/>
    <d v="2025-08-28T00:00:00"/>
    <n v="5010"/>
    <n v="7071.66"/>
    <n v="0"/>
    <s v="COGS for Invoice AP-INV-5292"/>
    <x v="0"/>
    <s v="Expenses"/>
    <n v="7071.66"/>
    <x v="2"/>
    <d v="2025-08-01T00:00:00"/>
  </r>
  <r>
    <s v="GL-1166"/>
    <d v="2025-08-28T00:00:00"/>
    <n v="2010"/>
    <n v="0"/>
    <n v="7071.66"/>
    <s v="AP for Invoice AP-INV-5292"/>
    <x v="1"/>
    <s v="Liabilities"/>
    <n v="-7071.66"/>
    <x v="2"/>
    <d v="2025-08-01T00:00:00"/>
  </r>
  <r>
    <s v="GL-985"/>
    <d v="2025-08-28T00:00:00"/>
    <n v="5010"/>
    <n v="2938.45"/>
    <n v="0"/>
    <s v="COGS for Invoice AP-INV-5247"/>
    <x v="0"/>
    <s v="Expenses"/>
    <n v="2938.45"/>
    <x v="2"/>
    <d v="2025-08-01T00:00:00"/>
  </r>
  <r>
    <s v="GL-986"/>
    <d v="2025-08-28T00:00:00"/>
    <n v="2010"/>
    <n v="0"/>
    <n v="2938.45"/>
    <s v="AP for Invoice AP-INV-5247"/>
    <x v="1"/>
    <s v="Liabilities"/>
    <n v="-2938.45"/>
    <x v="2"/>
    <d v="2025-08-01T00:00:00"/>
  </r>
  <r>
    <s v="GL-405"/>
    <d v="2025-08-29T00:00:00"/>
    <n v="5010"/>
    <n v="1740.84"/>
    <n v="0"/>
    <s v="COGS for Invoice AP-INV-5102"/>
    <x v="0"/>
    <s v="Expenses"/>
    <n v="1740.84"/>
    <x v="2"/>
    <d v="2025-08-01T00:00:00"/>
  </r>
  <r>
    <s v="GL-406"/>
    <d v="2025-08-29T00:00:00"/>
    <n v="2010"/>
    <n v="0"/>
    <n v="1740.84"/>
    <s v="AP for Invoice AP-INV-5102"/>
    <x v="1"/>
    <s v="Liabilities"/>
    <n v="-1740.84"/>
    <x v="2"/>
    <d v="2025-08-01T00:00:00"/>
  </r>
  <r>
    <s v="GL-369"/>
    <d v="2025-09-02T00:00:00"/>
    <n v="5010"/>
    <n v="5905.59"/>
    <n v="0"/>
    <s v="COGS for Invoice AP-INV-5093"/>
    <x v="0"/>
    <s v="Expenses"/>
    <n v="5905.59"/>
    <x v="2"/>
    <d v="2025-09-01T00:00:00"/>
  </r>
  <r>
    <s v="GL-370"/>
    <d v="2025-09-02T00:00:00"/>
    <n v="2010"/>
    <n v="0"/>
    <n v="5905.59"/>
    <s v="AP for Invoice AP-INV-5093"/>
    <x v="1"/>
    <s v="Liabilities"/>
    <n v="-5905.59"/>
    <x v="2"/>
    <d v="2025-09-01T00:00:00"/>
  </r>
  <r>
    <s v="GL-1427"/>
    <d v="2025-09-04T00:00:00"/>
    <n v="1200"/>
    <n v="36205.18"/>
    <n v="0"/>
    <s v="AR for Invoice AR-INV-7357"/>
    <x v="2"/>
    <s v="Assets"/>
    <n v="36205.18"/>
    <x v="2"/>
    <d v="2025-09-01T00:00:00"/>
  </r>
  <r>
    <s v="GL-1428"/>
    <d v="2025-09-04T00:00:00"/>
    <n v="4010"/>
    <n v="0"/>
    <n v="36205.18"/>
    <s v="Sales for Invoice AR-INV-7357"/>
    <x v="3"/>
    <s v="Revenue"/>
    <n v="-36205.18"/>
    <x v="2"/>
    <d v="2025-09-01T00:00:00"/>
  </r>
  <r>
    <s v="GL-31"/>
    <d v="2025-09-06T00:00:00"/>
    <n v="1200"/>
    <n v="45626.52"/>
    <n v="0"/>
    <s v="AR for Invoice AR-INV-7008"/>
    <x v="2"/>
    <s v="Assets"/>
    <n v="45626.52"/>
    <x v="2"/>
    <d v="2025-09-01T00:00:00"/>
  </r>
  <r>
    <s v="GL-32"/>
    <d v="2025-09-06T00:00:00"/>
    <n v="4010"/>
    <n v="0"/>
    <n v="45626.52"/>
    <s v="Sales for Invoice AR-INV-7008"/>
    <x v="3"/>
    <s v="Revenue"/>
    <n v="-45626.52"/>
    <x v="2"/>
    <d v="2025-09-01T00:00:00"/>
  </r>
  <r>
    <s v="GL-1685"/>
    <d v="2025-09-08T00:00:00"/>
    <n v="5010"/>
    <n v="10320.200000000001"/>
    <n v="0"/>
    <s v="COGS for Invoice AP-INV-5422"/>
    <x v="0"/>
    <s v="Expenses"/>
    <n v="10320.200000000001"/>
    <x v="2"/>
    <d v="2025-09-01T00:00:00"/>
  </r>
  <r>
    <s v="GL-1686"/>
    <d v="2025-09-08T00:00:00"/>
    <n v="2010"/>
    <n v="0"/>
    <n v="10320.200000000001"/>
    <s v="AP for Invoice AP-INV-5422"/>
    <x v="1"/>
    <s v="Liabilities"/>
    <n v="-10320.200000000001"/>
    <x v="2"/>
    <d v="2025-09-01T00:00:00"/>
  </r>
  <r>
    <s v="GL-283"/>
    <d v="2025-09-09T00:00:00"/>
    <n v="1200"/>
    <n v="7525.17"/>
    <n v="0"/>
    <s v="AR for Invoice AR-INV-7071"/>
    <x v="2"/>
    <s v="Assets"/>
    <n v="7525.17"/>
    <x v="2"/>
    <d v="2025-09-01T00:00:00"/>
  </r>
  <r>
    <s v="GL-284"/>
    <d v="2025-09-09T00:00:00"/>
    <n v="4010"/>
    <n v="0"/>
    <n v="7525.17"/>
    <s v="Sales for Invoice AR-INV-7071"/>
    <x v="3"/>
    <s v="Revenue"/>
    <n v="-7525.17"/>
    <x v="2"/>
    <d v="2025-09-01T00:00:00"/>
  </r>
  <r>
    <s v="GL-1037"/>
    <d v="2025-09-10T00:00:00"/>
    <n v="5010"/>
    <n v="6765.39"/>
    <n v="0"/>
    <s v="COGS for Invoice AP-INV-5260"/>
    <x v="0"/>
    <s v="Expenses"/>
    <n v="6765.39"/>
    <x v="2"/>
    <d v="2025-09-01T00:00:00"/>
  </r>
  <r>
    <s v="GL-1038"/>
    <d v="2025-09-10T00:00:00"/>
    <n v="2010"/>
    <n v="0"/>
    <n v="6765.39"/>
    <s v="AP for Invoice AP-INV-5260"/>
    <x v="1"/>
    <s v="Liabilities"/>
    <n v="-6765.39"/>
    <x v="2"/>
    <d v="2025-09-01T00:00:00"/>
  </r>
  <r>
    <s v="GL-1609"/>
    <d v="2025-09-12T00:00:00"/>
    <n v="5010"/>
    <n v="4700.6499999999996"/>
    <n v="0"/>
    <s v="COGS for Invoice AP-INV-5403"/>
    <x v="0"/>
    <s v="Expenses"/>
    <n v="4700.6499999999996"/>
    <x v="2"/>
    <d v="2025-09-01T00:00:00"/>
  </r>
  <r>
    <s v="GL-1610"/>
    <d v="2025-09-12T00:00:00"/>
    <n v="2010"/>
    <n v="0"/>
    <n v="4700.6499999999996"/>
    <s v="AP for Invoice AP-INV-5403"/>
    <x v="1"/>
    <s v="Liabilities"/>
    <n v="-4700.6499999999996"/>
    <x v="2"/>
    <d v="2025-09-01T00:00:00"/>
  </r>
  <r>
    <s v="GL-1459"/>
    <d v="2025-09-13T00:00:00"/>
    <n v="1200"/>
    <n v="32484.639999999999"/>
    <n v="0"/>
    <s v="AR for Invoice AR-INV-7365"/>
    <x v="2"/>
    <s v="Assets"/>
    <n v="32484.639999999999"/>
    <x v="2"/>
    <d v="2025-09-01T00:00:00"/>
  </r>
  <r>
    <s v="GL-1460"/>
    <d v="2025-09-13T00:00:00"/>
    <n v="4010"/>
    <n v="0"/>
    <n v="32484.639999999999"/>
    <s v="Sales for Invoice AR-INV-7365"/>
    <x v="3"/>
    <s v="Revenue"/>
    <n v="-32484.639999999999"/>
    <x v="2"/>
    <d v="2025-09-01T00:00:00"/>
  </r>
  <r>
    <s v="GL-1865"/>
    <d v="2025-09-14T00:00:00"/>
    <n v="5010"/>
    <n v="755.51"/>
    <n v="0"/>
    <s v="COGS for Invoice AP-INV-5467"/>
    <x v="0"/>
    <s v="Expenses"/>
    <n v="755.51"/>
    <x v="2"/>
    <d v="2025-09-01T00:00:00"/>
  </r>
  <r>
    <s v="GL-1866"/>
    <d v="2025-09-14T00:00:00"/>
    <n v="2010"/>
    <n v="0"/>
    <n v="755.51"/>
    <s v="AP for Invoice AP-INV-5467"/>
    <x v="1"/>
    <s v="Liabilities"/>
    <n v="-755.51"/>
    <x v="2"/>
    <d v="2025-09-01T00:00:00"/>
  </r>
  <r>
    <s v="GL-905"/>
    <d v="2025-09-14T00:00:00"/>
    <n v="5010"/>
    <n v="5443.84"/>
    <n v="0"/>
    <s v="COGS for Invoice AP-INV-5227"/>
    <x v="0"/>
    <s v="Expenses"/>
    <n v="5443.84"/>
    <x v="2"/>
    <d v="2025-09-01T00:00:00"/>
  </r>
  <r>
    <s v="GL-906"/>
    <d v="2025-09-14T00:00:00"/>
    <n v="2010"/>
    <n v="0"/>
    <n v="5443.84"/>
    <s v="AP for Invoice AP-INV-5227"/>
    <x v="1"/>
    <s v="Liabilities"/>
    <n v="-5443.84"/>
    <x v="2"/>
    <d v="2025-09-01T00:00:00"/>
  </r>
  <r>
    <s v="GL-333"/>
    <d v="2025-09-15T00:00:00"/>
    <n v="5010"/>
    <n v="10691.06"/>
    <n v="0"/>
    <s v="COGS for Invoice AP-INV-5084"/>
    <x v="0"/>
    <s v="Expenses"/>
    <n v="10691.06"/>
    <x v="2"/>
    <d v="2025-09-01T00:00:00"/>
  </r>
  <r>
    <s v="GL-334"/>
    <d v="2025-09-15T00:00:00"/>
    <n v="2010"/>
    <n v="0"/>
    <n v="10691.06"/>
    <s v="AP for Invoice AP-INV-5084"/>
    <x v="1"/>
    <s v="Liabilities"/>
    <n v="-10691.06"/>
    <x v="2"/>
    <d v="2025-09-01T00:00:00"/>
  </r>
  <r>
    <s v="GL-943"/>
    <d v="2025-09-18T00:00:00"/>
    <n v="1200"/>
    <n v="13143.23"/>
    <n v="0"/>
    <s v="AR for Invoice AR-INV-7236"/>
    <x v="2"/>
    <s v="Assets"/>
    <n v="13143.23"/>
    <x v="2"/>
    <d v="2025-09-01T00:00:00"/>
  </r>
  <r>
    <s v="GL-944"/>
    <d v="2025-09-18T00:00:00"/>
    <n v="4010"/>
    <n v="0"/>
    <n v="13143.23"/>
    <s v="Sales for Invoice AR-INV-7236"/>
    <x v="3"/>
    <s v="Revenue"/>
    <n v="-13143.23"/>
    <x v="2"/>
    <d v="2025-09-01T00:00:00"/>
  </r>
  <r>
    <s v="GL-1489"/>
    <d v="2025-09-19T00:00:00"/>
    <n v="5010"/>
    <n v="6322.37"/>
    <n v="0"/>
    <s v="COGS for Invoice AP-INV-5373"/>
    <x v="0"/>
    <s v="Expenses"/>
    <n v="6322.37"/>
    <x v="2"/>
    <d v="2025-09-01T00:00:00"/>
  </r>
  <r>
    <s v="GL-1490"/>
    <d v="2025-09-19T00:00:00"/>
    <n v="2010"/>
    <n v="0"/>
    <n v="6322.37"/>
    <s v="AP for Invoice AP-INV-5373"/>
    <x v="1"/>
    <s v="Liabilities"/>
    <n v="-6322.37"/>
    <x v="2"/>
    <d v="2025-09-01T00:00:00"/>
  </r>
  <r>
    <s v="GL-1029"/>
    <d v="2025-09-20T00:00:00"/>
    <n v="5010"/>
    <n v="14745.61"/>
    <n v="0"/>
    <s v="COGS for Invoice AP-INV-5258"/>
    <x v="0"/>
    <s v="Expenses"/>
    <n v="14745.61"/>
    <x v="2"/>
    <d v="2025-09-01T00:00:00"/>
  </r>
  <r>
    <s v="GL-1030"/>
    <d v="2025-09-20T00:00:00"/>
    <n v="2010"/>
    <n v="0"/>
    <n v="14745.61"/>
    <s v="AP for Invoice AP-INV-5258"/>
    <x v="1"/>
    <s v="Liabilities"/>
    <n v="-14745.61"/>
    <x v="2"/>
    <d v="2025-09-01T00:00:00"/>
  </r>
  <r>
    <s v="GL-1075"/>
    <d v="2025-09-20T00:00:00"/>
    <n v="1200"/>
    <n v="21573.56"/>
    <n v="0"/>
    <s v="AR for Invoice AR-INV-7269"/>
    <x v="2"/>
    <s v="Assets"/>
    <n v="21573.56"/>
    <x v="2"/>
    <d v="2025-09-01T00:00:00"/>
  </r>
  <r>
    <s v="GL-1076"/>
    <d v="2025-09-20T00:00:00"/>
    <n v="4010"/>
    <n v="0"/>
    <n v="21573.56"/>
    <s v="Sales for Invoice AR-INV-7269"/>
    <x v="3"/>
    <s v="Revenue"/>
    <n v="-21573.56"/>
    <x v="2"/>
    <d v="2025-09-01T00:00:00"/>
  </r>
  <r>
    <s v="GL-1979"/>
    <d v="2025-09-20T00:00:00"/>
    <n v="1200"/>
    <n v="42923.839999999997"/>
    <n v="0"/>
    <s v="AR for Invoice AR-INV-7495"/>
    <x v="2"/>
    <s v="Assets"/>
    <n v="42923.839999999997"/>
    <x v="2"/>
    <d v="2025-09-01T00:00:00"/>
  </r>
  <r>
    <s v="GL-1980"/>
    <d v="2025-09-20T00:00:00"/>
    <n v="4010"/>
    <n v="0"/>
    <n v="42923.839999999997"/>
    <s v="Sales for Invoice AR-INV-7495"/>
    <x v="3"/>
    <s v="Revenue"/>
    <n v="-42923.839999999997"/>
    <x v="2"/>
    <d v="2025-09-01T00:00:00"/>
  </r>
  <r>
    <s v="GL-501"/>
    <d v="2025-09-20T00:00:00"/>
    <n v="5010"/>
    <n v="15412.52"/>
    <n v="0"/>
    <s v="COGS for Invoice AP-INV-5126"/>
    <x v="0"/>
    <s v="Expenses"/>
    <n v="15412.52"/>
    <x v="2"/>
    <d v="2025-09-01T00:00:00"/>
  </r>
  <r>
    <s v="GL-502"/>
    <d v="2025-09-20T00:00:00"/>
    <n v="2010"/>
    <n v="0"/>
    <n v="15412.52"/>
    <s v="AP for Invoice AP-INV-5126"/>
    <x v="1"/>
    <s v="Liabilities"/>
    <n v="-15412.52"/>
    <x v="2"/>
    <d v="2025-09-01T00:00:00"/>
  </r>
  <r>
    <s v="GL-1049"/>
    <d v="2025-09-23T00:00:00"/>
    <n v="5010"/>
    <n v="19310.189999999999"/>
    <n v="0"/>
    <s v="COGS for Invoice AP-INV-5263"/>
    <x v="0"/>
    <s v="Expenses"/>
    <n v="19310.189999999999"/>
    <x v="2"/>
    <d v="2025-09-01T00:00:00"/>
  </r>
  <r>
    <s v="GL-1050"/>
    <d v="2025-09-23T00:00:00"/>
    <n v="2010"/>
    <n v="0"/>
    <n v="19310.189999999999"/>
    <s v="AP for Invoice AP-INV-5263"/>
    <x v="1"/>
    <s v="Liabilities"/>
    <n v="-19310.189999999999"/>
    <x v="2"/>
    <d v="2025-09-01T00:00:00"/>
  </r>
  <r>
    <s v="GL-537"/>
    <d v="2025-09-26T00:00:00"/>
    <n v="5010"/>
    <n v="12571.65"/>
    <n v="0"/>
    <s v="COGS for Invoice AP-INV-5135"/>
    <x v="0"/>
    <s v="Expenses"/>
    <n v="12571.65"/>
    <x v="2"/>
    <d v="2025-09-01T00:00:00"/>
  </r>
  <r>
    <s v="GL-538"/>
    <d v="2025-09-26T00:00:00"/>
    <n v="2010"/>
    <n v="0"/>
    <n v="12571.65"/>
    <s v="AP for Invoice AP-INV-5135"/>
    <x v="1"/>
    <s v="Liabilities"/>
    <n v="-12571.65"/>
    <x v="2"/>
    <d v="2025-09-01T00:00:00"/>
  </r>
  <r>
    <s v="GL-1203"/>
    <d v="2025-09-28T00:00:00"/>
    <n v="1200"/>
    <n v="4621.58"/>
    <n v="0"/>
    <s v="AR for Invoice AR-INV-7301"/>
    <x v="2"/>
    <s v="Assets"/>
    <n v="4621.58"/>
    <x v="2"/>
    <d v="2025-09-01T00:00:00"/>
  </r>
  <r>
    <s v="GL-1204"/>
    <d v="2025-09-28T00:00:00"/>
    <n v="4010"/>
    <n v="0"/>
    <n v="4621.58"/>
    <s v="Sales for Invoice AR-INV-7301"/>
    <x v="3"/>
    <s v="Revenue"/>
    <n v="-4621.58"/>
    <x v="2"/>
    <d v="2025-09-01T00:00:00"/>
  </r>
  <r>
    <s v="GL-13"/>
    <d v="2025-09-29T00:00:00"/>
    <n v="5010"/>
    <n v="11228.89"/>
    <n v="0"/>
    <s v="COGS for Invoice AP-INV-5004"/>
    <x v="0"/>
    <s v="Expenses"/>
    <n v="11228.89"/>
    <x v="2"/>
    <d v="2025-09-01T00:00:00"/>
  </r>
  <r>
    <s v="GL-14"/>
    <d v="2025-09-29T00:00:00"/>
    <n v="2010"/>
    <n v="0"/>
    <n v="11228.89"/>
    <s v="AP for Invoice AP-INV-5004"/>
    <x v="1"/>
    <s v="Liabilities"/>
    <n v="-11228.89"/>
    <x v="2"/>
    <d v="2025-09-01T00:00:00"/>
  </r>
  <r>
    <s v="GL-1879"/>
    <d v="2025-09-29T00:00:00"/>
    <n v="1200"/>
    <n v="28677.61"/>
    <n v="0"/>
    <s v="AR for Invoice AR-INV-7470"/>
    <x v="2"/>
    <s v="Assets"/>
    <n v="28677.61"/>
    <x v="2"/>
    <d v="2025-09-01T00:00:00"/>
  </r>
  <r>
    <s v="GL-1880"/>
    <d v="2025-09-29T00:00:00"/>
    <n v="4010"/>
    <n v="0"/>
    <n v="28677.61"/>
    <s v="Sales for Invoice AR-INV-7470"/>
    <x v="3"/>
    <s v="Revenue"/>
    <n v="-28677.61"/>
    <x v="2"/>
    <d v="2025-09-01T00:00:00"/>
  </r>
  <r>
    <s v="GL-1539"/>
    <d v="2025-10-01T00:00:00"/>
    <n v="1200"/>
    <n v="9822.0499999999993"/>
    <n v="0"/>
    <s v="AR for Invoice AR-INV-7385"/>
    <x v="2"/>
    <s v="Assets"/>
    <n v="9822.0499999999993"/>
    <x v="2"/>
    <d v="2025-10-01T00:00:00"/>
  </r>
  <r>
    <s v="GL-1540"/>
    <d v="2025-10-01T00:00:00"/>
    <n v="4010"/>
    <n v="0"/>
    <n v="9822.0499999999993"/>
    <s v="Sales for Invoice AR-INV-7385"/>
    <x v="3"/>
    <s v="Revenue"/>
    <n v="-9822.0499999999993"/>
    <x v="2"/>
    <d v="2025-10-01T00:00:00"/>
  </r>
  <r>
    <s v="GL-1199"/>
    <d v="2025-10-04T00:00:00"/>
    <n v="1200"/>
    <n v="21070.59"/>
    <n v="0"/>
    <s v="AR for Invoice AR-INV-7300"/>
    <x v="2"/>
    <s v="Assets"/>
    <n v="21070.59"/>
    <x v="2"/>
    <d v="2025-10-01T00:00:00"/>
  </r>
  <r>
    <s v="GL-1200"/>
    <d v="2025-10-04T00:00:00"/>
    <n v="4010"/>
    <n v="0"/>
    <n v="21070.59"/>
    <s v="Sales for Invoice AR-INV-7300"/>
    <x v="3"/>
    <s v="Revenue"/>
    <n v="-21070.59"/>
    <x v="2"/>
    <d v="2025-10-01T00:00:00"/>
  </r>
  <r>
    <s v="GL-335"/>
    <d v="2025-10-05T00:00:00"/>
    <n v="1200"/>
    <n v="35476.11"/>
    <n v="0"/>
    <s v="AR for Invoice AR-INV-7084"/>
    <x v="2"/>
    <s v="Assets"/>
    <n v="35476.11"/>
    <x v="2"/>
    <d v="2025-10-01T00:00:00"/>
  </r>
  <r>
    <s v="GL-336"/>
    <d v="2025-10-05T00:00:00"/>
    <n v="4010"/>
    <n v="0"/>
    <n v="35476.11"/>
    <s v="Sales for Invoice AR-INV-7084"/>
    <x v="3"/>
    <s v="Revenue"/>
    <n v="-35476.11"/>
    <x v="2"/>
    <d v="2025-10-01T00:00:00"/>
  </r>
  <r>
    <s v="GL-1407"/>
    <d v="2025-10-06T00:00:00"/>
    <n v="1200"/>
    <n v="18482.64"/>
    <n v="0"/>
    <s v="AR for Invoice AR-INV-7352"/>
    <x v="2"/>
    <s v="Assets"/>
    <n v="18482.64"/>
    <x v="2"/>
    <d v="2025-10-01T00:00:00"/>
  </r>
  <r>
    <s v="GL-1408"/>
    <d v="2025-10-06T00:00:00"/>
    <n v="4010"/>
    <n v="0"/>
    <n v="18482.64"/>
    <s v="Sales for Invoice AR-INV-7352"/>
    <x v="3"/>
    <s v="Revenue"/>
    <n v="-18482.64"/>
    <x v="2"/>
    <d v="2025-10-01T00:00:00"/>
  </r>
  <r>
    <s v="GL-1791"/>
    <d v="2025-10-06T00:00:00"/>
    <n v="1200"/>
    <n v="4179.9399999999996"/>
    <n v="0"/>
    <s v="AR for Invoice AR-INV-7448"/>
    <x v="2"/>
    <s v="Assets"/>
    <n v="4179.9399999999996"/>
    <x v="2"/>
    <d v="2025-10-01T00:00:00"/>
  </r>
  <r>
    <s v="GL-1792"/>
    <d v="2025-10-06T00:00:00"/>
    <n v="4010"/>
    <n v="0"/>
    <n v="4179.9399999999996"/>
    <s v="Sales for Invoice AR-INV-7448"/>
    <x v="3"/>
    <s v="Revenue"/>
    <n v="-4179.9399999999996"/>
    <x v="2"/>
    <d v="2025-10-01T00:00:00"/>
  </r>
  <r>
    <s v="GL-1911"/>
    <d v="2025-10-06T00:00:00"/>
    <n v="1200"/>
    <n v="6433.96"/>
    <n v="0"/>
    <s v="AR for Invoice AR-INV-7478"/>
    <x v="2"/>
    <s v="Assets"/>
    <n v="6433.96"/>
    <x v="2"/>
    <d v="2025-10-01T00:00:00"/>
  </r>
  <r>
    <s v="GL-1912"/>
    <d v="2025-10-06T00:00:00"/>
    <n v="4010"/>
    <n v="0"/>
    <n v="6433.96"/>
    <s v="Sales for Invoice AR-INV-7478"/>
    <x v="3"/>
    <s v="Revenue"/>
    <n v="-6433.96"/>
    <x v="2"/>
    <d v="2025-10-01T00:00:00"/>
  </r>
  <r>
    <s v="GL-659"/>
    <d v="2025-10-06T00:00:00"/>
    <n v="1200"/>
    <n v="11740.73"/>
    <n v="0"/>
    <s v="AR for Invoice AR-INV-7165"/>
    <x v="2"/>
    <s v="Assets"/>
    <n v="11740.73"/>
    <x v="2"/>
    <d v="2025-10-01T00:00:00"/>
  </r>
  <r>
    <s v="GL-660"/>
    <d v="2025-10-06T00:00:00"/>
    <n v="4010"/>
    <n v="0"/>
    <n v="11740.73"/>
    <s v="Sales for Invoice AR-INV-7165"/>
    <x v="3"/>
    <s v="Revenue"/>
    <n v="-11740.73"/>
    <x v="2"/>
    <d v="2025-10-01T00:00:00"/>
  </r>
  <r>
    <s v="GL-1501"/>
    <d v="2025-10-07T00:00:00"/>
    <n v="5010"/>
    <n v="2946.72"/>
    <n v="0"/>
    <s v="COGS for Invoice AP-INV-5376"/>
    <x v="0"/>
    <s v="Expenses"/>
    <n v="2946.72"/>
    <x v="2"/>
    <d v="2025-10-01T00:00:00"/>
  </r>
  <r>
    <s v="GL-1502"/>
    <d v="2025-10-07T00:00:00"/>
    <n v="2010"/>
    <n v="0"/>
    <n v="2946.72"/>
    <s v="AP for Invoice AP-INV-5376"/>
    <x v="1"/>
    <s v="Liabilities"/>
    <n v="-2946.72"/>
    <x v="2"/>
    <d v="2025-10-01T00:00:00"/>
  </r>
  <r>
    <s v="GL-301"/>
    <d v="2025-10-10T00:00:00"/>
    <n v="5010"/>
    <n v="2970.46"/>
    <n v="0"/>
    <s v="COGS for Invoice AP-INV-5076"/>
    <x v="0"/>
    <s v="Expenses"/>
    <n v="2970.46"/>
    <x v="2"/>
    <d v="2025-10-01T00:00:00"/>
  </r>
  <r>
    <s v="GL-302"/>
    <d v="2025-10-10T00:00:00"/>
    <n v="2010"/>
    <n v="0"/>
    <n v="2970.46"/>
    <s v="AP for Invoice AP-INV-5076"/>
    <x v="1"/>
    <s v="Liabilities"/>
    <n v="-2970.46"/>
    <x v="2"/>
    <d v="2025-10-01T00:00:00"/>
  </r>
  <r>
    <s v="GL-851"/>
    <d v="2025-10-13T00:00:00"/>
    <n v="1200"/>
    <n v="43932.160000000003"/>
    <n v="0"/>
    <s v="AR for Invoice AR-INV-7213"/>
    <x v="2"/>
    <s v="Assets"/>
    <n v="43932.160000000003"/>
    <x v="2"/>
    <d v="2025-10-01T00:00:00"/>
  </r>
  <r>
    <s v="GL-852"/>
    <d v="2025-10-13T00:00:00"/>
    <n v="4010"/>
    <n v="0"/>
    <n v="43932.160000000003"/>
    <s v="Sales for Invoice AR-INV-7213"/>
    <x v="3"/>
    <s v="Revenue"/>
    <n v="-43932.160000000003"/>
    <x v="2"/>
    <d v="2025-10-01T00:00:00"/>
  </r>
  <r>
    <s v="GL-1525"/>
    <d v="2025-10-14T00:00:00"/>
    <n v="5010"/>
    <n v="8299.7800000000007"/>
    <n v="0"/>
    <s v="COGS for Invoice AP-INV-5382"/>
    <x v="0"/>
    <s v="Expenses"/>
    <n v="8299.7800000000007"/>
    <x v="2"/>
    <d v="2025-10-01T00:00:00"/>
  </r>
  <r>
    <s v="GL-1526"/>
    <d v="2025-10-14T00:00:00"/>
    <n v="2010"/>
    <n v="0"/>
    <n v="8299.7800000000007"/>
    <s v="AP for Invoice AP-INV-5382"/>
    <x v="1"/>
    <s v="Liabilities"/>
    <n v="-8299.7800000000007"/>
    <x v="2"/>
    <d v="2025-10-01T00:00:00"/>
  </r>
  <r>
    <s v="GL-579"/>
    <d v="2025-10-15T00:00:00"/>
    <n v="1200"/>
    <n v="3294.16"/>
    <n v="0"/>
    <s v="AR for Invoice AR-INV-7145"/>
    <x v="2"/>
    <s v="Assets"/>
    <n v="3294.16"/>
    <x v="2"/>
    <d v="2025-10-01T00:00:00"/>
  </r>
  <r>
    <s v="GL-580"/>
    <d v="2025-10-15T00:00:00"/>
    <n v="4010"/>
    <n v="0"/>
    <n v="3294.16"/>
    <s v="Sales for Invoice AR-INV-7145"/>
    <x v="3"/>
    <s v="Revenue"/>
    <n v="-3294.16"/>
    <x v="2"/>
    <d v="2025-10-01T00:00:00"/>
  </r>
  <r>
    <s v="GL-1095"/>
    <d v="2025-10-16T00:00:00"/>
    <n v="1200"/>
    <n v="6776.9"/>
    <n v="0"/>
    <s v="AR for Invoice AR-INV-7274"/>
    <x v="2"/>
    <s v="Assets"/>
    <n v="6776.9"/>
    <x v="2"/>
    <d v="2025-10-01T00:00:00"/>
  </r>
  <r>
    <s v="GL-1096"/>
    <d v="2025-10-16T00:00:00"/>
    <n v="4010"/>
    <n v="0"/>
    <n v="6776.9"/>
    <s v="Sales for Invoice AR-INV-7274"/>
    <x v="3"/>
    <s v="Revenue"/>
    <n v="-6776.9"/>
    <x v="2"/>
    <d v="2025-10-01T00:00:00"/>
  </r>
  <r>
    <s v="GL-545"/>
    <d v="2025-10-17T00:00:00"/>
    <n v="5010"/>
    <n v="8698.6200000000008"/>
    <n v="0"/>
    <s v="COGS for Invoice AP-INV-5137"/>
    <x v="0"/>
    <s v="Expenses"/>
    <n v="8698.6200000000008"/>
    <x v="2"/>
    <d v="2025-10-01T00:00:00"/>
  </r>
  <r>
    <s v="GL-546"/>
    <d v="2025-10-17T00:00:00"/>
    <n v="2010"/>
    <n v="0"/>
    <n v="8698.6200000000008"/>
    <s v="AP for Invoice AP-INV-5137"/>
    <x v="1"/>
    <s v="Liabilities"/>
    <n v="-8698.6200000000008"/>
    <x v="2"/>
    <d v="2025-10-01T00:00:00"/>
  </r>
  <r>
    <s v="GL-207"/>
    <d v="2025-10-18T00:00:00"/>
    <n v="1200"/>
    <n v="29305.85"/>
    <n v="0"/>
    <s v="AR for Invoice AR-INV-7052"/>
    <x v="2"/>
    <s v="Assets"/>
    <n v="29305.85"/>
    <x v="2"/>
    <d v="2025-10-01T00:00:00"/>
  </r>
  <r>
    <s v="GL-208"/>
    <d v="2025-10-18T00:00:00"/>
    <n v="4010"/>
    <n v="0"/>
    <n v="29305.85"/>
    <s v="Sales for Invoice AR-INV-7052"/>
    <x v="3"/>
    <s v="Revenue"/>
    <n v="-29305.85"/>
    <x v="2"/>
    <d v="2025-10-01T00:00:00"/>
  </r>
  <r>
    <s v="GL-1083"/>
    <d v="2025-10-20T00:00:00"/>
    <n v="1200"/>
    <n v="42957.4"/>
    <n v="0"/>
    <s v="AR for Invoice AR-INV-7271"/>
    <x v="2"/>
    <s v="Assets"/>
    <n v="42957.4"/>
    <x v="2"/>
    <d v="2025-10-01T00:00:00"/>
  </r>
  <r>
    <s v="GL-1084"/>
    <d v="2025-10-20T00:00:00"/>
    <n v="4010"/>
    <n v="0"/>
    <n v="42957.4"/>
    <s v="Sales for Invoice AR-INV-7271"/>
    <x v="3"/>
    <s v="Revenue"/>
    <n v="-42957.4"/>
    <x v="2"/>
    <d v="2025-10-01T00:00:00"/>
  </r>
  <r>
    <s v="GL-1381"/>
    <d v="2025-10-21T00:00:00"/>
    <n v="5010"/>
    <n v="1256.4000000000001"/>
    <n v="0"/>
    <s v="COGS for Invoice AP-INV-5346"/>
    <x v="0"/>
    <s v="Expenses"/>
    <n v="1256.4000000000001"/>
    <x v="2"/>
    <d v="2025-10-01T00:00:00"/>
  </r>
  <r>
    <s v="GL-1382"/>
    <d v="2025-10-21T00:00:00"/>
    <n v="2010"/>
    <n v="0"/>
    <n v="1256.4000000000001"/>
    <s v="AP for Invoice AP-INV-5346"/>
    <x v="1"/>
    <s v="Liabilities"/>
    <n v="-1256.4000000000001"/>
    <x v="2"/>
    <d v="2025-10-01T00:00:00"/>
  </r>
  <r>
    <s v="GL-635"/>
    <d v="2025-10-21T00:00:00"/>
    <n v="1200"/>
    <n v="10267.58"/>
    <n v="0"/>
    <s v="AR for Invoice AR-INV-7159"/>
    <x v="2"/>
    <s v="Assets"/>
    <n v="10267.58"/>
    <x v="2"/>
    <d v="2025-10-01T00:00:00"/>
  </r>
  <r>
    <s v="GL-636"/>
    <d v="2025-10-21T00:00:00"/>
    <n v="4010"/>
    <n v="0"/>
    <n v="10267.58"/>
    <s v="Sales for Invoice AR-INV-7159"/>
    <x v="3"/>
    <s v="Revenue"/>
    <n v="-10267.58"/>
    <x v="2"/>
    <d v="2025-10-01T00:00:00"/>
  </r>
  <r>
    <s v="GL-79"/>
    <d v="2025-10-21T00:00:00"/>
    <n v="1200"/>
    <n v="29953.19"/>
    <n v="0"/>
    <s v="AR for Invoice AR-INV-7020"/>
    <x v="2"/>
    <s v="Assets"/>
    <n v="29953.19"/>
    <x v="2"/>
    <d v="2025-10-01T00:00:00"/>
  </r>
  <r>
    <s v="GL-80"/>
    <d v="2025-10-21T00:00:00"/>
    <n v="4010"/>
    <n v="0"/>
    <n v="29953.19"/>
    <s v="Sales for Invoice AR-INV-7020"/>
    <x v="3"/>
    <s v="Revenue"/>
    <n v="-29953.19"/>
    <x v="2"/>
    <d v="2025-10-01T00:00:00"/>
  </r>
  <r>
    <s v="GL-57"/>
    <d v="2025-10-23T00:00:00"/>
    <n v="5010"/>
    <n v="7058.2"/>
    <n v="0"/>
    <s v="COGS for Invoice AP-INV-5015"/>
    <x v="0"/>
    <s v="Expenses"/>
    <n v="7058.2"/>
    <x v="2"/>
    <d v="2025-10-01T00:00:00"/>
  </r>
  <r>
    <s v="GL-58"/>
    <d v="2025-10-23T00:00:00"/>
    <n v="2010"/>
    <n v="0"/>
    <n v="7058.2"/>
    <s v="AP for Invoice AP-INV-5015"/>
    <x v="1"/>
    <s v="Liabilities"/>
    <n v="-7058.2"/>
    <x v="2"/>
    <d v="2025-10-01T00:00:00"/>
  </r>
  <r>
    <s v="GL-847"/>
    <d v="2025-10-25T00:00:00"/>
    <n v="1200"/>
    <n v="10556.96"/>
    <n v="0"/>
    <s v="AR for Invoice AR-INV-7212"/>
    <x v="2"/>
    <s v="Assets"/>
    <n v="10556.96"/>
    <x v="2"/>
    <d v="2025-10-01T00:00:00"/>
  </r>
  <r>
    <s v="GL-848"/>
    <d v="2025-10-25T00:00:00"/>
    <n v="4010"/>
    <n v="0"/>
    <n v="10556.96"/>
    <s v="Sales for Invoice AR-INV-7212"/>
    <x v="3"/>
    <s v="Revenue"/>
    <n v="-10556.96"/>
    <x v="2"/>
    <d v="2025-10-01T00:00:00"/>
  </r>
  <r>
    <s v="GL-1201"/>
    <d v="2025-10-26T00:00:00"/>
    <n v="5010"/>
    <n v="5664.06"/>
    <n v="0"/>
    <s v="COGS for Invoice AP-INV-5301"/>
    <x v="0"/>
    <s v="Expenses"/>
    <n v="5664.06"/>
    <x v="2"/>
    <d v="2025-10-01T00:00:00"/>
  </r>
  <r>
    <s v="GL-1202"/>
    <d v="2025-10-26T00:00:00"/>
    <n v="2010"/>
    <n v="0"/>
    <n v="5664.06"/>
    <s v="AP for Invoice AP-INV-5301"/>
    <x v="1"/>
    <s v="Liabilities"/>
    <n v="-5664.06"/>
    <x v="2"/>
    <d v="2025-10-01T00:00:00"/>
  </r>
  <r>
    <s v="GL-939"/>
    <d v="2025-10-28T00:00:00"/>
    <n v="1200"/>
    <n v="34562.06"/>
    <n v="0"/>
    <s v="AR for Invoice AR-INV-7235"/>
    <x v="2"/>
    <s v="Assets"/>
    <n v="34562.06"/>
    <x v="2"/>
    <d v="2025-10-01T00:00:00"/>
  </r>
  <r>
    <s v="GL-940"/>
    <d v="2025-10-28T00:00:00"/>
    <n v="4010"/>
    <n v="0"/>
    <n v="34562.06"/>
    <s v="Sales for Invoice AR-INV-7235"/>
    <x v="3"/>
    <s v="Revenue"/>
    <n v="-34562.06"/>
    <x v="2"/>
    <d v="2025-10-01T00:00:00"/>
  </r>
  <r>
    <s v="GL-665"/>
    <d v="2025-10-30T00:00:00"/>
    <n v="5010"/>
    <n v="12742.54"/>
    <n v="0"/>
    <s v="COGS for Invoice AP-INV-5167"/>
    <x v="0"/>
    <s v="Expenses"/>
    <n v="12742.54"/>
    <x v="2"/>
    <d v="2025-10-01T00:00:00"/>
  </r>
  <r>
    <s v="GL-666"/>
    <d v="2025-10-30T00:00:00"/>
    <n v="2010"/>
    <n v="0"/>
    <n v="12742.54"/>
    <s v="AP for Invoice AP-INV-5167"/>
    <x v="1"/>
    <s v="Liabilities"/>
    <n v="-12742.54"/>
    <x v="2"/>
    <d v="2025-10-01T00:00:00"/>
  </r>
  <r>
    <s v="GL-1081"/>
    <d v="2025-10-31T00:00:00"/>
    <n v="5010"/>
    <n v="15268.01"/>
    <n v="0"/>
    <s v="COGS for Invoice AP-INV-5271"/>
    <x v="0"/>
    <s v="Expenses"/>
    <n v="15268.01"/>
    <x v="2"/>
    <d v="2025-10-01T00:00:00"/>
  </r>
  <r>
    <s v="GL-1082"/>
    <d v="2025-10-31T00:00:00"/>
    <n v="2010"/>
    <n v="0"/>
    <n v="15268.01"/>
    <s v="AP for Invoice AP-INV-5271"/>
    <x v="1"/>
    <s v="Liabilities"/>
    <n v="-15268.01"/>
    <x v="2"/>
    <d v="2025-10-01T00:00:00"/>
  </r>
  <r>
    <s v="GL-1331"/>
    <d v="2025-10-31T00:00:00"/>
    <n v="1200"/>
    <n v="33929.74"/>
    <n v="0"/>
    <s v="AR for Invoice AR-INV-7333"/>
    <x v="2"/>
    <s v="Assets"/>
    <n v="33929.74"/>
    <x v="2"/>
    <d v="2025-10-01T00:00:00"/>
  </r>
  <r>
    <s v="GL-1332"/>
    <d v="2025-10-31T00:00:00"/>
    <n v="4010"/>
    <n v="0"/>
    <n v="33929.74"/>
    <s v="Sales for Invoice AR-INV-7333"/>
    <x v="3"/>
    <s v="Revenue"/>
    <n v="-33929.74"/>
    <x v="2"/>
    <d v="2025-10-01T00:00:00"/>
  </r>
  <r>
    <s v="GL-1335"/>
    <d v="2025-11-01T00:00:00"/>
    <n v="1200"/>
    <n v="27032.53"/>
    <n v="0"/>
    <s v="AR for Invoice AR-INV-7334"/>
    <x v="2"/>
    <s v="Assets"/>
    <n v="27032.53"/>
    <x v="2"/>
    <d v="2025-11-01T00:00:00"/>
  </r>
  <r>
    <s v="GL-1336"/>
    <d v="2025-11-01T00:00:00"/>
    <n v="4010"/>
    <n v="0"/>
    <n v="27032.53"/>
    <s v="Sales for Invoice AR-INV-7334"/>
    <x v="3"/>
    <s v="Revenue"/>
    <n v="-27032.53"/>
    <x v="2"/>
    <d v="2025-11-01T00:00:00"/>
  </r>
  <r>
    <s v="GL-75"/>
    <d v="2025-11-01T00:00:00"/>
    <n v="1200"/>
    <n v="21444.98"/>
    <n v="0"/>
    <s v="AR for Invoice AR-INV-7019"/>
    <x v="2"/>
    <s v="Assets"/>
    <n v="21444.98"/>
    <x v="2"/>
    <d v="2025-11-01T00:00:00"/>
  </r>
  <r>
    <s v="GL-76"/>
    <d v="2025-11-01T00:00:00"/>
    <n v="4010"/>
    <n v="0"/>
    <n v="21444.98"/>
    <s v="Sales for Invoice AR-INV-7019"/>
    <x v="3"/>
    <s v="Revenue"/>
    <n v="-21444.98"/>
    <x v="2"/>
    <d v="2025-11-01T00:00:00"/>
  </r>
  <r>
    <s v="GL-1789"/>
    <d v="2025-11-03T00:00:00"/>
    <n v="5010"/>
    <n v="4953.8599999999997"/>
    <n v="0"/>
    <s v="COGS for Invoice AP-INV-5448"/>
    <x v="0"/>
    <s v="Expenses"/>
    <n v="4953.8599999999997"/>
    <x v="2"/>
    <d v="2025-11-01T00:00:00"/>
  </r>
  <r>
    <s v="GL-1790"/>
    <d v="2025-11-03T00:00:00"/>
    <n v="2010"/>
    <n v="0"/>
    <n v="4953.8599999999997"/>
    <s v="AP for Invoice AP-INV-5448"/>
    <x v="1"/>
    <s v="Liabilities"/>
    <n v="-4953.8599999999997"/>
    <x v="2"/>
    <d v="2025-11-01T00:00:00"/>
  </r>
  <r>
    <s v="GL-823"/>
    <d v="2025-11-03T00:00:00"/>
    <n v="1200"/>
    <n v="41016.75"/>
    <n v="0"/>
    <s v="AR for Invoice AR-INV-7206"/>
    <x v="2"/>
    <s v="Assets"/>
    <n v="41016.75"/>
    <x v="2"/>
    <d v="2025-11-01T00:00:00"/>
  </r>
  <r>
    <s v="GL-824"/>
    <d v="2025-11-03T00:00:00"/>
    <n v="4010"/>
    <n v="0"/>
    <n v="41016.75"/>
    <s v="Sales for Invoice AR-INV-7206"/>
    <x v="3"/>
    <s v="Revenue"/>
    <n v="-41016.75"/>
    <x v="2"/>
    <d v="2025-11-01T00:00:00"/>
  </r>
  <r>
    <s v="GL-1511"/>
    <d v="2025-11-04T00:00:00"/>
    <n v="1200"/>
    <n v="23275.83"/>
    <n v="0"/>
    <s v="AR for Invoice AR-INV-7378"/>
    <x v="2"/>
    <s v="Assets"/>
    <n v="23275.83"/>
    <x v="2"/>
    <d v="2025-11-01T00:00:00"/>
  </r>
  <r>
    <s v="GL-1512"/>
    <d v="2025-11-04T00:00:00"/>
    <n v="4010"/>
    <n v="0"/>
    <n v="23275.83"/>
    <s v="Sales for Invoice AR-INV-7378"/>
    <x v="3"/>
    <s v="Revenue"/>
    <n v="-23275.83"/>
    <x v="2"/>
    <d v="2025-11-01T00:00:00"/>
  </r>
  <r>
    <s v="GL-1813"/>
    <d v="2025-11-07T00:00:00"/>
    <n v="5010"/>
    <n v="1122.82"/>
    <n v="0"/>
    <s v="COGS for Invoice AP-INV-5454"/>
    <x v="0"/>
    <s v="Expenses"/>
    <n v="1122.82"/>
    <x v="2"/>
    <d v="2025-11-01T00:00:00"/>
  </r>
  <r>
    <s v="GL-1814"/>
    <d v="2025-11-07T00:00:00"/>
    <n v="2010"/>
    <n v="0"/>
    <n v="1122.82"/>
    <s v="AP for Invoice AP-INV-5454"/>
    <x v="1"/>
    <s v="Liabilities"/>
    <n v="-1122.82"/>
    <x v="2"/>
    <d v="2025-11-01T00:00:00"/>
  </r>
  <r>
    <s v="GL-1361"/>
    <d v="2025-11-09T00:00:00"/>
    <n v="5010"/>
    <n v="18703.03"/>
    <n v="0"/>
    <s v="COGS for Invoice AP-INV-5341"/>
    <x v="0"/>
    <s v="Expenses"/>
    <n v="18703.03"/>
    <x v="2"/>
    <d v="2025-11-01T00:00:00"/>
  </r>
  <r>
    <s v="GL-1362"/>
    <d v="2025-11-09T00:00:00"/>
    <n v="2010"/>
    <n v="0"/>
    <n v="18703.03"/>
    <s v="AP for Invoice AP-INV-5341"/>
    <x v="1"/>
    <s v="Liabilities"/>
    <n v="-18703.03"/>
    <x v="2"/>
    <d v="2025-11-01T00:00:00"/>
  </r>
  <r>
    <s v="GL-215"/>
    <d v="2025-11-10T00:00:00"/>
    <n v="1200"/>
    <n v="8769.91"/>
    <n v="0"/>
    <s v="AR for Invoice AR-INV-7054"/>
    <x v="2"/>
    <s v="Assets"/>
    <n v="8769.91"/>
    <x v="2"/>
    <d v="2025-11-01T00:00:00"/>
  </r>
  <r>
    <s v="GL-216"/>
    <d v="2025-11-10T00:00:00"/>
    <n v="4010"/>
    <n v="0"/>
    <n v="8769.91"/>
    <s v="Sales for Invoice AR-INV-7054"/>
    <x v="3"/>
    <s v="Revenue"/>
    <n v="-8769.91"/>
    <x v="2"/>
    <d v="2025-11-01T00:00:00"/>
  </r>
  <r>
    <s v="GL-607"/>
    <d v="2025-11-10T00:00:00"/>
    <n v="1200"/>
    <n v="33280.04"/>
    <n v="0"/>
    <s v="AR for Invoice AR-INV-7152"/>
    <x v="2"/>
    <s v="Assets"/>
    <n v="33280.04"/>
    <x v="2"/>
    <d v="2025-11-01T00:00:00"/>
  </r>
  <r>
    <s v="GL-608"/>
    <d v="2025-11-10T00:00:00"/>
    <n v="4010"/>
    <n v="0"/>
    <n v="33280.04"/>
    <s v="Sales for Invoice AR-INV-7152"/>
    <x v="3"/>
    <s v="Revenue"/>
    <n v="-33280.04"/>
    <x v="2"/>
    <d v="2025-11-01T00:00:00"/>
  </r>
  <r>
    <s v="GL-1503"/>
    <d v="2025-11-11T00:00:00"/>
    <n v="1200"/>
    <n v="7890.48"/>
    <n v="0"/>
    <s v="AR for Invoice AR-INV-7376"/>
    <x v="2"/>
    <s v="Assets"/>
    <n v="7890.48"/>
    <x v="2"/>
    <d v="2025-11-01T00:00:00"/>
  </r>
  <r>
    <s v="GL-1504"/>
    <d v="2025-11-11T00:00:00"/>
    <n v="4010"/>
    <n v="0"/>
    <n v="7890.48"/>
    <s v="Sales for Invoice AR-INV-7376"/>
    <x v="3"/>
    <s v="Revenue"/>
    <n v="-7890.48"/>
    <x v="2"/>
    <d v="2025-11-01T00:00:00"/>
  </r>
  <r>
    <s v="GL-1797"/>
    <d v="2025-11-11T00:00:00"/>
    <n v="5010"/>
    <n v="3900.35"/>
    <n v="0"/>
    <s v="COGS for Invoice AP-INV-5450"/>
    <x v="0"/>
    <s v="Expenses"/>
    <n v="3900.35"/>
    <x v="2"/>
    <d v="2025-11-01T00:00:00"/>
  </r>
  <r>
    <s v="GL-1798"/>
    <d v="2025-11-11T00:00:00"/>
    <n v="2010"/>
    <n v="0"/>
    <n v="3900.35"/>
    <s v="AP for Invoice AP-INV-5450"/>
    <x v="1"/>
    <s v="Liabilities"/>
    <n v="-3900.35"/>
    <x v="2"/>
    <d v="2025-11-01T00:00:00"/>
  </r>
  <r>
    <s v="GL-1197"/>
    <d v="2025-11-13T00:00:00"/>
    <n v="5010"/>
    <n v="12312.19"/>
    <n v="0"/>
    <s v="COGS for Invoice AP-INV-5300"/>
    <x v="0"/>
    <s v="Expenses"/>
    <n v="12312.19"/>
    <x v="2"/>
    <d v="2025-11-01T00:00:00"/>
  </r>
  <r>
    <s v="GL-1198"/>
    <d v="2025-11-13T00:00:00"/>
    <n v="2010"/>
    <n v="0"/>
    <n v="12312.19"/>
    <s v="AP for Invoice AP-INV-5300"/>
    <x v="1"/>
    <s v="Liabilities"/>
    <n v="-12312.19"/>
    <x v="2"/>
    <d v="2025-11-01T00:00:00"/>
  </r>
  <r>
    <s v="GL-349"/>
    <d v="2025-11-14T00:00:00"/>
    <n v="5010"/>
    <n v="5315.92"/>
    <n v="0"/>
    <s v="COGS for Invoice AP-INV-5088"/>
    <x v="0"/>
    <s v="Expenses"/>
    <n v="5315.92"/>
    <x v="2"/>
    <d v="2025-11-01T00:00:00"/>
  </r>
  <r>
    <s v="GL-350"/>
    <d v="2025-11-14T00:00:00"/>
    <n v="2010"/>
    <n v="0"/>
    <n v="5315.92"/>
    <s v="AP for Invoice AP-INV-5088"/>
    <x v="1"/>
    <s v="Liabilities"/>
    <n v="-5315.92"/>
    <x v="2"/>
    <d v="2025-11-01T00:00:00"/>
  </r>
  <r>
    <s v="GL-771"/>
    <d v="2025-11-14T00:00:00"/>
    <n v="1200"/>
    <n v="10707.89"/>
    <n v="0"/>
    <s v="AR for Invoice AR-INV-7193"/>
    <x v="2"/>
    <s v="Assets"/>
    <n v="10707.89"/>
    <x v="2"/>
    <d v="2025-11-01T00:00:00"/>
  </r>
  <r>
    <s v="GL-772"/>
    <d v="2025-11-14T00:00:00"/>
    <n v="4010"/>
    <n v="0"/>
    <n v="10707.89"/>
    <s v="Sales for Invoice AR-INV-7193"/>
    <x v="3"/>
    <s v="Revenue"/>
    <n v="-10707.89"/>
    <x v="2"/>
    <d v="2025-11-01T00:00:00"/>
  </r>
  <r>
    <s v="GL-1969"/>
    <d v="2025-11-16T00:00:00"/>
    <n v="5010"/>
    <n v="669.31"/>
    <n v="0"/>
    <s v="COGS for Invoice AP-INV-5493"/>
    <x v="0"/>
    <s v="Expenses"/>
    <n v="669.31"/>
    <x v="2"/>
    <d v="2025-11-01T00:00:00"/>
  </r>
  <r>
    <s v="GL-1970"/>
    <d v="2025-11-16T00:00:00"/>
    <n v="2010"/>
    <n v="0"/>
    <n v="669.31"/>
    <s v="AP for Invoice AP-INV-5493"/>
    <x v="1"/>
    <s v="Liabilities"/>
    <n v="-669.31"/>
    <x v="2"/>
    <d v="2025-11-01T00:00:00"/>
  </r>
  <r>
    <s v="GL-1189"/>
    <d v="2025-11-18T00:00:00"/>
    <n v="5010"/>
    <n v="15715.02"/>
    <n v="0"/>
    <s v="COGS for Invoice AP-INV-5298"/>
    <x v="0"/>
    <s v="Expenses"/>
    <n v="15715.02"/>
    <x v="2"/>
    <d v="2025-11-01T00:00:00"/>
  </r>
  <r>
    <s v="GL-1190"/>
    <d v="2025-11-18T00:00:00"/>
    <n v="2010"/>
    <n v="0"/>
    <n v="15715.02"/>
    <s v="AP for Invoice AP-INV-5298"/>
    <x v="1"/>
    <s v="Liabilities"/>
    <n v="-15715.02"/>
    <x v="2"/>
    <d v="2025-11-01T00:00:00"/>
  </r>
  <r>
    <s v="GL-209"/>
    <d v="2025-11-18T00:00:00"/>
    <n v="5010"/>
    <n v="14893.88"/>
    <n v="0"/>
    <s v="COGS for Invoice AP-INV-5053"/>
    <x v="0"/>
    <s v="Expenses"/>
    <n v="14893.88"/>
    <x v="2"/>
    <d v="2025-11-01T00:00:00"/>
  </r>
  <r>
    <s v="GL-210"/>
    <d v="2025-11-18T00:00:00"/>
    <n v="2010"/>
    <n v="0"/>
    <n v="14893.88"/>
    <s v="AP for Invoice AP-INV-5053"/>
    <x v="1"/>
    <s v="Liabilities"/>
    <n v="-14893.88"/>
    <x v="2"/>
    <d v="2025-11-01T00:00:00"/>
  </r>
  <r>
    <s v="GL-359"/>
    <d v="2025-11-18T00:00:00"/>
    <n v="1200"/>
    <n v="2741.41"/>
    <n v="0"/>
    <s v="AR for Invoice AR-INV-7090"/>
    <x v="2"/>
    <s v="Assets"/>
    <n v="2741.41"/>
    <x v="2"/>
    <d v="2025-11-01T00:00:00"/>
  </r>
  <r>
    <s v="GL-360"/>
    <d v="2025-11-18T00:00:00"/>
    <n v="4010"/>
    <n v="0"/>
    <n v="2741.41"/>
    <s v="Sales for Invoice AR-INV-7090"/>
    <x v="3"/>
    <s v="Revenue"/>
    <n v="-2741.41"/>
    <x v="2"/>
    <d v="2025-11-01T00:00:00"/>
  </r>
  <r>
    <s v="GL-929"/>
    <d v="2025-11-19T00:00:00"/>
    <n v="5010"/>
    <n v="1635.11"/>
    <n v="0"/>
    <s v="COGS for Invoice AP-INV-5233"/>
    <x v="0"/>
    <s v="Expenses"/>
    <n v="1635.11"/>
    <x v="2"/>
    <d v="2025-11-01T00:00:00"/>
  </r>
  <r>
    <s v="GL-930"/>
    <d v="2025-11-19T00:00:00"/>
    <n v="2010"/>
    <n v="0"/>
    <n v="1635.11"/>
    <s v="AP for Invoice AP-INV-5233"/>
    <x v="1"/>
    <s v="Liabilities"/>
    <n v="-1635.11"/>
    <x v="2"/>
    <d v="2025-11-01T00:00:00"/>
  </r>
  <r>
    <s v="GL-1157"/>
    <d v="2025-11-21T00:00:00"/>
    <n v="5010"/>
    <n v="4050.23"/>
    <n v="0"/>
    <s v="COGS for Invoice AP-INV-5290"/>
    <x v="0"/>
    <s v="Expenses"/>
    <n v="4050.23"/>
    <x v="2"/>
    <d v="2025-11-01T00:00:00"/>
  </r>
  <r>
    <s v="GL-1158"/>
    <d v="2025-11-21T00:00:00"/>
    <n v="2010"/>
    <n v="0"/>
    <n v="4050.23"/>
    <s v="AP for Invoice AP-INV-5290"/>
    <x v="1"/>
    <s v="Liabilities"/>
    <n v="-4050.23"/>
    <x v="2"/>
    <d v="2025-11-01T00:00:00"/>
  </r>
  <r>
    <s v="GL-427"/>
    <d v="2025-11-21T00:00:00"/>
    <n v="1200"/>
    <n v="25385.54"/>
    <n v="0"/>
    <s v="AR for Invoice AR-INV-7107"/>
    <x v="2"/>
    <s v="Assets"/>
    <n v="25385.54"/>
    <x v="2"/>
    <d v="2025-11-01T00:00:00"/>
  </r>
  <r>
    <s v="GL-428"/>
    <d v="2025-11-21T00:00:00"/>
    <n v="4010"/>
    <n v="0"/>
    <n v="25385.54"/>
    <s v="Sales for Invoice AR-INV-7107"/>
    <x v="3"/>
    <s v="Revenue"/>
    <n v="-25385.54"/>
    <x v="2"/>
    <d v="2025-11-01T00:00:00"/>
  </r>
  <r>
    <s v="GL-1611"/>
    <d v="2025-11-22T00:00:00"/>
    <n v="1200"/>
    <n v="6561.33"/>
    <n v="0"/>
    <s v="AR for Invoice AR-INV-7403"/>
    <x v="2"/>
    <s v="Assets"/>
    <n v="6561.33"/>
    <x v="2"/>
    <d v="2025-11-01T00:00:00"/>
  </r>
  <r>
    <s v="GL-1612"/>
    <d v="2025-11-22T00:00:00"/>
    <n v="4010"/>
    <n v="0"/>
    <n v="6561.33"/>
    <s v="Sales for Invoice AR-INV-7403"/>
    <x v="3"/>
    <s v="Revenue"/>
    <n v="-6561.33"/>
    <x v="2"/>
    <d v="2025-11-01T00:00:00"/>
  </r>
  <r>
    <s v="GL-1837"/>
    <d v="2025-11-23T00:00:00"/>
    <n v="5010"/>
    <n v="19006.37"/>
    <n v="0"/>
    <s v="COGS for Invoice AP-INV-5460"/>
    <x v="0"/>
    <s v="Expenses"/>
    <n v="19006.37"/>
    <x v="2"/>
    <d v="2025-11-01T00:00:00"/>
  </r>
  <r>
    <s v="GL-1838"/>
    <d v="2025-11-23T00:00:00"/>
    <n v="2010"/>
    <n v="0"/>
    <n v="19006.37"/>
    <s v="AP for Invoice AP-INV-5460"/>
    <x v="1"/>
    <s v="Liabilities"/>
    <n v="-19006.37"/>
    <x v="2"/>
    <d v="2025-11-01T00:00:00"/>
  </r>
  <r>
    <s v="GL-853"/>
    <d v="2025-11-23T00:00:00"/>
    <n v="5010"/>
    <n v="3937.64"/>
    <n v="0"/>
    <s v="COGS for Invoice AP-INV-5214"/>
    <x v="0"/>
    <s v="Expenses"/>
    <n v="3937.64"/>
    <x v="2"/>
    <d v="2025-11-01T00:00:00"/>
  </r>
  <r>
    <s v="GL-854"/>
    <d v="2025-11-23T00:00:00"/>
    <n v="2010"/>
    <n v="0"/>
    <n v="3937.64"/>
    <s v="AP for Invoice AP-INV-5214"/>
    <x v="1"/>
    <s v="Liabilities"/>
    <n v="-3937.64"/>
    <x v="2"/>
    <d v="2025-11-01T00:00:00"/>
  </r>
  <r>
    <s v="GL-1623"/>
    <d v="2025-11-24T00:00:00"/>
    <n v="1200"/>
    <n v="35663.22"/>
    <n v="0"/>
    <s v="AR for Invoice AR-INV-7406"/>
    <x v="2"/>
    <s v="Assets"/>
    <n v="35663.22"/>
    <x v="2"/>
    <d v="2025-11-01T00:00:00"/>
  </r>
  <r>
    <s v="GL-1624"/>
    <d v="2025-11-24T00:00:00"/>
    <n v="4010"/>
    <n v="0"/>
    <n v="35663.22"/>
    <s v="Sales for Invoice AR-INV-7406"/>
    <x v="3"/>
    <s v="Revenue"/>
    <n v="-35663.22"/>
    <x v="2"/>
    <d v="2025-11-01T00:00:00"/>
  </r>
  <r>
    <s v="GL-1115"/>
    <d v="2025-11-25T00:00:00"/>
    <n v="1200"/>
    <n v="35663.17"/>
    <n v="0"/>
    <s v="AR for Invoice AR-INV-7279"/>
    <x v="2"/>
    <s v="Assets"/>
    <n v="35663.17"/>
    <x v="2"/>
    <d v="2025-11-01T00:00:00"/>
  </r>
  <r>
    <s v="GL-1116"/>
    <d v="2025-11-25T00:00:00"/>
    <n v="4010"/>
    <n v="0"/>
    <n v="35663.17"/>
    <s v="Sales for Invoice AR-INV-7279"/>
    <x v="3"/>
    <s v="Revenue"/>
    <n v="-35663.17"/>
    <x v="2"/>
    <d v="2025-11-01T00:00:00"/>
  </r>
  <r>
    <s v="GL-1841"/>
    <d v="2025-11-27T00:00:00"/>
    <n v="5010"/>
    <n v="3064.09"/>
    <n v="0"/>
    <s v="COGS for Invoice AP-INV-5461"/>
    <x v="0"/>
    <s v="Expenses"/>
    <n v="3064.09"/>
    <x v="2"/>
    <d v="2025-11-01T00:00:00"/>
  </r>
  <r>
    <s v="GL-1842"/>
    <d v="2025-11-27T00:00:00"/>
    <n v="2010"/>
    <n v="0"/>
    <n v="3064.09"/>
    <s v="AP for Invoice AP-INV-5461"/>
    <x v="1"/>
    <s v="Liabilities"/>
    <n v="-3064.09"/>
    <x v="2"/>
    <d v="2025-11-01T00:00:00"/>
  </r>
  <r>
    <s v="GL-1555"/>
    <d v="2025-11-28T00:00:00"/>
    <n v="1200"/>
    <n v="35778.25"/>
    <n v="0"/>
    <s v="AR for Invoice AR-INV-7389"/>
    <x v="2"/>
    <s v="Assets"/>
    <n v="35778.25"/>
    <x v="2"/>
    <d v="2025-11-01T00:00:00"/>
  </r>
  <r>
    <s v="GL-1556"/>
    <d v="2025-11-28T00:00:00"/>
    <n v="4010"/>
    <n v="0"/>
    <n v="35778.25"/>
    <s v="Sales for Invoice AR-INV-7389"/>
    <x v="3"/>
    <s v="Revenue"/>
    <n v="-35778.25"/>
    <x v="2"/>
    <d v="2025-11-01T00:00:00"/>
  </r>
  <r>
    <s v="GL-219"/>
    <d v="2025-11-28T00:00:00"/>
    <n v="1200"/>
    <n v="12018.32"/>
    <n v="0"/>
    <s v="AR for Invoice AR-INV-7055"/>
    <x v="2"/>
    <s v="Assets"/>
    <n v="12018.32"/>
    <x v="2"/>
    <d v="2025-11-01T00:00:00"/>
  </r>
  <r>
    <s v="GL-220"/>
    <d v="2025-11-28T00:00:00"/>
    <n v="4010"/>
    <n v="0"/>
    <n v="12018.32"/>
    <s v="Sales for Invoice AR-INV-7055"/>
    <x v="3"/>
    <s v="Revenue"/>
    <n v="-12018.32"/>
    <x v="2"/>
    <d v="2025-11-01T00:00:00"/>
  </r>
  <r>
    <s v="GL-1533"/>
    <d v="2025-12-01T00:00:00"/>
    <n v="5010"/>
    <n v="18154.169999999998"/>
    <n v="0"/>
    <s v="COGS for Invoice AP-INV-5384"/>
    <x v="0"/>
    <s v="Expenses"/>
    <n v="18154.169999999998"/>
    <x v="2"/>
    <d v="2025-12-01T00:00:00"/>
  </r>
  <r>
    <s v="GL-1534"/>
    <d v="2025-12-01T00:00:00"/>
    <n v="2010"/>
    <n v="0"/>
    <n v="18154.169999999998"/>
    <s v="AP for Invoice AP-INV-5384"/>
    <x v="1"/>
    <s v="Liabilities"/>
    <n v="-18154.169999999998"/>
    <x v="2"/>
    <d v="2025-12-01T00:00:00"/>
  </r>
  <r>
    <s v="GL-1125"/>
    <d v="2025-12-02T00:00:00"/>
    <n v="5010"/>
    <n v="18132.87"/>
    <n v="0"/>
    <s v="COGS for Invoice AP-INV-5282"/>
    <x v="0"/>
    <s v="Expenses"/>
    <n v="18132.87"/>
    <x v="2"/>
    <d v="2025-12-01T00:00:00"/>
  </r>
  <r>
    <s v="GL-1126"/>
    <d v="2025-12-02T00:00:00"/>
    <n v="2010"/>
    <n v="0"/>
    <n v="18132.87"/>
    <s v="AP for Invoice AP-INV-5282"/>
    <x v="1"/>
    <s v="Liabilities"/>
    <n v="-18132.87"/>
    <x v="2"/>
    <d v="2025-12-01T00:00:00"/>
  </r>
  <r>
    <s v="GL-1235"/>
    <d v="2025-12-03T00:00:00"/>
    <n v="1200"/>
    <n v="37763.68"/>
    <n v="0"/>
    <s v="AR for Invoice AR-INV-7309"/>
    <x v="2"/>
    <s v="Assets"/>
    <n v="37763.68"/>
    <x v="2"/>
    <d v="2025-12-01T00:00:00"/>
  </r>
  <r>
    <s v="GL-1236"/>
    <d v="2025-12-03T00:00:00"/>
    <n v="4010"/>
    <n v="0"/>
    <n v="37763.68"/>
    <s v="Sales for Invoice AR-INV-7309"/>
    <x v="3"/>
    <s v="Revenue"/>
    <n v="-37763.68"/>
    <x v="2"/>
    <d v="2025-12-01T00:00:00"/>
  </r>
  <r>
    <s v="GL-727"/>
    <d v="2025-12-03T00:00:00"/>
    <n v="1200"/>
    <n v="47234.93"/>
    <n v="0"/>
    <s v="AR for Invoice AR-INV-7182"/>
    <x v="2"/>
    <s v="Assets"/>
    <n v="47234.93"/>
    <x v="2"/>
    <d v="2025-12-01T00:00:00"/>
  </r>
  <r>
    <s v="GL-728"/>
    <d v="2025-12-03T00:00:00"/>
    <n v="4010"/>
    <n v="0"/>
    <n v="47234.93"/>
    <s v="Sales for Invoice AR-INV-7182"/>
    <x v="3"/>
    <s v="Revenue"/>
    <n v="-47234.93"/>
    <x v="2"/>
    <d v="2025-12-01T00:00:00"/>
  </r>
  <r>
    <s v="GL-1483"/>
    <d v="2025-12-04T00:00:00"/>
    <n v="1200"/>
    <n v="45108.05"/>
    <n v="0"/>
    <s v="AR for Invoice AR-INV-7371"/>
    <x v="2"/>
    <s v="Assets"/>
    <n v="45108.05"/>
    <x v="2"/>
    <d v="2025-12-01T00:00:00"/>
  </r>
  <r>
    <s v="GL-1484"/>
    <d v="2025-12-04T00:00:00"/>
    <n v="4010"/>
    <n v="0"/>
    <n v="45108.05"/>
    <s v="Sales for Invoice AR-INV-7371"/>
    <x v="3"/>
    <s v="Revenue"/>
    <n v="-45108.05"/>
    <x v="2"/>
    <d v="2025-12-01T00:00:00"/>
  </r>
  <r>
    <s v="GL-981"/>
    <d v="2025-12-04T00:00:00"/>
    <n v="5010"/>
    <n v="7515.88"/>
    <n v="0"/>
    <s v="COGS for Invoice AP-INV-5246"/>
    <x v="0"/>
    <s v="Expenses"/>
    <n v="7515.88"/>
    <x v="2"/>
    <d v="2025-12-01T00:00:00"/>
  </r>
  <r>
    <s v="GL-982"/>
    <d v="2025-12-04T00:00:00"/>
    <n v="2010"/>
    <n v="0"/>
    <n v="7515.88"/>
    <s v="AP for Invoice AP-INV-5246"/>
    <x v="1"/>
    <s v="Liabilities"/>
    <n v="-7515.88"/>
    <x v="2"/>
    <d v="2025-12-01T00:00:00"/>
  </r>
  <r>
    <s v="GL-1269"/>
    <d v="2025-12-06T00:00:00"/>
    <n v="5010"/>
    <n v="10512.78"/>
    <n v="0"/>
    <s v="COGS for Invoice AP-INV-5318"/>
    <x v="0"/>
    <s v="Expenses"/>
    <n v="10512.78"/>
    <x v="2"/>
    <d v="2025-12-01T00:00:00"/>
  </r>
  <r>
    <s v="GL-1270"/>
    <d v="2025-12-06T00:00:00"/>
    <n v="2010"/>
    <n v="0"/>
    <n v="10512.78"/>
    <s v="AP for Invoice AP-INV-5318"/>
    <x v="1"/>
    <s v="Liabilities"/>
    <n v="-10512.78"/>
    <x v="2"/>
    <d v="2025-12-01T00:00:00"/>
  </r>
  <r>
    <s v="GL-1231"/>
    <d v="2025-12-07T00:00:00"/>
    <n v="1200"/>
    <n v="33550.18"/>
    <n v="0"/>
    <s v="AR for Invoice AR-INV-7308"/>
    <x v="2"/>
    <s v="Assets"/>
    <n v="33550.18"/>
    <x v="2"/>
    <d v="2025-12-01T00:00:00"/>
  </r>
  <r>
    <s v="GL-1232"/>
    <d v="2025-12-07T00:00:00"/>
    <n v="4010"/>
    <n v="0"/>
    <n v="33550.18"/>
    <s v="Sales for Invoice AR-INV-7308"/>
    <x v="3"/>
    <s v="Revenue"/>
    <n v="-33550.18"/>
    <x v="2"/>
    <d v="2025-12-01T00:00:00"/>
  </r>
  <r>
    <s v="GL-141"/>
    <d v="2025-12-09T00:00:00"/>
    <n v="5010"/>
    <n v="7316.27"/>
    <n v="0"/>
    <s v="COGS for Invoice AP-INV-5036"/>
    <x v="0"/>
    <s v="Expenses"/>
    <n v="7316.27"/>
    <x v="2"/>
    <d v="2025-12-01T00:00:00"/>
  </r>
  <r>
    <s v="GL-142"/>
    <d v="2025-12-09T00:00:00"/>
    <n v="2010"/>
    <n v="0"/>
    <n v="7316.27"/>
    <s v="AP for Invoice AP-INV-5036"/>
    <x v="1"/>
    <s v="Liabilities"/>
    <n v="-7316.27"/>
    <x v="2"/>
    <d v="2025-12-01T00:00:00"/>
  </r>
  <r>
    <s v="GL-1535"/>
    <d v="2025-12-10T00:00:00"/>
    <n v="1200"/>
    <n v="35572.080000000002"/>
    <n v="0"/>
    <s v="AR for Invoice AR-INV-7384"/>
    <x v="2"/>
    <s v="Assets"/>
    <n v="35572.080000000002"/>
    <x v="2"/>
    <d v="2025-12-01T00:00:00"/>
  </r>
  <r>
    <s v="GL-1536"/>
    <d v="2025-12-10T00:00:00"/>
    <n v="4010"/>
    <n v="0"/>
    <n v="35572.080000000002"/>
    <s v="Sales for Invoice AR-INV-7384"/>
    <x v="3"/>
    <s v="Revenue"/>
    <n v="-35572.080000000002"/>
    <x v="2"/>
    <d v="2025-12-01T00:00:00"/>
  </r>
  <r>
    <s v="GL-355"/>
    <d v="2025-12-10T00:00:00"/>
    <n v="1200"/>
    <n v="47691.78"/>
    <n v="0"/>
    <s v="AR for Invoice AR-INV-7089"/>
    <x v="2"/>
    <s v="Assets"/>
    <n v="47691.78"/>
    <x v="2"/>
    <d v="2025-12-01T00:00:00"/>
  </r>
  <r>
    <s v="GL-356"/>
    <d v="2025-12-10T00:00:00"/>
    <n v="4010"/>
    <n v="0"/>
    <n v="47691.78"/>
    <s v="Sales for Invoice AR-INV-7089"/>
    <x v="3"/>
    <s v="Revenue"/>
    <n v="-47691.78"/>
    <x v="2"/>
    <d v="2025-12-01T00:00:00"/>
  </r>
  <r>
    <s v="GL-491"/>
    <d v="2025-12-10T00:00:00"/>
    <n v="1200"/>
    <n v="47332.11"/>
    <n v="0"/>
    <s v="AR for Invoice AR-INV-7123"/>
    <x v="2"/>
    <s v="Assets"/>
    <n v="47332.11"/>
    <x v="2"/>
    <d v="2025-12-01T00:00:00"/>
  </r>
  <r>
    <s v="GL-492"/>
    <d v="2025-12-10T00:00:00"/>
    <n v="4010"/>
    <n v="0"/>
    <n v="47332.11"/>
    <s v="Sales for Invoice AR-INV-7123"/>
    <x v="3"/>
    <s v="Revenue"/>
    <n v="-47332.11"/>
    <x v="2"/>
    <d v="2025-12-01T00:00:00"/>
  </r>
  <r>
    <s v="GL-327"/>
    <d v="2025-12-12T00:00:00"/>
    <n v="1200"/>
    <n v="22040.959999999999"/>
    <n v="0"/>
    <s v="AR for Invoice AR-INV-7082"/>
    <x v="2"/>
    <s v="Assets"/>
    <n v="22040.959999999999"/>
    <x v="2"/>
    <d v="2025-12-01T00:00:00"/>
  </r>
  <r>
    <s v="GL-328"/>
    <d v="2025-12-12T00:00:00"/>
    <n v="4010"/>
    <n v="0"/>
    <n v="22040.959999999999"/>
    <s v="Sales for Invoice AR-INV-7082"/>
    <x v="3"/>
    <s v="Revenue"/>
    <n v="-22040.959999999999"/>
    <x v="2"/>
    <d v="2025-12-01T00:00:00"/>
  </r>
  <r>
    <s v="GL-761"/>
    <d v="2025-12-12T00:00:00"/>
    <n v="5010"/>
    <n v="19903.47"/>
    <n v="0"/>
    <s v="COGS for Invoice AP-INV-5191"/>
    <x v="0"/>
    <s v="Expenses"/>
    <n v="19903.47"/>
    <x v="2"/>
    <d v="2025-12-01T00:00:00"/>
  </r>
  <r>
    <s v="GL-762"/>
    <d v="2025-12-12T00:00:00"/>
    <n v="2010"/>
    <n v="0"/>
    <n v="19903.47"/>
    <s v="AP for Invoice AP-INV-5191"/>
    <x v="1"/>
    <s v="Liabilities"/>
    <n v="-19903.47"/>
    <x v="2"/>
    <d v="2025-12-01T00:00:00"/>
  </r>
  <r>
    <s v="GL-307"/>
    <d v="2025-12-13T00:00:00"/>
    <n v="1200"/>
    <n v="16255.32"/>
    <n v="0"/>
    <s v="AR for Invoice AR-INV-7077"/>
    <x v="2"/>
    <s v="Assets"/>
    <n v="16255.32"/>
    <x v="2"/>
    <d v="2025-12-01T00:00:00"/>
  </r>
  <r>
    <s v="GL-308"/>
    <d v="2025-12-13T00:00:00"/>
    <n v="4010"/>
    <n v="0"/>
    <n v="16255.32"/>
    <s v="Sales for Invoice AR-INV-7077"/>
    <x v="3"/>
    <s v="Revenue"/>
    <n v="-16255.32"/>
    <x v="2"/>
    <d v="2025-12-01T00:00:00"/>
  </r>
  <r>
    <s v="GL-529"/>
    <d v="2025-12-13T00:00:00"/>
    <n v="5010"/>
    <n v="15960.27"/>
    <n v="0"/>
    <s v="COGS for Invoice AP-INV-5133"/>
    <x v="0"/>
    <s v="Expenses"/>
    <n v="15960.27"/>
    <x v="2"/>
    <d v="2025-12-01T00:00:00"/>
  </r>
  <r>
    <s v="GL-530"/>
    <d v="2025-12-13T00:00:00"/>
    <n v="2010"/>
    <n v="0"/>
    <n v="15960.27"/>
    <s v="AP for Invoice AP-INV-5133"/>
    <x v="1"/>
    <s v="Liabilities"/>
    <n v="-15960.27"/>
    <x v="2"/>
    <d v="2025-12-01T00:00:00"/>
  </r>
  <r>
    <s v="GL-663"/>
    <d v="2025-12-19T00:00:00"/>
    <n v="1200"/>
    <n v="39376.89"/>
    <n v="0"/>
    <s v="AR for Invoice AR-INV-7166"/>
    <x v="2"/>
    <s v="Assets"/>
    <n v="39376.89"/>
    <x v="2"/>
    <d v="2025-12-01T00:00:00"/>
  </r>
  <r>
    <s v="GL-664"/>
    <d v="2025-12-19T00:00:00"/>
    <n v="4010"/>
    <n v="0"/>
    <n v="39376.89"/>
    <s v="Sales for Invoice AR-INV-7166"/>
    <x v="3"/>
    <s v="Revenue"/>
    <n v="-39376.89"/>
    <x v="2"/>
    <d v="2025-12-01T00:00:00"/>
  </r>
  <r>
    <s v="GL-725"/>
    <d v="2025-12-21T00:00:00"/>
    <n v="5010"/>
    <n v="6063.39"/>
    <n v="0"/>
    <s v="COGS for Invoice AP-INV-5182"/>
    <x v="0"/>
    <s v="Expenses"/>
    <n v="6063.39"/>
    <x v="2"/>
    <d v="2025-12-01T00:00:00"/>
  </r>
  <r>
    <s v="GL-726"/>
    <d v="2025-12-21T00:00:00"/>
    <n v="2010"/>
    <n v="0"/>
    <n v="6063.39"/>
    <s v="AP for Invoice AP-INV-5182"/>
    <x v="1"/>
    <s v="Liabilities"/>
    <n v="-6063.39"/>
    <x v="2"/>
    <d v="2025-12-01T00:00:00"/>
  </r>
  <r>
    <s v="GL-891"/>
    <d v="2025-12-22T00:00:00"/>
    <n v="1200"/>
    <n v="3238.7"/>
    <n v="0"/>
    <s v="AR for Invoice AR-INV-7223"/>
    <x v="2"/>
    <s v="Assets"/>
    <n v="3238.7"/>
    <x v="2"/>
    <d v="2025-12-01T00:00:00"/>
  </r>
  <r>
    <s v="GL-892"/>
    <d v="2025-12-22T00:00:00"/>
    <n v="4010"/>
    <n v="0"/>
    <n v="3238.7"/>
    <s v="Sales for Invoice AR-INV-7223"/>
    <x v="3"/>
    <s v="Revenue"/>
    <n v="-3238.7"/>
    <x v="2"/>
    <d v="2025-12-01T00:00:00"/>
  </r>
  <r>
    <s v="GL-417"/>
    <d v="2025-12-26T00:00:00"/>
    <n v="5010"/>
    <n v="2290.67"/>
    <n v="0"/>
    <s v="COGS for Invoice AP-INV-5105"/>
    <x v="0"/>
    <s v="Expenses"/>
    <n v="2290.67"/>
    <x v="2"/>
    <d v="2025-12-01T00:00:00"/>
  </r>
  <r>
    <s v="GL-418"/>
    <d v="2025-12-26T00:00:00"/>
    <n v="2010"/>
    <n v="0"/>
    <n v="2290.67"/>
    <s v="AP for Invoice AP-INV-5105"/>
    <x v="1"/>
    <s v="Liabilities"/>
    <n v="-2290.67"/>
    <x v="2"/>
    <d v="2025-12-01T00:00:00"/>
  </r>
  <r>
    <s v="GL-173"/>
    <d v="2025-12-29T00:00:00"/>
    <n v="5010"/>
    <n v="17399.189999999999"/>
    <n v="0"/>
    <s v="COGS for Invoice AP-INV-5044"/>
    <x v="0"/>
    <s v="Expenses"/>
    <n v="17399.189999999999"/>
    <x v="2"/>
    <d v="2025-12-01T00:00:00"/>
  </r>
  <r>
    <s v="GL-174"/>
    <d v="2025-12-29T00:00:00"/>
    <n v="2010"/>
    <n v="0"/>
    <n v="17399.189999999999"/>
    <s v="AP for Invoice AP-INV-5044"/>
    <x v="1"/>
    <s v="Liabilities"/>
    <n v="-17399.189999999999"/>
    <x v="2"/>
    <d v="2025-12-01T00:00:00"/>
  </r>
  <r>
    <s v="GL-1705"/>
    <d v="2026-01-01T00:00:00"/>
    <n v="5010"/>
    <n v="11135.59"/>
    <n v="0"/>
    <s v="COGS for Invoice AP-INV-5427"/>
    <x v="0"/>
    <s v="Expenses"/>
    <n v="11135.59"/>
    <x v="3"/>
    <d v="2026-01-01T00:00:00"/>
  </r>
  <r>
    <s v="GL-1706"/>
    <d v="2026-01-01T00:00:00"/>
    <n v="2010"/>
    <n v="0"/>
    <n v="11135.59"/>
    <s v="AP for Invoice AP-INV-5427"/>
    <x v="1"/>
    <s v="Liabilities"/>
    <n v="-11135.59"/>
    <x v="3"/>
    <d v="2026-01-01T00:00:00"/>
  </r>
  <r>
    <s v="GL-1823"/>
    <d v="2026-01-01T00:00:00"/>
    <n v="1200"/>
    <n v="26592.240000000002"/>
    <n v="0"/>
    <s v="AR for Invoice AR-INV-7456"/>
    <x v="2"/>
    <s v="Assets"/>
    <n v="26592.240000000002"/>
    <x v="3"/>
    <d v="2026-01-01T00:00:00"/>
  </r>
  <r>
    <s v="GL-1824"/>
    <d v="2026-01-01T00:00:00"/>
    <n v="4010"/>
    <n v="0"/>
    <n v="26592.240000000002"/>
    <s v="Sales for Invoice AR-INV-7456"/>
    <x v="3"/>
    <s v="Revenue"/>
    <n v="-26592.240000000002"/>
    <x v="3"/>
    <d v="2026-01-01T00:00:00"/>
  </r>
  <r>
    <s v="GL-1009"/>
    <d v="2026-01-04T00:00:00"/>
    <n v="5010"/>
    <n v="12804.98"/>
    <n v="0"/>
    <s v="COGS for Invoice AP-INV-5253"/>
    <x v="0"/>
    <s v="Expenses"/>
    <n v="12804.98"/>
    <x v="3"/>
    <d v="2026-01-01T00:00:00"/>
  </r>
  <r>
    <s v="GL-1010"/>
    <d v="2026-01-04T00:00:00"/>
    <n v="2010"/>
    <n v="0"/>
    <n v="12804.98"/>
    <s v="AP for Invoice AP-INV-5253"/>
    <x v="1"/>
    <s v="Liabilities"/>
    <n v="-12804.98"/>
    <x v="3"/>
    <d v="2026-01-01T00:00:00"/>
  </r>
  <r>
    <s v="GL-1477"/>
    <d v="2026-01-08T00:00:00"/>
    <n v="5010"/>
    <n v="19766.23"/>
    <n v="0"/>
    <s v="COGS for Invoice AP-INV-5370"/>
    <x v="0"/>
    <s v="Expenses"/>
    <n v="19766.23"/>
    <x v="3"/>
    <d v="2026-01-01T00:00:00"/>
  </r>
  <r>
    <s v="GL-1478"/>
    <d v="2026-01-08T00:00:00"/>
    <n v="2010"/>
    <n v="0"/>
    <n v="19766.23"/>
    <s v="AP for Invoice AP-INV-5370"/>
    <x v="1"/>
    <s v="Liabilities"/>
    <n v="-19766.23"/>
    <x v="3"/>
    <d v="2026-01-01T00:00:00"/>
  </r>
  <r>
    <s v="GL-353"/>
    <d v="2026-01-11T00:00:00"/>
    <n v="5010"/>
    <n v="6089.53"/>
    <n v="0"/>
    <s v="COGS for Invoice AP-INV-5089"/>
    <x v="0"/>
    <s v="Expenses"/>
    <n v="6089.53"/>
    <x v="3"/>
    <d v="2026-01-01T00:00:00"/>
  </r>
  <r>
    <s v="GL-354"/>
    <d v="2026-01-11T00:00:00"/>
    <n v="2010"/>
    <n v="0"/>
    <n v="6089.53"/>
    <s v="AP for Invoice AP-INV-5089"/>
    <x v="1"/>
    <s v="Liabilities"/>
    <n v="-6089.53"/>
    <x v="3"/>
    <d v="2026-01-01T00:00:00"/>
  </r>
  <r>
    <s v="GL-409"/>
    <d v="2026-01-12T00:00:00"/>
    <n v="5010"/>
    <n v="6259.39"/>
    <n v="0"/>
    <s v="COGS for Invoice AP-INV-5103"/>
    <x v="0"/>
    <s v="Expenses"/>
    <n v="6259.39"/>
    <x v="3"/>
    <d v="2026-01-01T00:00:00"/>
  </r>
  <r>
    <s v="GL-410"/>
    <d v="2026-01-12T00:00:00"/>
    <n v="2010"/>
    <n v="0"/>
    <n v="6259.39"/>
    <s v="AP for Invoice AP-INV-5103"/>
    <x v="1"/>
    <s v="Liabilities"/>
    <n v="-6259.39"/>
    <x v="3"/>
    <d v="2026-01-01T00:00:00"/>
  </r>
  <r>
    <s v="GL-1209"/>
    <d v="2026-01-13T00:00:00"/>
    <n v="5010"/>
    <n v="18755.060000000001"/>
    <n v="0"/>
    <s v="COGS for Invoice AP-INV-5303"/>
    <x v="0"/>
    <s v="Expenses"/>
    <n v="18755.060000000001"/>
    <x v="3"/>
    <d v="2026-01-01T00:00:00"/>
  </r>
  <r>
    <s v="GL-1210"/>
    <d v="2026-01-13T00:00:00"/>
    <n v="2010"/>
    <n v="0"/>
    <n v="18755.060000000001"/>
    <s v="AP for Invoice AP-INV-5303"/>
    <x v="1"/>
    <s v="Liabilities"/>
    <n v="-18755.060000000001"/>
    <x v="3"/>
    <d v="2026-01-01T00:00:00"/>
  </r>
  <r>
    <s v="GL-1669"/>
    <d v="2026-01-13T00:00:00"/>
    <n v="5010"/>
    <n v="19724.68"/>
    <n v="0"/>
    <s v="COGS for Invoice AP-INV-5418"/>
    <x v="0"/>
    <s v="Expenses"/>
    <n v="19724.68"/>
    <x v="3"/>
    <d v="2026-01-01T00:00:00"/>
  </r>
  <r>
    <s v="GL-1670"/>
    <d v="2026-01-13T00:00:00"/>
    <n v="2010"/>
    <n v="0"/>
    <n v="19724.68"/>
    <s v="AP for Invoice AP-INV-5418"/>
    <x v="1"/>
    <s v="Liabilities"/>
    <n v="-19724.68"/>
    <x v="3"/>
    <d v="2026-01-01T00:00:00"/>
  </r>
  <r>
    <s v="GL-373"/>
    <d v="2026-01-16T00:00:00"/>
    <n v="5010"/>
    <n v="3640.43"/>
    <n v="0"/>
    <s v="COGS for Invoice AP-INV-5094"/>
    <x v="0"/>
    <s v="Expenses"/>
    <n v="3640.43"/>
    <x v="3"/>
    <d v="2026-01-01T00:00:00"/>
  </r>
  <r>
    <s v="GL-374"/>
    <d v="2026-01-16T00:00:00"/>
    <n v="2010"/>
    <n v="0"/>
    <n v="3640.43"/>
    <s v="AP for Invoice AP-INV-5094"/>
    <x v="1"/>
    <s v="Liabilities"/>
    <n v="-3640.43"/>
    <x v="3"/>
    <d v="2026-01-01T00:00:00"/>
  </r>
  <r>
    <s v="GL-951"/>
    <d v="2026-01-16T00:00:00"/>
    <n v="1200"/>
    <n v="3157.75"/>
    <n v="0"/>
    <s v="AR for Invoice AR-INV-7238"/>
    <x v="2"/>
    <s v="Assets"/>
    <n v="3157.75"/>
    <x v="3"/>
    <d v="2026-01-01T00:00:00"/>
  </r>
  <r>
    <s v="GL-952"/>
    <d v="2026-01-16T00:00:00"/>
    <n v="4010"/>
    <n v="0"/>
    <n v="3157.75"/>
    <s v="Sales for Invoice AR-INV-7238"/>
    <x v="3"/>
    <s v="Revenue"/>
    <n v="-3157.75"/>
    <x v="3"/>
    <d v="2026-01-01T00:00:00"/>
  </r>
  <r>
    <s v="GL-1295"/>
    <d v="2026-01-18T00:00:00"/>
    <n v="1200"/>
    <n v="9044.3799999999992"/>
    <n v="0"/>
    <s v="AR for Invoice AR-INV-7324"/>
    <x v="2"/>
    <s v="Assets"/>
    <n v="9044.3799999999992"/>
    <x v="3"/>
    <d v="2026-01-01T00:00:00"/>
  </r>
  <r>
    <s v="GL-1296"/>
    <d v="2026-01-18T00:00:00"/>
    <n v="4010"/>
    <n v="0"/>
    <n v="9044.3799999999992"/>
    <s v="Sales for Invoice AR-INV-7324"/>
    <x v="3"/>
    <s v="Revenue"/>
    <n v="-9044.3799999999992"/>
    <x v="3"/>
    <d v="2026-01-01T00:00:00"/>
  </r>
  <r>
    <s v="GL-1615"/>
    <d v="2026-01-20T00:00:00"/>
    <n v="1200"/>
    <n v="10249.969999999999"/>
    <n v="0"/>
    <s v="AR for Invoice AR-INV-7404"/>
    <x v="2"/>
    <s v="Assets"/>
    <n v="10249.969999999999"/>
    <x v="3"/>
    <d v="2026-01-01T00:00:00"/>
  </r>
  <r>
    <s v="GL-1616"/>
    <d v="2026-01-20T00:00:00"/>
    <n v="4010"/>
    <n v="0"/>
    <n v="10249.969999999999"/>
    <s v="Sales for Invoice AR-INV-7404"/>
    <x v="3"/>
    <s v="Revenue"/>
    <n v="-10249.969999999999"/>
    <x v="3"/>
    <d v="2026-01-01T00:00:00"/>
  </r>
  <r>
    <s v="GL-1943"/>
    <d v="2026-01-20T00:00:00"/>
    <n v="1200"/>
    <n v="7672.18"/>
    <n v="0"/>
    <s v="AR for Invoice AR-INV-7486"/>
    <x v="2"/>
    <s v="Assets"/>
    <n v="7672.18"/>
    <x v="3"/>
    <d v="2026-01-01T00:00:00"/>
  </r>
  <r>
    <s v="GL-1944"/>
    <d v="2026-01-20T00:00:00"/>
    <n v="4010"/>
    <n v="0"/>
    <n v="7672.18"/>
    <s v="Sales for Invoice AR-INV-7486"/>
    <x v="3"/>
    <s v="Revenue"/>
    <n v="-7672.18"/>
    <x v="3"/>
    <d v="2026-01-01T00:00:00"/>
  </r>
  <r>
    <s v="GL-1225"/>
    <d v="2026-01-21T00:00:00"/>
    <n v="5010"/>
    <n v="12545.94"/>
    <n v="0"/>
    <s v="COGS for Invoice AP-INV-5307"/>
    <x v="0"/>
    <s v="Expenses"/>
    <n v="12545.94"/>
    <x v="3"/>
    <d v="2026-01-01T00:00:00"/>
  </r>
  <r>
    <s v="GL-1226"/>
    <d v="2026-01-21T00:00:00"/>
    <n v="2010"/>
    <n v="0"/>
    <n v="12545.94"/>
    <s v="AP for Invoice AP-INV-5307"/>
    <x v="1"/>
    <s v="Liabilities"/>
    <n v="-12545.94"/>
    <x v="3"/>
    <d v="2026-01-01T00:00:00"/>
  </r>
  <r>
    <s v="GL-387"/>
    <d v="2026-01-21T00:00:00"/>
    <n v="1200"/>
    <n v="28390.15"/>
    <n v="0"/>
    <s v="AR for Invoice AR-INV-7097"/>
    <x v="2"/>
    <s v="Assets"/>
    <n v="28390.15"/>
    <x v="3"/>
    <d v="2026-01-01T00:00:00"/>
  </r>
  <r>
    <s v="GL-388"/>
    <d v="2026-01-21T00:00:00"/>
    <n v="4010"/>
    <n v="0"/>
    <n v="28390.15"/>
    <s v="Sales for Invoice AR-INV-7097"/>
    <x v="3"/>
    <s v="Revenue"/>
    <n v="-28390.15"/>
    <x v="3"/>
    <d v="2026-01-01T00:00:00"/>
  </r>
  <r>
    <s v="GL-811"/>
    <d v="2026-01-22T00:00:00"/>
    <n v="1200"/>
    <n v="13124.07"/>
    <n v="0"/>
    <s v="AR for Invoice AR-INV-7203"/>
    <x v="2"/>
    <s v="Assets"/>
    <n v="13124.07"/>
    <x v="3"/>
    <d v="2026-01-01T00:00:00"/>
  </r>
  <r>
    <s v="GL-812"/>
    <d v="2026-01-22T00:00:00"/>
    <n v="4010"/>
    <n v="0"/>
    <n v="13124.07"/>
    <s v="Sales for Invoice AR-INV-7203"/>
    <x v="3"/>
    <s v="Revenue"/>
    <n v="-13124.07"/>
    <x v="3"/>
    <d v="2026-01-01T00:00:00"/>
  </r>
  <r>
    <s v="GL-1399"/>
    <d v="2026-01-23T00:00:00"/>
    <n v="1200"/>
    <n v="25548.59"/>
    <n v="0"/>
    <s v="AR for Invoice AR-INV-7350"/>
    <x v="2"/>
    <s v="Assets"/>
    <n v="25548.59"/>
    <x v="3"/>
    <d v="2026-01-01T00:00:00"/>
  </r>
  <r>
    <s v="GL-1400"/>
    <d v="2026-01-23T00:00:00"/>
    <n v="4010"/>
    <n v="0"/>
    <n v="25548.59"/>
    <s v="Sales for Invoice AR-INV-7350"/>
    <x v="3"/>
    <s v="Revenue"/>
    <n v="-25548.59"/>
    <x v="3"/>
    <d v="2026-01-01T00:00:00"/>
  </r>
  <r>
    <s v="GL-495"/>
    <d v="2026-01-23T00:00:00"/>
    <n v="1200"/>
    <n v="41371.42"/>
    <n v="0"/>
    <s v="AR for Invoice AR-INV-7124"/>
    <x v="2"/>
    <s v="Assets"/>
    <n v="41371.42"/>
    <x v="3"/>
    <d v="2026-01-01T00:00:00"/>
  </r>
  <r>
    <s v="GL-496"/>
    <d v="2026-01-23T00:00:00"/>
    <n v="4010"/>
    <n v="0"/>
    <n v="41371.42"/>
    <s v="Sales for Invoice AR-INV-7124"/>
    <x v="3"/>
    <s v="Revenue"/>
    <n v="-41371.42"/>
    <x v="3"/>
    <d v="2026-01-01T00:00:00"/>
  </r>
  <r>
    <s v="GL-1087"/>
    <d v="2026-01-24T00:00:00"/>
    <n v="1200"/>
    <n v="27759.49"/>
    <n v="0"/>
    <s v="AR for Invoice AR-INV-7272"/>
    <x v="2"/>
    <s v="Assets"/>
    <n v="27759.49"/>
    <x v="3"/>
    <d v="2026-01-01T00:00:00"/>
  </r>
  <r>
    <s v="GL-1088"/>
    <d v="2026-01-24T00:00:00"/>
    <n v="4010"/>
    <n v="0"/>
    <n v="27759.49"/>
    <s v="Sales for Invoice AR-INV-7272"/>
    <x v="3"/>
    <s v="Revenue"/>
    <n v="-27759.49"/>
    <x v="3"/>
    <d v="2026-01-01T00:00:00"/>
  </r>
  <r>
    <s v="GL-753"/>
    <d v="2026-01-24T00:00:00"/>
    <n v="5010"/>
    <n v="13575.18"/>
    <n v="0"/>
    <s v="COGS for Invoice AP-INV-5189"/>
    <x v="0"/>
    <s v="Expenses"/>
    <n v="13575.18"/>
    <x v="3"/>
    <d v="2026-01-01T00:00:00"/>
  </r>
  <r>
    <s v="GL-754"/>
    <d v="2026-01-24T00:00:00"/>
    <n v="2010"/>
    <n v="0"/>
    <n v="13575.18"/>
    <s v="AP for Invoice AP-INV-5189"/>
    <x v="1"/>
    <s v="Liabilities"/>
    <n v="-13575.18"/>
    <x v="3"/>
    <d v="2026-01-01T00:00:00"/>
  </r>
  <r>
    <s v="GL-621"/>
    <d v="2026-01-26T00:00:00"/>
    <n v="5010"/>
    <n v="18221.349999999999"/>
    <n v="0"/>
    <s v="COGS for Invoice AP-INV-5156"/>
    <x v="0"/>
    <s v="Expenses"/>
    <n v="18221.349999999999"/>
    <x v="3"/>
    <d v="2026-01-01T00:00:00"/>
  </r>
  <r>
    <s v="GL-622"/>
    <d v="2026-01-26T00:00:00"/>
    <n v="2010"/>
    <n v="0"/>
    <n v="18221.349999999999"/>
    <s v="AP for Invoice AP-INV-5156"/>
    <x v="1"/>
    <s v="Liabilities"/>
    <n v="-18221.349999999999"/>
    <x v="3"/>
    <d v="2026-01-01T00:00:00"/>
  </r>
  <r>
    <s v="GL-709"/>
    <d v="2026-01-27T00:00:00"/>
    <n v="5010"/>
    <n v="17113.55"/>
    <n v="0"/>
    <s v="COGS for Invoice AP-INV-5178"/>
    <x v="0"/>
    <s v="Expenses"/>
    <n v="17113.55"/>
    <x v="3"/>
    <d v="2026-01-01T00:00:00"/>
  </r>
  <r>
    <s v="GL-710"/>
    <d v="2026-01-27T00:00:00"/>
    <n v="2010"/>
    <n v="0"/>
    <n v="17113.55"/>
    <s v="AP for Invoice AP-INV-5178"/>
    <x v="1"/>
    <s v="Liabilities"/>
    <n v="-17113.55"/>
    <x v="3"/>
    <d v="2026-01-01T00:00:00"/>
  </r>
  <r>
    <s v="GL-1391"/>
    <d v="2026-01-29T00:00:00"/>
    <n v="1200"/>
    <n v="16636.05"/>
    <n v="0"/>
    <s v="AR for Invoice AR-INV-7348"/>
    <x v="2"/>
    <s v="Assets"/>
    <n v="16636.05"/>
    <x v="3"/>
    <d v="2026-01-01T00:00:00"/>
  </r>
  <r>
    <s v="GL-1392"/>
    <d v="2026-01-29T00:00:00"/>
    <n v="4010"/>
    <n v="0"/>
    <n v="16636.05"/>
    <s v="Sales for Invoice AR-INV-7348"/>
    <x v="3"/>
    <s v="Revenue"/>
    <n v="-16636.05"/>
    <x v="3"/>
    <d v="2026-01-01T00:00:00"/>
  </r>
  <r>
    <s v="GL-19"/>
    <d v="2026-01-31T00:00:00"/>
    <n v="1200"/>
    <n v="5567.16"/>
    <n v="0"/>
    <s v="AR for Invoice AR-INV-7005"/>
    <x v="2"/>
    <s v="Assets"/>
    <n v="5567.16"/>
    <x v="3"/>
    <d v="2026-01-01T00:00:00"/>
  </r>
  <r>
    <s v="GL-20"/>
    <d v="2026-01-31T00:00:00"/>
    <n v="4010"/>
    <n v="0"/>
    <n v="5567.16"/>
    <s v="Sales for Invoice AR-INV-7005"/>
    <x v="3"/>
    <s v="Revenue"/>
    <n v="-5567.16"/>
    <x v="3"/>
    <d v="2026-01-01T00:00:00"/>
  </r>
  <r>
    <s v="GL-49"/>
    <d v="2026-02-02T00:00:00"/>
    <n v="5010"/>
    <n v="13580.31"/>
    <n v="0"/>
    <s v="COGS for Invoice AP-INV-5013"/>
    <x v="0"/>
    <s v="Expenses"/>
    <n v="13580.31"/>
    <x v="3"/>
    <d v="2026-02-01T00:00:00"/>
  </r>
  <r>
    <s v="GL-50"/>
    <d v="2026-02-02T00:00:00"/>
    <n v="2010"/>
    <n v="0"/>
    <n v="13580.31"/>
    <s v="AP for Invoice AP-INV-5013"/>
    <x v="1"/>
    <s v="Liabilities"/>
    <n v="-13580.31"/>
    <x v="3"/>
    <d v="2026-02-01T00:00:00"/>
  </r>
  <r>
    <s v="GL-27"/>
    <d v="2026-02-04T00:00:00"/>
    <n v="1200"/>
    <n v="40526.99"/>
    <n v="0"/>
    <s v="AR for Invoice AR-INV-7007"/>
    <x v="2"/>
    <s v="Assets"/>
    <n v="40526.99"/>
    <x v="3"/>
    <d v="2026-02-01T00:00:00"/>
  </r>
  <r>
    <s v="GL-28"/>
    <d v="2026-02-04T00:00:00"/>
    <n v="4010"/>
    <n v="0"/>
    <n v="40526.99"/>
    <s v="Sales for Invoice AR-INV-7007"/>
    <x v="3"/>
    <s v="Revenue"/>
    <n v="-40526.99"/>
    <x v="3"/>
    <d v="2026-02-01T00:00:00"/>
  </r>
  <r>
    <s v="GL-1531"/>
    <d v="2026-02-06T00:00:00"/>
    <n v="1200"/>
    <n v="37888.92"/>
    <n v="0"/>
    <s v="AR for Invoice AR-INV-7383"/>
    <x v="2"/>
    <s v="Assets"/>
    <n v="37888.92"/>
    <x v="3"/>
    <d v="2026-02-01T00:00:00"/>
  </r>
  <r>
    <s v="GL-1532"/>
    <d v="2026-02-06T00:00:00"/>
    <n v="4010"/>
    <n v="0"/>
    <n v="37888.92"/>
    <s v="Sales for Invoice AR-INV-7383"/>
    <x v="3"/>
    <s v="Revenue"/>
    <n v="-37888.92"/>
    <x v="3"/>
    <d v="2026-02-01T00:00:00"/>
  </r>
  <r>
    <s v="GL-1103"/>
    <d v="2026-02-07T00:00:00"/>
    <n v="1200"/>
    <n v="20406.82"/>
    <n v="0"/>
    <s v="AR for Invoice AR-INV-7276"/>
    <x v="2"/>
    <s v="Assets"/>
    <n v="20406.82"/>
    <x v="3"/>
    <d v="2026-02-01T00:00:00"/>
  </r>
  <r>
    <s v="GL-1104"/>
    <d v="2026-02-07T00:00:00"/>
    <n v="4010"/>
    <n v="0"/>
    <n v="20406.82"/>
    <s v="Sales for Invoice AR-INV-7276"/>
    <x v="3"/>
    <s v="Revenue"/>
    <n v="-20406.82"/>
    <x v="3"/>
    <d v="2026-02-01T00:00:00"/>
  </r>
  <r>
    <s v="GL-1021"/>
    <d v="2026-02-08T00:00:00"/>
    <n v="5010"/>
    <n v="9417.42"/>
    <n v="0"/>
    <s v="COGS for Invoice AP-INV-5256"/>
    <x v="0"/>
    <s v="Expenses"/>
    <n v="9417.42"/>
    <x v="3"/>
    <d v="2026-02-01T00:00:00"/>
  </r>
  <r>
    <s v="GL-1022"/>
    <d v="2026-02-08T00:00:00"/>
    <n v="2010"/>
    <n v="0"/>
    <n v="9417.42"/>
    <s v="AP for Invoice AP-INV-5256"/>
    <x v="1"/>
    <s v="Liabilities"/>
    <n v="-9417.42"/>
    <x v="3"/>
    <d v="2026-02-01T00:00:00"/>
  </r>
  <r>
    <s v="GL-977"/>
    <d v="2026-02-10T00:00:00"/>
    <n v="5010"/>
    <n v="5005.8900000000003"/>
    <n v="0"/>
    <s v="COGS for Invoice AP-INV-5245"/>
    <x v="0"/>
    <s v="Expenses"/>
    <n v="5005.8900000000003"/>
    <x v="3"/>
    <d v="2026-02-01T00:00:00"/>
  </r>
  <r>
    <s v="GL-978"/>
    <d v="2026-02-10T00:00:00"/>
    <n v="2010"/>
    <n v="0"/>
    <n v="5005.8900000000003"/>
    <s v="AP for Invoice AP-INV-5245"/>
    <x v="1"/>
    <s v="Liabilities"/>
    <n v="-5005.8900000000003"/>
    <x v="3"/>
    <d v="2026-02-01T00:00:00"/>
  </r>
  <r>
    <s v="GL-605"/>
    <d v="2026-02-12T00:00:00"/>
    <n v="5010"/>
    <n v="8139.08"/>
    <n v="0"/>
    <s v="COGS for Invoice AP-INV-5152"/>
    <x v="0"/>
    <s v="Expenses"/>
    <n v="8139.08"/>
    <x v="3"/>
    <d v="2026-02-01T00:00:00"/>
  </r>
  <r>
    <s v="GL-606"/>
    <d v="2026-02-12T00:00:00"/>
    <n v="2010"/>
    <n v="0"/>
    <n v="8139.08"/>
    <s v="AP for Invoice AP-INV-5152"/>
    <x v="1"/>
    <s v="Liabilities"/>
    <n v="-8139.08"/>
    <x v="3"/>
    <d v="2026-02-01T00:00:00"/>
  </r>
  <r>
    <s v="GL-1587"/>
    <d v="2026-02-14T00:00:00"/>
    <n v="1200"/>
    <n v="24041.94"/>
    <n v="0"/>
    <s v="AR for Invoice AR-INV-7397"/>
    <x v="2"/>
    <s v="Assets"/>
    <n v="24041.94"/>
    <x v="3"/>
    <d v="2026-02-01T00:00:00"/>
  </r>
  <r>
    <s v="GL-1588"/>
    <d v="2026-02-14T00:00:00"/>
    <n v="4010"/>
    <n v="0"/>
    <n v="24041.94"/>
    <s v="Sales for Invoice AR-INV-7397"/>
    <x v="3"/>
    <s v="Revenue"/>
    <n v="-24041.94"/>
    <x v="3"/>
    <d v="2026-02-01T00:00:00"/>
  </r>
  <r>
    <s v="GL-1541"/>
    <d v="2026-02-16T00:00:00"/>
    <n v="5010"/>
    <n v="8360.5499999999993"/>
    <n v="0"/>
    <s v="COGS for Invoice AP-INV-5386"/>
    <x v="0"/>
    <s v="Expenses"/>
    <n v="8360.5499999999993"/>
    <x v="3"/>
    <d v="2026-02-01T00:00:00"/>
  </r>
  <r>
    <s v="GL-1542"/>
    <d v="2026-02-16T00:00:00"/>
    <n v="2010"/>
    <n v="0"/>
    <n v="8360.5499999999993"/>
    <s v="AP for Invoice AP-INV-5386"/>
    <x v="1"/>
    <s v="Liabilities"/>
    <n v="-8360.5499999999993"/>
    <x v="3"/>
    <d v="2026-02-01T00:00:00"/>
  </r>
  <r>
    <s v="GL-33"/>
    <d v="2026-02-18T00:00:00"/>
    <n v="5010"/>
    <n v="2407.17"/>
    <n v="0"/>
    <s v="COGS for Invoice AP-INV-5009"/>
    <x v="0"/>
    <s v="Expenses"/>
    <n v="2407.17"/>
    <x v="3"/>
    <d v="2026-02-01T00:00:00"/>
  </r>
  <r>
    <s v="GL-34"/>
    <d v="2026-02-18T00:00:00"/>
    <n v="2010"/>
    <n v="0"/>
    <n v="2407.17"/>
    <s v="AP for Invoice AP-INV-5009"/>
    <x v="1"/>
    <s v="Liabilities"/>
    <n v="-2407.17"/>
    <x v="3"/>
    <d v="2026-02-01T00:00:00"/>
  </r>
  <r>
    <s v="GL-121"/>
    <d v="2026-02-21T00:00:00"/>
    <n v="5010"/>
    <n v="12394.19"/>
    <n v="0"/>
    <s v="COGS for Invoice AP-INV-5031"/>
    <x v="0"/>
    <s v="Expenses"/>
    <n v="12394.19"/>
    <x v="3"/>
    <d v="2026-02-01T00:00:00"/>
  </r>
  <r>
    <s v="GL-122"/>
    <d v="2026-02-21T00:00:00"/>
    <n v="2010"/>
    <n v="0"/>
    <n v="12394.19"/>
    <s v="AP for Invoice AP-INV-5031"/>
    <x v="1"/>
    <s v="Liabilities"/>
    <n v="-12394.19"/>
    <x v="3"/>
    <d v="2026-02-01T00:00:00"/>
  </r>
  <r>
    <s v="GL-1359"/>
    <d v="2026-02-21T00:00:00"/>
    <n v="1200"/>
    <n v="30647.58"/>
    <n v="0"/>
    <s v="AR for Invoice AR-INV-7340"/>
    <x v="2"/>
    <s v="Assets"/>
    <n v="30647.58"/>
    <x v="3"/>
    <d v="2026-02-01T00:00:00"/>
  </r>
  <r>
    <s v="GL-1360"/>
    <d v="2026-02-21T00:00:00"/>
    <n v="4010"/>
    <n v="0"/>
    <n v="30647.58"/>
    <s v="Sales for Invoice AR-INV-7340"/>
    <x v="3"/>
    <s v="Revenue"/>
    <n v="-30647.58"/>
    <x v="3"/>
    <d v="2026-02-01T00:00:00"/>
  </r>
  <r>
    <s v="GL-1589"/>
    <d v="2026-02-21T00:00:00"/>
    <n v="5010"/>
    <n v="14486.14"/>
    <n v="0"/>
    <s v="COGS for Invoice AP-INV-5398"/>
    <x v="0"/>
    <s v="Expenses"/>
    <n v="14486.14"/>
    <x v="3"/>
    <d v="2026-02-01T00:00:00"/>
  </r>
  <r>
    <s v="GL-1590"/>
    <d v="2026-02-21T00:00:00"/>
    <n v="2010"/>
    <n v="0"/>
    <n v="14486.14"/>
    <s v="AP for Invoice AP-INV-5398"/>
    <x v="1"/>
    <s v="Liabilities"/>
    <n v="-14486.14"/>
    <x v="3"/>
    <d v="2026-02-01T00:00:00"/>
  </r>
  <r>
    <s v="GL-319"/>
    <d v="2026-02-22T00:00:00"/>
    <n v="1200"/>
    <n v="16349.7"/>
    <n v="0"/>
    <s v="AR for Invoice AR-INV-7080"/>
    <x v="2"/>
    <s v="Assets"/>
    <n v="16349.7"/>
    <x v="3"/>
    <d v="2026-02-01T00:00:00"/>
  </r>
  <r>
    <s v="GL-320"/>
    <d v="2026-02-22T00:00:00"/>
    <n v="4010"/>
    <n v="0"/>
    <n v="16349.7"/>
    <s v="Sales for Invoice AR-INV-7080"/>
    <x v="3"/>
    <s v="Revenue"/>
    <n v="-16349.7"/>
    <x v="3"/>
    <d v="2026-02-01T00:00:00"/>
  </r>
  <r>
    <s v="GL-81"/>
    <d v="2026-02-23T00:00:00"/>
    <n v="5010"/>
    <n v="10200.540000000001"/>
    <n v="0"/>
    <s v="COGS for Invoice AP-INV-5021"/>
    <x v="0"/>
    <s v="Expenses"/>
    <n v="10200.540000000001"/>
    <x v="3"/>
    <d v="2026-02-01T00:00:00"/>
  </r>
  <r>
    <s v="GL-82"/>
    <d v="2026-02-23T00:00:00"/>
    <n v="2010"/>
    <n v="0"/>
    <n v="10200.540000000001"/>
    <s v="AP for Invoice AP-INV-5021"/>
    <x v="1"/>
    <s v="Liabilities"/>
    <n v="-10200.540000000001"/>
    <x v="3"/>
    <d v="2026-02-01T00:00:00"/>
  </r>
  <r>
    <s v="GL-689"/>
    <d v="2026-02-24T00:00:00"/>
    <n v="5010"/>
    <n v="2326.48"/>
    <n v="0"/>
    <s v="COGS for Invoice AP-INV-5173"/>
    <x v="0"/>
    <s v="Expenses"/>
    <n v="2326.48"/>
    <x v="3"/>
    <d v="2026-02-01T00:00:00"/>
  </r>
  <r>
    <s v="GL-690"/>
    <d v="2026-02-24T00:00:00"/>
    <n v="2010"/>
    <n v="0"/>
    <n v="2326.48"/>
    <s v="AP for Invoice AP-INV-5173"/>
    <x v="1"/>
    <s v="Liabilities"/>
    <n v="-2326.48"/>
    <x v="3"/>
    <d v="2026-02-01T00:00:00"/>
  </r>
  <r>
    <s v="GL-155"/>
    <d v="2026-02-25T00:00:00"/>
    <n v="1200"/>
    <n v="22791.919999999998"/>
    <n v="0"/>
    <s v="AR for Invoice AR-INV-7039"/>
    <x v="2"/>
    <s v="Assets"/>
    <n v="22791.919999999998"/>
    <x v="3"/>
    <d v="2026-02-01T00:00:00"/>
  </r>
  <r>
    <s v="GL-156"/>
    <d v="2026-02-25T00:00:00"/>
    <n v="4010"/>
    <n v="0"/>
    <n v="22791.919999999998"/>
    <s v="Sales for Invoice AR-INV-7039"/>
    <x v="3"/>
    <s v="Revenue"/>
    <n v="-22791.919999999998"/>
    <x v="3"/>
    <d v="2026-02-01T00:00:00"/>
  </r>
  <r>
    <s v="GL-381"/>
    <d v="2026-02-25T00:00:00"/>
    <n v="5010"/>
    <n v="3251.5"/>
    <n v="0"/>
    <s v="COGS for Invoice AP-INV-5096"/>
    <x v="0"/>
    <s v="Expenses"/>
    <n v="3251.5"/>
    <x v="3"/>
    <d v="2026-02-01T00:00:00"/>
  </r>
  <r>
    <s v="GL-382"/>
    <d v="2026-02-25T00:00:00"/>
    <n v="2010"/>
    <n v="0"/>
    <n v="3251.5"/>
    <s v="AP for Invoice AP-INV-5096"/>
    <x v="1"/>
    <s v="Liabilities"/>
    <n v="-3251.5"/>
    <x v="3"/>
    <d v="2026-02-01T00:00:00"/>
  </r>
  <r>
    <s v="GL-1819"/>
    <d v="2026-02-26T00:00:00"/>
    <n v="1200"/>
    <n v="12050.42"/>
    <n v="0"/>
    <s v="AR for Invoice AR-INV-7455"/>
    <x v="2"/>
    <s v="Assets"/>
    <n v="12050.42"/>
    <x v="3"/>
    <d v="2026-02-01T00:00:00"/>
  </r>
  <r>
    <s v="GL-1820"/>
    <d v="2026-02-26T00:00:00"/>
    <n v="4010"/>
    <n v="0"/>
    <n v="12050.42"/>
    <s v="Sales for Invoice AR-INV-7455"/>
    <x v="3"/>
    <s v="Revenue"/>
    <n v="-12050.42"/>
    <x v="3"/>
    <d v="2026-02-01T00:00:00"/>
  </r>
  <r>
    <s v="GL-1899"/>
    <d v="2026-02-26T00:00:00"/>
    <n v="1200"/>
    <n v="14238.93"/>
    <n v="0"/>
    <s v="AR for Invoice AR-INV-7475"/>
    <x v="2"/>
    <s v="Assets"/>
    <n v="14238.93"/>
    <x v="3"/>
    <d v="2026-02-01T00:00:00"/>
  </r>
  <r>
    <s v="GL-1900"/>
    <d v="2026-02-26T00:00:00"/>
    <n v="4010"/>
    <n v="0"/>
    <n v="14238.93"/>
    <s v="Sales for Invoice AR-INV-7475"/>
    <x v="3"/>
    <s v="Revenue"/>
    <n v="-14238.93"/>
    <x v="3"/>
    <d v="2026-02-01T00:00:00"/>
  </r>
  <r>
    <s v="GL-1769"/>
    <d v="2026-02-27T00:00:00"/>
    <n v="5010"/>
    <n v="7258.81"/>
    <n v="0"/>
    <s v="COGS for Invoice AP-INV-5443"/>
    <x v="0"/>
    <s v="Expenses"/>
    <n v="7258.81"/>
    <x v="3"/>
    <d v="2026-02-01T00:00:00"/>
  </r>
  <r>
    <s v="GL-1770"/>
    <d v="2026-02-27T00:00:00"/>
    <n v="2010"/>
    <n v="0"/>
    <n v="7258.81"/>
    <s v="AP for Invoice AP-INV-5443"/>
    <x v="1"/>
    <s v="Liabilities"/>
    <n v="-7258.81"/>
    <x v="3"/>
    <d v="2026-02-01T00:00:00"/>
  </r>
  <r>
    <s v="GL-1745"/>
    <d v="2026-02-28T00:00:00"/>
    <n v="5010"/>
    <n v="11758.57"/>
    <n v="0"/>
    <s v="COGS for Invoice AP-INV-5437"/>
    <x v="0"/>
    <s v="Expenses"/>
    <n v="11758.57"/>
    <x v="3"/>
    <d v="2026-02-01T00:00:00"/>
  </r>
  <r>
    <s v="GL-1746"/>
    <d v="2026-02-28T00:00:00"/>
    <n v="2010"/>
    <n v="0"/>
    <n v="11758.57"/>
    <s v="AP for Invoice AP-INV-5437"/>
    <x v="1"/>
    <s v="Liabilities"/>
    <n v="-11758.57"/>
    <x v="3"/>
    <d v="2026-02-01T00:00:00"/>
  </r>
  <r>
    <s v="GL-577"/>
    <d v="2026-02-28T00:00:00"/>
    <n v="5010"/>
    <n v="11724.81"/>
    <n v="0"/>
    <s v="COGS for Invoice AP-INV-5145"/>
    <x v="0"/>
    <s v="Expenses"/>
    <n v="11724.81"/>
    <x v="3"/>
    <d v="2026-02-01T00:00:00"/>
  </r>
  <r>
    <s v="GL-578"/>
    <d v="2026-02-28T00:00:00"/>
    <n v="2010"/>
    <n v="0"/>
    <n v="11724.81"/>
    <s v="AP for Invoice AP-INV-5145"/>
    <x v="1"/>
    <s v="Liabilities"/>
    <n v="-11724.81"/>
    <x v="3"/>
    <d v="2026-02-01T00:00:00"/>
  </r>
  <r>
    <s v="GL-1859"/>
    <d v="2026-03-01T00:00:00"/>
    <n v="1200"/>
    <n v="16329.42"/>
    <n v="0"/>
    <s v="AR for Invoice AR-INV-7465"/>
    <x v="2"/>
    <s v="Assets"/>
    <n v="16329.42"/>
    <x v="3"/>
    <d v="2026-03-01T00:00:00"/>
  </r>
  <r>
    <s v="GL-1860"/>
    <d v="2026-03-01T00:00:00"/>
    <n v="4010"/>
    <n v="0"/>
    <n v="16329.42"/>
    <s v="Sales for Invoice AR-INV-7465"/>
    <x v="3"/>
    <s v="Revenue"/>
    <n v="-16329.42"/>
    <x v="3"/>
    <d v="2026-03-01T00:00:00"/>
  </r>
  <r>
    <s v="GL-101"/>
    <d v="2026-03-02T00:00:00"/>
    <n v="5010"/>
    <n v="748.46"/>
    <n v="0"/>
    <s v="COGS for Invoice AP-INV-5026"/>
    <x v="0"/>
    <s v="Expenses"/>
    <n v="748.46"/>
    <x v="3"/>
    <d v="2026-03-01T00:00:00"/>
  </r>
  <r>
    <s v="GL-102"/>
    <d v="2026-03-02T00:00:00"/>
    <n v="2010"/>
    <n v="0"/>
    <n v="748.46"/>
    <s v="AP for Invoice AP-INV-5026"/>
    <x v="1"/>
    <s v="Liabilities"/>
    <n v="-748.46"/>
    <x v="3"/>
    <d v="2026-03-01T00:00:00"/>
  </r>
  <r>
    <s v="GL-253"/>
    <d v="2026-03-02T00:00:00"/>
    <n v="5010"/>
    <n v="10702.62"/>
    <n v="0"/>
    <s v="COGS for Invoice AP-INV-5064"/>
    <x v="0"/>
    <s v="Expenses"/>
    <n v="10702.62"/>
    <x v="3"/>
    <d v="2026-03-01T00:00:00"/>
  </r>
  <r>
    <s v="GL-254"/>
    <d v="2026-03-02T00:00:00"/>
    <n v="2010"/>
    <n v="0"/>
    <n v="10702.62"/>
    <s v="AP for Invoice AP-INV-5064"/>
    <x v="1"/>
    <s v="Liabilities"/>
    <n v="-10702.62"/>
    <x v="3"/>
    <d v="2026-03-01T00:00:00"/>
  </r>
  <r>
    <s v="GL-1631"/>
    <d v="2026-03-03T00:00:00"/>
    <n v="1200"/>
    <n v="10921.86"/>
    <n v="0"/>
    <s v="AR for Invoice AR-INV-7408"/>
    <x v="2"/>
    <s v="Assets"/>
    <n v="10921.86"/>
    <x v="3"/>
    <d v="2026-03-01T00:00:00"/>
  </r>
  <r>
    <s v="GL-1632"/>
    <d v="2026-03-03T00:00:00"/>
    <n v="4010"/>
    <n v="0"/>
    <n v="10921.86"/>
    <s v="Sales for Invoice AR-INV-7408"/>
    <x v="3"/>
    <s v="Revenue"/>
    <n v="-10921.86"/>
    <x v="3"/>
    <d v="2026-03-01T00:00:00"/>
  </r>
  <r>
    <s v="GL-1927"/>
    <d v="2026-03-04T00:00:00"/>
    <n v="1200"/>
    <n v="12315.36"/>
    <n v="0"/>
    <s v="AR for Invoice AR-INV-7482"/>
    <x v="2"/>
    <s v="Assets"/>
    <n v="12315.36"/>
    <x v="3"/>
    <d v="2026-03-01T00:00:00"/>
  </r>
  <r>
    <s v="GL-1928"/>
    <d v="2026-03-04T00:00:00"/>
    <n v="4010"/>
    <n v="0"/>
    <n v="12315.36"/>
    <s v="Sales for Invoice AR-INV-7482"/>
    <x v="3"/>
    <s v="Revenue"/>
    <n v="-12315.36"/>
    <x v="3"/>
    <d v="2026-03-01T00:00:00"/>
  </r>
  <r>
    <s v="GL-1303"/>
    <d v="2026-03-05T00:00:00"/>
    <n v="1200"/>
    <n v="28753.68"/>
    <n v="0"/>
    <s v="AR for Invoice AR-INV-7326"/>
    <x v="2"/>
    <s v="Assets"/>
    <n v="28753.68"/>
    <x v="3"/>
    <d v="2026-03-01T00:00:00"/>
  </r>
  <r>
    <s v="GL-1304"/>
    <d v="2026-03-05T00:00:00"/>
    <n v="4010"/>
    <n v="0"/>
    <n v="28753.68"/>
    <s v="Sales for Invoice AR-INV-7326"/>
    <x v="3"/>
    <s v="Revenue"/>
    <n v="-28753.68"/>
    <x v="3"/>
    <d v="2026-03-01T00:00:00"/>
  </r>
  <r>
    <s v="GL-1651"/>
    <d v="2026-03-07T00:00:00"/>
    <n v="1200"/>
    <n v="21838.46"/>
    <n v="0"/>
    <s v="AR for Invoice AR-INV-7413"/>
    <x v="2"/>
    <s v="Assets"/>
    <n v="21838.46"/>
    <x v="3"/>
    <d v="2026-03-01T00:00:00"/>
  </r>
  <r>
    <s v="GL-1652"/>
    <d v="2026-03-07T00:00:00"/>
    <n v="4010"/>
    <n v="0"/>
    <n v="21838.46"/>
    <s v="Sales for Invoice AR-INV-7413"/>
    <x v="3"/>
    <s v="Revenue"/>
    <n v="-21838.46"/>
    <x v="3"/>
    <d v="2026-03-01T00:00:00"/>
  </r>
  <r>
    <s v="GL-265"/>
    <d v="2026-03-07T00:00:00"/>
    <n v="5010"/>
    <n v="11997.53"/>
    <n v="0"/>
    <s v="COGS for Invoice AP-INV-5067"/>
    <x v="0"/>
    <s v="Expenses"/>
    <n v="11997.53"/>
    <x v="3"/>
    <d v="2026-03-01T00:00:00"/>
  </r>
  <r>
    <s v="GL-266"/>
    <d v="2026-03-07T00:00:00"/>
    <n v="2010"/>
    <n v="0"/>
    <n v="11997.53"/>
    <s v="AP for Invoice AP-INV-5067"/>
    <x v="1"/>
    <s v="Liabilities"/>
    <n v="-11997.53"/>
    <x v="3"/>
    <d v="2026-03-01T00:00:00"/>
  </r>
  <r>
    <s v="GL-1497"/>
    <d v="2026-03-08T00:00:00"/>
    <n v="5010"/>
    <n v="8009.05"/>
    <n v="0"/>
    <s v="COGS for Invoice AP-INV-5375"/>
    <x v="0"/>
    <s v="Expenses"/>
    <n v="8009.05"/>
    <x v="3"/>
    <d v="2026-03-01T00:00:00"/>
  </r>
  <r>
    <s v="GL-1498"/>
    <d v="2026-03-08T00:00:00"/>
    <n v="2010"/>
    <n v="0"/>
    <n v="8009.05"/>
    <s v="AP for Invoice AP-INV-5375"/>
    <x v="1"/>
    <s v="Liabilities"/>
    <n v="-8009.05"/>
    <x v="3"/>
    <d v="2026-03-01T00:00:00"/>
  </r>
  <r>
    <s v="GL-955"/>
    <d v="2026-03-11T00:00:00"/>
    <n v="1200"/>
    <n v="46753.38"/>
    <n v="0"/>
    <s v="AR for Invoice AR-INV-7239"/>
    <x v="2"/>
    <s v="Assets"/>
    <n v="46753.38"/>
    <x v="3"/>
    <d v="2026-03-01T00:00:00"/>
  </r>
  <r>
    <s v="GL-956"/>
    <d v="2026-03-11T00:00:00"/>
    <n v="4010"/>
    <n v="0"/>
    <n v="46753.38"/>
    <s v="Sales for Invoice AR-INV-7239"/>
    <x v="3"/>
    <s v="Revenue"/>
    <n v="-46753.38"/>
    <x v="3"/>
    <d v="2026-03-01T00:00:00"/>
  </r>
  <r>
    <s v="GL-1959"/>
    <d v="2026-03-13T00:00:00"/>
    <n v="1200"/>
    <n v="5963.79"/>
    <n v="0"/>
    <s v="AR for Invoice AR-INV-7490"/>
    <x v="2"/>
    <s v="Assets"/>
    <n v="5963.79"/>
    <x v="3"/>
    <d v="2026-03-01T00:00:00"/>
  </r>
  <r>
    <s v="GL-1960"/>
    <d v="2026-03-13T00:00:00"/>
    <n v="4010"/>
    <n v="0"/>
    <n v="5963.79"/>
    <s v="Sales for Invoice AR-INV-7490"/>
    <x v="3"/>
    <s v="Revenue"/>
    <n v="-5963.79"/>
    <x v="3"/>
    <d v="2026-03-01T00:00:00"/>
  </r>
  <r>
    <s v="GL-1565"/>
    <d v="2026-03-16T00:00:00"/>
    <n v="5010"/>
    <n v="12134.57"/>
    <n v="0"/>
    <s v="COGS for Invoice AP-INV-5392"/>
    <x v="0"/>
    <s v="Expenses"/>
    <n v="12134.57"/>
    <x v="3"/>
    <d v="2026-03-01T00:00:00"/>
  </r>
  <r>
    <s v="GL-1566"/>
    <d v="2026-03-16T00:00:00"/>
    <n v="2010"/>
    <n v="0"/>
    <n v="12134.57"/>
    <s v="AP for Invoice AP-INV-5392"/>
    <x v="1"/>
    <s v="Liabilities"/>
    <n v="-12134.57"/>
    <x v="3"/>
    <d v="2026-03-01T00:00:00"/>
  </r>
  <r>
    <s v="GL-563"/>
    <d v="2026-03-18T00:00:00"/>
    <n v="1200"/>
    <n v="20567.25"/>
    <n v="0"/>
    <s v="AR for Invoice AR-INV-7141"/>
    <x v="2"/>
    <s v="Assets"/>
    <n v="20567.25"/>
    <x v="3"/>
    <d v="2026-03-01T00:00:00"/>
  </r>
  <r>
    <s v="GL-564"/>
    <d v="2026-03-18T00:00:00"/>
    <n v="4010"/>
    <n v="0"/>
    <n v="20567.25"/>
    <s v="Sales for Invoice AR-INV-7141"/>
    <x v="3"/>
    <s v="Revenue"/>
    <n v="-20567.25"/>
    <x v="3"/>
    <d v="2026-03-01T00:00:00"/>
  </r>
  <r>
    <s v="GL-1161"/>
    <d v="2026-03-19T00:00:00"/>
    <n v="5010"/>
    <n v="14004.33"/>
    <n v="0"/>
    <s v="COGS for Invoice AP-INV-5291"/>
    <x v="0"/>
    <s v="Expenses"/>
    <n v="14004.33"/>
    <x v="3"/>
    <d v="2026-03-01T00:00:00"/>
  </r>
  <r>
    <s v="GL-1162"/>
    <d v="2026-03-19T00:00:00"/>
    <n v="2010"/>
    <n v="0"/>
    <n v="14004.33"/>
    <s v="AP for Invoice AP-INV-5291"/>
    <x v="1"/>
    <s v="Liabilities"/>
    <n v="-14004.33"/>
    <x v="3"/>
    <d v="2026-03-01T00:00:00"/>
  </r>
  <r>
    <s v="GL-1249"/>
    <d v="2026-03-19T00:00:00"/>
    <n v="5010"/>
    <n v="15384.05"/>
    <n v="0"/>
    <s v="COGS for Invoice AP-INV-5313"/>
    <x v="0"/>
    <s v="Expenses"/>
    <n v="15384.05"/>
    <x v="3"/>
    <d v="2026-03-01T00:00:00"/>
  </r>
  <r>
    <s v="GL-1250"/>
    <d v="2026-03-19T00:00:00"/>
    <n v="2010"/>
    <n v="0"/>
    <n v="15384.05"/>
    <s v="AP for Invoice AP-INV-5313"/>
    <x v="1"/>
    <s v="Liabilities"/>
    <n v="-15384.05"/>
    <x v="3"/>
    <d v="2026-03-01T00:00:00"/>
  </r>
  <r>
    <s v="GL-1667"/>
    <d v="2026-03-19T00:00:00"/>
    <n v="1200"/>
    <n v="27335.05"/>
    <n v="0"/>
    <s v="AR for Invoice AR-INV-7417"/>
    <x v="2"/>
    <s v="Assets"/>
    <n v="27335.05"/>
    <x v="3"/>
    <d v="2026-03-01T00:00:00"/>
  </r>
  <r>
    <s v="GL-1668"/>
    <d v="2026-03-19T00:00:00"/>
    <n v="4010"/>
    <n v="0"/>
    <n v="27335.05"/>
    <s v="Sales for Invoice AR-INV-7417"/>
    <x v="3"/>
    <s v="Revenue"/>
    <n v="-27335.05"/>
    <x v="3"/>
    <d v="2026-03-01T00:00:00"/>
  </r>
  <r>
    <s v="GL-1725"/>
    <d v="2026-03-20T00:00:00"/>
    <n v="5010"/>
    <n v="10383.530000000001"/>
    <n v="0"/>
    <s v="COGS for Invoice AP-INV-5432"/>
    <x v="0"/>
    <s v="Expenses"/>
    <n v="10383.530000000001"/>
    <x v="3"/>
    <d v="2026-03-01T00:00:00"/>
  </r>
  <r>
    <s v="GL-1726"/>
    <d v="2026-03-20T00:00:00"/>
    <n v="2010"/>
    <n v="0"/>
    <n v="10383.530000000001"/>
    <s v="AP for Invoice AP-INV-5432"/>
    <x v="1"/>
    <s v="Liabilities"/>
    <n v="-10383.530000000001"/>
    <x v="3"/>
    <d v="2026-03-01T00:00:00"/>
  </r>
  <r>
    <s v="GL-297"/>
    <d v="2026-03-20T00:00:00"/>
    <n v="5010"/>
    <n v="7978.29"/>
    <n v="0"/>
    <s v="COGS for Invoice AP-INV-5075"/>
    <x v="0"/>
    <s v="Expenses"/>
    <n v="7978.29"/>
    <x v="3"/>
    <d v="2026-03-01T00:00:00"/>
  </r>
  <r>
    <s v="GL-298"/>
    <d v="2026-03-20T00:00:00"/>
    <n v="2010"/>
    <n v="0"/>
    <n v="7978.29"/>
    <s v="AP for Invoice AP-INV-5075"/>
    <x v="1"/>
    <s v="Liabilities"/>
    <n v="-7978.29"/>
    <x v="3"/>
    <d v="2026-03-01T00:00:00"/>
  </r>
  <r>
    <s v="GL-647"/>
    <d v="2026-03-20T00:00:00"/>
    <n v="1200"/>
    <n v="26336.14"/>
    <n v="0"/>
    <s v="AR for Invoice AR-INV-7162"/>
    <x v="2"/>
    <s v="Assets"/>
    <n v="26336.14"/>
    <x v="3"/>
    <d v="2026-03-01T00:00:00"/>
  </r>
  <r>
    <s v="GL-648"/>
    <d v="2026-03-20T00:00:00"/>
    <n v="4010"/>
    <n v="0"/>
    <n v="26336.14"/>
    <s v="Sales for Invoice AR-INV-7162"/>
    <x v="3"/>
    <s v="Revenue"/>
    <n v="-26336.14"/>
    <x v="3"/>
    <d v="2026-03-01T00:00:00"/>
  </r>
  <r>
    <s v="GL-1921"/>
    <d v="2026-03-21T00:00:00"/>
    <n v="5010"/>
    <n v="14010.05"/>
    <n v="0"/>
    <s v="COGS for Invoice AP-INV-5481"/>
    <x v="0"/>
    <s v="Expenses"/>
    <n v="14010.05"/>
    <x v="3"/>
    <d v="2026-03-01T00:00:00"/>
  </r>
  <r>
    <s v="GL-1922"/>
    <d v="2026-03-21T00:00:00"/>
    <n v="2010"/>
    <n v="0"/>
    <n v="14010.05"/>
    <s v="AP for Invoice AP-INV-5481"/>
    <x v="1"/>
    <s v="Liabilities"/>
    <n v="-14010.05"/>
    <x v="3"/>
    <d v="2026-03-01T00:00:00"/>
  </r>
  <r>
    <s v="GL-137"/>
    <d v="2026-03-24T00:00:00"/>
    <n v="5010"/>
    <n v="14883.07"/>
    <n v="0"/>
    <s v="COGS for Invoice AP-INV-5035"/>
    <x v="0"/>
    <s v="Expenses"/>
    <n v="14883.07"/>
    <x v="3"/>
    <d v="2026-03-01T00:00:00"/>
  </r>
  <r>
    <s v="GL-138"/>
    <d v="2026-03-24T00:00:00"/>
    <n v="2010"/>
    <n v="0"/>
    <n v="14883.07"/>
    <s v="AP for Invoice AP-INV-5035"/>
    <x v="1"/>
    <s v="Liabilities"/>
    <n v="-14883.07"/>
    <x v="3"/>
    <d v="2026-03-01T00:00:00"/>
  </r>
  <r>
    <s v="GL-1687"/>
    <d v="2026-03-24T00:00:00"/>
    <n v="1200"/>
    <n v="4818.49"/>
    <n v="0"/>
    <s v="AR for Invoice AR-INV-7422"/>
    <x v="2"/>
    <s v="Assets"/>
    <n v="4818.49"/>
    <x v="3"/>
    <d v="2026-03-01T00:00:00"/>
  </r>
  <r>
    <s v="GL-1688"/>
    <d v="2026-03-24T00:00:00"/>
    <n v="4010"/>
    <n v="0"/>
    <n v="4818.49"/>
    <s v="Sales for Invoice AR-INV-7422"/>
    <x v="3"/>
    <s v="Revenue"/>
    <n v="-4818.49"/>
    <x v="3"/>
    <d v="2026-03-01T00:00:00"/>
  </r>
  <r>
    <s v="GL-1397"/>
    <d v="2026-03-25T00:00:00"/>
    <n v="5010"/>
    <n v="8162.57"/>
    <n v="0"/>
    <s v="COGS for Invoice AP-INV-5350"/>
    <x v="0"/>
    <s v="Expenses"/>
    <n v="8162.57"/>
    <x v="3"/>
    <d v="2026-03-01T00:00:00"/>
  </r>
  <r>
    <s v="GL-1398"/>
    <d v="2026-03-25T00:00:00"/>
    <n v="2010"/>
    <n v="0"/>
    <n v="8162.57"/>
    <s v="AP for Invoice AP-INV-5350"/>
    <x v="1"/>
    <s v="Liabilities"/>
    <n v="-8162.57"/>
    <x v="3"/>
    <d v="2026-03-01T00:00:00"/>
  </r>
  <r>
    <s v="GL-759"/>
    <d v="2026-03-25T00:00:00"/>
    <n v="1200"/>
    <n v="29137.01"/>
    <n v="0"/>
    <s v="AR for Invoice AR-INV-7190"/>
    <x v="2"/>
    <s v="Assets"/>
    <n v="29137.01"/>
    <x v="3"/>
    <d v="2026-03-01T00:00:00"/>
  </r>
  <r>
    <s v="GL-760"/>
    <d v="2026-03-25T00:00:00"/>
    <n v="4010"/>
    <n v="0"/>
    <n v="29137.01"/>
    <s v="Sales for Invoice AR-INV-7190"/>
    <x v="3"/>
    <s v="Revenue"/>
    <n v="-29137.01"/>
    <x v="3"/>
    <d v="2026-03-01T00:00:00"/>
  </r>
  <r>
    <s v="GL-163"/>
    <d v="2026-03-28T00:00:00"/>
    <n v="1200"/>
    <n v="49542.58"/>
    <n v="0"/>
    <s v="AR for Invoice AR-INV-7041"/>
    <x v="2"/>
    <s v="Assets"/>
    <n v="49542.58"/>
    <x v="3"/>
    <d v="2026-03-01T00:00:00"/>
  </r>
  <r>
    <s v="GL-164"/>
    <d v="2026-03-28T00:00:00"/>
    <n v="4010"/>
    <n v="0"/>
    <n v="49542.58"/>
    <s v="Sales for Invoice AR-INV-7041"/>
    <x v="3"/>
    <s v="Revenue"/>
    <n v="-49542.58"/>
    <x v="3"/>
    <d v="2026-03-01T00:00:00"/>
  </r>
  <r>
    <s v="GL-191"/>
    <d v="2026-03-28T00:00:00"/>
    <n v="1200"/>
    <n v="48228.07"/>
    <n v="0"/>
    <s v="AR for Invoice AR-INV-7048"/>
    <x v="2"/>
    <s v="Assets"/>
    <n v="48228.07"/>
    <x v="3"/>
    <d v="2026-03-01T00:00:00"/>
  </r>
  <r>
    <s v="GL-192"/>
    <d v="2026-03-28T00:00:00"/>
    <n v="4010"/>
    <n v="0"/>
    <n v="48228.07"/>
    <s v="Sales for Invoice AR-INV-7048"/>
    <x v="3"/>
    <s v="Revenue"/>
    <n v="-48228.07"/>
    <x v="3"/>
    <d v="2026-03-01T00:00:00"/>
  </r>
  <r>
    <s v="GL-843"/>
    <d v="2026-03-28T00:00:00"/>
    <n v="1200"/>
    <n v="24852.47"/>
    <n v="0"/>
    <s v="AR for Invoice AR-INV-7211"/>
    <x v="2"/>
    <s v="Assets"/>
    <n v="24852.47"/>
    <x v="3"/>
    <d v="2026-03-01T00:00:00"/>
  </r>
  <r>
    <s v="GL-844"/>
    <d v="2026-03-28T00:00:00"/>
    <n v="4010"/>
    <n v="0"/>
    <n v="24852.47"/>
    <s v="Sales for Invoice AR-INV-7211"/>
    <x v="3"/>
    <s v="Revenue"/>
    <n v="-24852.47"/>
    <x v="3"/>
    <d v="2026-03-01T00:00:00"/>
  </r>
  <r>
    <s v="GL-1863"/>
    <d v="2026-03-30T00:00:00"/>
    <n v="1200"/>
    <n v="14802.08"/>
    <n v="0"/>
    <s v="AR for Invoice AR-INV-7466"/>
    <x v="2"/>
    <s v="Assets"/>
    <n v="14802.08"/>
    <x v="3"/>
    <d v="2026-03-01T00:00:00"/>
  </r>
  <r>
    <s v="GL-1864"/>
    <d v="2026-03-30T00:00:00"/>
    <n v="4010"/>
    <n v="0"/>
    <n v="14802.08"/>
    <s v="Sales for Invoice AR-INV-7466"/>
    <x v="3"/>
    <s v="Revenue"/>
    <n v="-14802.08"/>
    <x v="3"/>
    <d v="2026-03-01T00:00:00"/>
  </r>
  <r>
    <s v="GL-1701"/>
    <d v="2026-03-31T00:00:00"/>
    <n v="5010"/>
    <n v="6629.79"/>
    <n v="0"/>
    <s v="COGS for Invoice AP-INV-5426"/>
    <x v="0"/>
    <s v="Expenses"/>
    <n v="6629.79"/>
    <x v="3"/>
    <d v="2026-03-01T00:00:00"/>
  </r>
  <r>
    <s v="GL-1702"/>
    <d v="2026-03-31T00:00:00"/>
    <n v="2010"/>
    <n v="0"/>
    <n v="6629.79"/>
    <s v="AP for Invoice AP-INV-5426"/>
    <x v="1"/>
    <s v="Liabilities"/>
    <n v="-6629.79"/>
    <x v="3"/>
    <d v="2026-03-01T00:00:00"/>
  </r>
  <r>
    <s v="GL-1759"/>
    <d v="2026-04-01T00:00:00"/>
    <n v="1200"/>
    <n v="18285.150000000001"/>
    <n v="0"/>
    <s v="AR for Invoice AR-INV-7440"/>
    <x v="2"/>
    <s v="Assets"/>
    <n v="18285.150000000001"/>
    <x v="3"/>
    <d v="2026-04-01T00:00:00"/>
  </r>
  <r>
    <s v="GL-1760"/>
    <d v="2026-04-01T00:00:00"/>
    <n v="4010"/>
    <n v="0"/>
    <n v="18285.150000000001"/>
    <s v="Sales for Invoice AR-INV-7440"/>
    <x v="3"/>
    <s v="Revenue"/>
    <n v="-18285.150000000001"/>
    <x v="3"/>
    <d v="2026-04-01T00:00:00"/>
  </r>
  <r>
    <s v="GL-1733"/>
    <d v="2026-04-05T00:00:00"/>
    <n v="5010"/>
    <n v="11074.94"/>
    <n v="0"/>
    <s v="COGS for Invoice AP-INV-5434"/>
    <x v="0"/>
    <s v="Expenses"/>
    <n v="11074.94"/>
    <x v="3"/>
    <d v="2026-04-01T00:00:00"/>
  </r>
  <r>
    <s v="GL-1734"/>
    <d v="2026-04-05T00:00:00"/>
    <n v="2010"/>
    <n v="0"/>
    <n v="11074.94"/>
    <s v="AP for Invoice AP-INV-5434"/>
    <x v="1"/>
    <s v="Liabilities"/>
    <n v="-11074.94"/>
    <x v="3"/>
    <d v="2026-04-01T00:00:00"/>
  </r>
  <r>
    <s v="GL-63"/>
    <d v="2026-04-07T00:00:00"/>
    <n v="1200"/>
    <n v="2273.7600000000002"/>
    <n v="0"/>
    <s v="AR for Invoice AR-INV-7016"/>
    <x v="2"/>
    <s v="Assets"/>
    <n v="2273.7600000000002"/>
    <x v="3"/>
    <d v="2026-04-01T00:00:00"/>
  </r>
  <r>
    <s v="GL-64"/>
    <d v="2026-04-07T00:00:00"/>
    <n v="4010"/>
    <n v="0"/>
    <n v="2273.7600000000002"/>
    <s v="Sales for Invoice AR-INV-7016"/>
    <x v="3"/>
    <s v="Revenue"/>
    <n v="-2273.7600000000002"/>
    <x v="3"/>
    <d v="2026-04-01T00:00:00"/>
  </r>
  <r>
    <s v="GL-339"/>
    <d v="2026-04-08T00:00:00"/>
    <n v="1200"/>
    <n v="5665.07"/>
    <n v="0"/>
    <s v="AR for Invoice AR-INV-7085"/>
    <x v="2"/>
    <s v="Assets"/>
    <n v="5665.07"/>
    <x v="3"/>
    <d v="2026-04-01T00:00:00"/>
  </r>
  <r>
    <s v="GL-340"/>
    <d v="2026-04-08T00:00:00"/>
    <n v="4010"/>
    <n v="0"/>
    <n v="5665.07"/>
    <s v="Sales for Invoice AR-INV-7085"/>
    <x v="3"/>
    <s v="Revenue"/>
    <n v="-5665.07"/>
    <x v="3"/>
    <d v="2026-04-01T00:00:00"/>
  </r>
  <r>
    <s v="GL-129"/>
    <d v="2026-04-10T00:00:00"/>
    <n v="5010"/>
    <n v="6612.42"/>
    <n v="0"/>
    <s v="COGS for Invoice AP-INV-5033"/>
    <x v="0"/>
    <s v="Expenses"/>
    <n v="6612.42"/>
    <x v="3"/>
    <d v="2026-04-01T00:00:00"/>
  </r>
  <r>
    <s v="GL-130"/>
    <d v="2026-04-10T00:00:00"/>
    <n v="2010"/>
    <n v="0"/>
    <n v="6612.42"/>
    <s v="AP for Invoice AP-INV-5033"/>
    <x v="1"/>
    <s v="Liabilities"/>
    <n v="-6612.42"/>
    <x v="3"/>
    <d v="2026-04-01T00:00:00"/>
  </r>
  <r>
    <s v="GL-1663"/>
    <d v="2026-04-10T00:00:00"/>
    <n v="1200"/>
    <n v="17306.099999999999"/>
    <n v="0"/>
    <s v="AR for Invoice AR-INV-7416"/>
    <x v="2"/>
    <s v="Assets"/>
    <n v="17306.099999999999"/>
    <x v="3"/>
    <d v="2026-04-01T00:00:00"/>
  </r>
  <r>
    <s v="GL-1664"/>
    <d v="2026-04-10T00:00:00"/>
    <n v="4010"/>
    <n v="0"/>
    <n v="17306.099999999999"/>
    <s v="Sales for Invoice AR-INV-7416"/>
    <x v="3"/>
    <s v="Revenue"/>
    <n v="-17306.099999999999"/>
    <x v="3"/>
    <d v="2026-04-01T00:00:00"/>
  </r>
  <r>
    <s v="GL-1711"/>
    <d v="2026-04-10T00:00:00"/>
    <n v="1200"/>
    <n v="41825.69"/>
    <n v="0"/>
    <s v="AR for Invoice AR-INV-7428"/>
    <x v="2"/>
    <s v="Assets"/>
    <n v="41825.69"/>
    <x v="3"/>
    <d v="2026-04-01T00:00:00"/>
  </r>
  <r>
    <s v="GL-1712"/>
    <d v="2026-04-10T00:00:00"/>
    <n v="4010"/>
    <n v="0"/>
    <n v="41825.69"/>
    <s v="Sales for Invoice AR-INV-7428"/>
    <x v="3"/>
    <s v="Revenue"/>
    <n v="-41825.69"/>
    <x v="3"/>
    <d v="2026-04-01T00:00:00"/>
  </r>
  <r>
    <s v="GL-1907"/>
    <d v="2026-04-10T00:00:00"/>
    <n v="1200"/>
    <n v="46316.36"/>
    <n v="0"/>
    <s v="AR for Invoice AR-INV-7477"/>
    <x v="2"/>
    <s v="Assets"/>
    <n v="46316.36"/>
    <x v="3"/>
    <d v="2026-04-01T00:00:00"/>
  </r>
  <r>
    <s v="GL-1908"/>
    <d v="2026-04-10T00:00:00"/>
    <n v="4010"/>
    <n v="0"/>
    <n v="46316.36"/>
    <s v="Sales for Invoice AR-INV-7477"/>
    <x v="3"/>
    <s v="Revenue"/>
    <n v="-46316.36"/>
    <x v="3"/>
    <d v="2026-04-01T00:00:00"/>
  </r>
  <r>
    <s v="GL-1239"/>
    <d v="2026-04-12T00:00:00"/>
    <n v="1200"/>
    <n v="35732.06"/>
    <n v="0"/>
    <s v="AR for Invoice AR-INV-7310"/>
    <x v="2"/>
    <s v="Assets"/>
    <n v="35732.06"/>
    <x v="3"/>
    <d v="2026-04-01T00:00:00"/>
  </r>
  <r>
    <s v="GL-1240"/>
    <d v="2026-04-12T00:00:00"/>
    <n v="4010"/>
    <n v="0"/>
    <n v="35732.06"/>
    <s v="Sales for Invoice AR-INV-7310"/>
    <x v="3"/>
    <s v="Revenue"/>
    <n v="-35732.06"/>
    <x v="3"/>
    <d v="2026-04-01T00:00:00"/>
  </r>
  <r>
    <s v="GL-1561"/>
    <d v="2026-04-12T00:00:00"/>
    <n v="5010"/>
    <n v="8582"/>
    <n v="0"/>
    <s v="COGS for Invoice AP-INV-5391"/>
    <x v="0"/>
    <s v="Expenses"/>
    <n v="8582"/>
    <x v="3"/>
    <d v="2026-04-01T00:00:00"/>
  </r>
  <r>
    <s v="GL-1562"/>
    <d v="2026-04-12T00:00:00"/>
    <n v="2010"/>
    <n v="0"/>
    <n v="8582"/>
    <s v="AP for Invoice AP-INV-5391"/>
    <x v="1"/>
    <s v="Liabilities"/>
    <n v="-8582"/>
    <x v="3"/>
    <d v="2026-04-01T00:00:00"/>
  </r>
  <r>
    <s v="GL-1585"/>
    <d v="2026-04-12T00:00:00"/>
    <n v="5010"/>
    <n v="14701.26"/>
    <n v="0"/>
    <s v="COGS for Invoice AP-INV-5397"/>
    <x v="0"/>
    <s v="Expenses"/>
    <n v="14701.26"/>
    <x v="3"/>
    <d v="2026-04-01T00:00:00"/>
  </r>
  <r>
    <s v="GL-1586"/>
    <d v="2026-04-12T00:00:00"/>
    <n v="2010"/>
    <n v="0"/>
    <n v="14701.26"/>
    <s v="AP for Invoice AP-INV-5397"/>
    <x v="1"/>
    <s v="Liabilities"/>
    <n v="-14701.26"/>
    <x v="3"/>
    <d v="2026-04-01T00:00:00"/>
  </r>
  <r>
    <s v="GL-479"/>
    <d v="2026-04-12T00:00:00"/>
    <n v="1200"/>
    <n v="2218.31"/>
    <n v="0"/>
    <s v="AR for Invoice AR-INV-7120"/>
    <x v="2"/>
    <s v="Assets"/>
    <n v="2218.31"/>
    <x v="3"/>
    <d v="2026-04-01T00:00:00"/>
  </r>
  <r>
    <s v="GL-480"/>
    <d v="2026-04-12T00:00:00"/>
    <n v="4010"/>
    <n v="0"/>
    <n v="2218.31"/>
    <s v="Sales for Invoice AR-INV-7120"/>
    <x v="3"/>
    <s v="Revenue"/>
    <n v="-2218.31"/>
    <x v="3"/>
    <d v="2026-04-01T00:00:00"/>
  </r>
  <r>
    <s v="GL-305"/>
    <d v="2026-04-13T00:00:00"/>
    <n v="5010"/>
    <n v="18482.5"/>
    <n v="0"/>
    <s v="COGS for Invoice AP-INV-5077"/>
    <x v="0"/>
    <s v="Expenses"/>
    <n v="18482.5"/>
    <x v="3"/>
    <d v="2026-04-01T00:00:00"/>
  </r>
  <r>
    <s v="GL-306"/>
    <d v="2026-04-13T00:00:00"/>
    <n v="2010"/>
    <n v="0"/>
    <n v="18482.5"/>
    <s v="AP for Invoice AP-INV-5077"/>
    <x v="1"/>
    <s v="Liabilities"/>
    <n v="-18482.5"/>
    <x v="3"/>
    <d v="2026-04-01T00:00:00"/>
  </r>
  <r>
    <s v="GL-535"/>
    <d v="2026-04-13T00:00:00"/>
    <n v="1200"/>
    <n v="25334.99"/>
    <n v="0"/>
    <s v="AR for Invoice AR-INV-7134"/>
    <x v="2"/>
    <s v="Assets"/>
    <n v="25334.99"/>
    <x v="3"/>
    <d v="2026-04-01T00:00:00"/>
  </r>
  <r>
    <s v="GL-536"/>
    <d v="2026-04-13T00:00:00"/>
    <n v="4010"/>
    <n v="0"/>
    <n v="25334.99"/>
    <s v="Sales for Invoice AR-INV-7134"/>
    <x v="3"/>
    <s v="Revenue"/>
    <n v="-25334.99"/>
    <x v="3"/>
    <d v="2026-04-01T00:00:00"/>
  </r>
  <r>
    <s v="GL-85"/>
    <d v="2026-04-15T00:00:00"/>
    <n v="5010"/>
    <n v="1541.05"/>
    <n v="0"/>
    <s v="COGS for Invoice AP-INV-5022"/>
    <x v="0"/>
    <s v="Expenses"/>
    <n v="1541.05"/>
    <x v="3"/>
    <d v="2026-04-01T00:00:00"/>
  </r>
  <r>
    <s v="GL-86"/>
    <d v="2026-04-15T00:00:00"/>
    <n v="2010"/>
    <n v="0"/>
    <n v="1541.05"/>
    <s v="AP for Invoice AP-INV-5022"/>
    <x v="1"/>
    <s v="Liabilities"/>
    <n v="-1541.05"/>
    <x v="3"/>
    <d v="2026-04-01T00:00:00"/>
  </r>
  <r>
    <s v="GL-1109"/>
    <d v="2026-04-16T00:00:00"/>
    <n v="5010"/>
    <n v="1898.01"/>
    <n v="0"/>
    <s v="COGS for Invoice AP-INV-5278"/>
    <x v="0"/>
    <s v="Expenses"/>
    <n v="1898.01"/>
    <x v="3"/>
    <d v="2026-04-01T00:00:00"/>
  </r>
  <r>
    <s v="GL-1110"/>
    <d v="2026-04-16T00:00:00"/>
    <n v="2010"/>
    <n v="0"/>
    <n v="1898.01"/>
    <s v="AP for Invoice AP-INV-5278"/>
    <x v="1"/>
    <s v="Liabilities"/>
    <n v="-1898.01"/>
    <x v="3"/>
    <d v="2026-04-01T00:00:00"/>
  </r>
  <r>
    <s v="GL-1173"/>
    <d v="2026-04-17T00:00:00"/>
    <n v="5010"/>
    <n v="3438.35"/>
    <n v="0"/>
    <s v="COGS for Invoice AP-INV-5294"/>
    <x v="0"/>
    <s v="Expenses"/>
    <n v="3438.35"/>
    <x v="3"/>
    <d v="2026-04-01T00:00:00"/>
  </r>
  <r>
    <s v="GL-1174"/>
    <d v="2026-04-17T00:00:00"/>
    <n v="2010"/>
    <n v="0"/>
    <n v="3438.35"/>
    <s v="AP for Invoice AP-INV-5294"/>
    <x v="1"/>
    <s v="Liabilities"/>
    <n v="-3438.35"/>
    <x v="3"/>
    <d v="2026-04-01T00:00:00"/>
  </r>
  <r>
    <s v="GL-1113"/>
    <d v="2026-04-19T00:00:00"/>
    <n v="5010"/>
    <n v="725.87"/>
    <n v="0"/>
    <s v="COGS for Invoice AP-INV-5279"/>
    <x v="0"/>
    <s v="Expenses"/>
    <n v="725.87"/>
    <x v="3"/>
    <d v="2026-04-01T00:00:00"/>
  </r>
  <r>
    <s v="GL-1114"/>
    <d v="2026-04-19T00:00:00"/>
    <n v="2010"/>
    <n v="0"/>
    <n v="725.87"/>
    <s v="AP for Invoice AP-INV-5279"/>
    <x v="1"/>
    <s v="Liabilities"/>
    <n v="-725.87"/>
    <x v="3"/>
    <d v="2026-04-01T00:00:00"/>
  </r>
  <r>
    <s v="GL-279"/>
    <d v="2026-04-22T00:00:00"/>
    <n v="1200"/>
    <n v="23295.86"/>
    <n v="0"/>
    <s v="AR for Invoice AR-INV-7070"/>
    <x v="2"/>
    <s v="Assets"/>
    <n v="23295.86"/>
    <x v="3"/>
    <d v="2026-04-01T00:00:00"/>
  </r>
  <r>
    <s v="GL-280"/>
    <d v="2026-04-22T00:00:00"/>
    <n v="4010"/>
    <n v="0"/>
    <n v="23295.86"/>
    <s v="Sales for Invoice AR-INV-7070"/>
    <x v="3"/>
    <s v="Revenue"/>
    <n v="-23295.86"/>
    <x v="3"/>
    <d v="2026-04-01T00:00:00"/>
  </r>
  <r>
    <s v="GL-705"/>
    <d v="2026-04-23T00:00:00"/>
    <n v="5010"/>
    <n v="1185.42"/>
    <n v="0"/>
    <s v="COGS for Invoice AP-INV-5177"/>
    <x v="0"/>
    <s v="Expenses"/>
    <n v="1185.42"/>
    <x v="3"/>
    <d v="2026-04-01T00:00:00"/>
  </r>
  <r>
    <s v="GL-706"/>
    <d v="2026-04-23T00:00:00"/>
    <n v="2010"/>
    <n v="0"/>
    <n v="1185.42"/>
    <s v="AP for Invoice AP-INV-5177"/>
    <x v="1"/>
    <s v="Liabilities"/>
    <n v="-1185.42"/>
    <x v="3"/>
    <d v="2026-04-01T00:00:00"/>
  </r>
  <r>
    <s v="GL-849"/>
    <d v="2026-04-23T00:00:00"/>
    <n v="5010"/>
    <n v="18458.46"/>
    <n v="0"/>
    <s v="COGS for Invoice AP-INV-5213"/>
    <x v="0"/>
    <s v="Expenses"/>
    <n v="18458.46"/>
    <x v="3"/>
    <d v="2026-04-01T00:00:00"/>
  </r>
  <r>
    <s v="GL-850"/>
    <d v="2026-04-23T00:00:00"/>
    <n v="2010"/>
    <n v="0"/>
    <n v="18458.46"/>
    <s v="AP for Invoice AP-INV-5213"/>
    <x v="1"/>
    <s v="Liabilities"/>
    <n v="-18458.46"/>
    <x v="3"/>
    <d v="2026-04-01T00:00:00"/>
  </r>
  <r>
    <s v="GL-115"/>
    <d v="2026-04-24T00:00:00"/>
    <n v="1200"/>
    <n v="3931.07"/>
    <n v="0"/>
    <s v="AR for Invoice AR-INV-7029"/>
    <x v="2"/>
    <s v="Assets"/>
    <n v="3931.07"/>
    <x v="3"/>
    <d v="2026-04-01T00:00:00"/>
  </r>
  <r>
    <s v="GL-116"/>
    <d v="2026-04-24T00:00:00"/>
    <n v="4010"/>
    <n v="0"/>
    <n v="3931.07"/>
    <s v="Sales for Invoice AR-INV-7029"/>
    <x v="3"/>
    <s v="Revenue"/>
    <n v="-3931.07"/>
    <x v="3"/>
    <d v="2026-04-01T00:00:00"/>
  </r>
  <r>
    <s v="GL-1825"/>
    <d v="2026-04-27T00:00:00"/>
    <n v="5010"/>
    <n v="1225.94"/>
    <n v="0"/>
    <s v="COGS for Invoice AP-INV-5457"/>
    <x v="0"/>
    <s v="Expenses"/>
    <n v="1225.94"/>
    <x v="3"/>
    <d v="2026-04-01T00:00:00"/>
  </r>
  <r>
    <s v="GL-1826"/>
    <d v="2026-04-27T00:00:00"/>
    <n v="2010"/>
    <n v="0"/>
    <n v="1225.94"/>
    <s v="AP for Invoice AP-INV-5457"/>
    <x v="1"/>
    <s v="Liabilities"/>
    <n v="-1225.94"/>
    <x v="3"/>
    <d v="2026-04-01T00:00:00"/>
  </r>
  <r>
    <s v="GL-1443"/>
    <d v="2026-04-28T00:00:00"/>
    <n v="1200"/>
    <n v="31453.17"/>
    <n v="0"/>
    <s v="AR for Invoice AR-INV-7361"/>
    <x v="2"/>
    <s v="Assets"/>
    <n v="31453.17"/>
    <x v="3"/>
    <d v="2026-04-01T00:00:00"/>
  </r>
  <r>
    <s v="GL-1444"/>
    <d v="2026-04-28T00:00:00"/>
    <n v="4010"/>
    <n v="0"/>
    <n v="31453.17"/>
    <s v="Sales for Invoice AR-INV-7361"/>
    <x v="3"/>
    <s v="Revenue"/>
    <n v="-31453.17"/>
    <x v="3"/>
    <d v="2026-04-01T00:00:00"/>
  </r>
  <r>
    <s v="GL-1627"/>
    <d v="2026-04-28T00:00:00"/>
    <n v="1200"/>
    <n v="2550.83"/>
    <n v="0"/>
    <s v="AR for Invoice AR-INV-7407"/>
    <x v="2"/>
    <s v="Assets"/>
    <n v="2550.83"/>
    <x v="3"/>
    <d v="2026-04-01T00:00:00"/>
  </r>
  <r>
    <s v="GL-1628"/>
    <d v="2026-04-28T00:00:00"/>
    <n v="4010"/>
    <n v="0"/>
    <n v="2550.83"/>
    <s v="Sales for Invoice AR-INV-7407"/>
    <x v="3"/>
    <s v="Revenue"/>
    <n v="-2550.83"/>
    <x v="3"/>
    <d v="2026-04-01T00:00:00"/>
  </r>
  <r>
    <s v="GL-585"/>
    <d v="2026-04-29T00:00:00"/>
    <n v="5010"/>
    <n v="4114.8100000000004"/>
    <n v="0"/>
    <s v="COGS for Invoice AP-INV-5147"/>
    <x v="0"/>
    <s v="Expenses"/>
    <n v="4114.8100000000004"/>
    <x v="3"/>
    <d v="2026-04-01T00:00:00"/>
  </r>
  <r>
    <s v="GL-586"/>
    <d v="2026-04-29T00:00:00"/>
    <n v="2010"/>
    <n v="0"/>
    <n v="4114.8100000000004"/>
    <s v="AP for Invoice AP-INV-5147"/>
    <x v="1"/>
    <s v="Liabilities"/>
    <n v="-4114.8100000000004"/>
    <x v="3"/>
    <d v="2026-04-01T00:00:00"/>
  </r>
  <r>
    <s v="GL-809"/>
    <d v="2026-04-29T00:00:00"/>
    <n v="5010"/>
    <n v="1344.37"/>
    <n v="0"/>
    <s v="COGS for Invoice AP-INV-5203"/>
    <x v="0"/>
    <s v="Expenses"/>
    <n v="1344.37"/>
    <x v="3"/>
    <d v="2026-04-01T00:00:00"/>
  </r>
  <r>
    <s v="GL-810"/>
    <d v="2026-04-29T00:00:00"/>
    <n v="2010"/>
    <n v="0"/>
    <n v="1344.37"/>
    <s v="AP for Invoice AP-INV-5203"/>
    <x v="1"/>
    <s v="Liabilities"/>
    <n v="-1344.37"/>
    <x v="3"/>
    <d v="2026-04-01T00:00:00"/>
  </r>
  <r>
    <s v="GL-1831"/>
    <d v="2026-05-01T00:00:00"/>
    <n v="1200"/>
    <n v="39690.17"/>
    <n v="0"/>
    <s v="AR for Invoice AR-INV-7458"/>
    <x v="2"/>
    <s v="Assets"/>
    <n v="39690.17"/>
    <x v="3"/>
    <d v="2026-05-01T00:00:00"/>
  </r>
  <r>
    <s v="GL-1832"/>
    <d v="2026-05-01T00:00:00"/>
    <n v="4010"/>
    <n v="0"/>
    <n v="39690.17"/>
    <s v="Sales for Invoice AR-INV-7458"/>
    <x v="3"/>
    <s v="Revenue"/>
    <n v="-39690.17"/>
    <x v="3"/>
    <d v="2026-05-01T00:00:00"/>
  </r>
  <r>
    <s v="GL-991"/>
    <d v="2026-05-03T00:00:00"/>
    <n v="1200"/>
    <n v="17057.55"/>
    <n v="0"/>
    <s v="AR for Invoice AR-INV-7248"/>
    <x v="2"/>
    <s v="Assets"/>
    <n v="17057.55"/>
    <x v="3"/>
    <d v="2026-05-01T00:00:00"/>
  </r>
  <r>
    <s v="GL-992"/>
    <d v="2026-05-03T00:00:00"/>
    <n v="4010"/>
    <n v="0"/>
    <n v="17057.55"/>
    <s v="Sales for Invoice AR-INV-7248"/>
    <x v="3"/>
    <s v="Revenue"/>
    <n v="-17057.55"/>
    <x v="3"/>
    <d v="2026-05-01T00:00:00"/>
  </r>
  <r>
    <s v="GL-429"/>
    <d v="2026-05-06T00:00:00"/>
    <n v="5010"/>
    <n v="6140"/>
    <n v="0"/>
    <s v="COGS for Invoice AP-INV-5108"/>
    <x v="0"/>
    <s v="Expenses"/>
    <n v="6140"/>
    <x v="3"/>
    <d v="2026-05-01T00:00:00"/>
  </r>
  <r>
    <s v="GL-430"/>
    <d v="2026-05-06T00:00:00"/>
    <n v="2010"/>
    <n v="0"/>
    <n v="6140"/>
    <s v="AP for Invoice AP-INV-5108"/>
    <x v="1"/>
    <s v="Liabilities"/>
    <n v="-6140"/>
    <x v="3"/>
    <d v="2026-05-01T00:00:00"/>
  </r>
  <r>
    <s v="GL-139"/>
    <d v="2026-05-09T00:00:00"/>
    <n v="1200"/>
    <n v="42226.9"/>
    <n v="0"/>
    <s v="AR for Invoice AR-INV-7035"/>
    <x v="2"/>
    <s v="Assets"/>
    <n v="42226.9"/>
    <x v="3"/>
    <d v="2026-05-01T00:00:00"/>
  </r>
  <r>
    <s v="GL-140"/>
    <d v="2026-05-09T00:00:00"/>
    <n v="4010"/>
    <n v="0"/>
    <n v="42226.9"/>
    <s v="Sales for Invoice AR-INV-7035"/>
    <x v="3"/>
    <s v="Revenue"/>
    <n v="-42226.9"/>
    <x v="3"/>
    <d v="2026-05-01T00:00:00"/>
  </r>
  <r>
    <s v="GL-3"/>
    <d v="2026-05-10T00:00:00"/>
    <n v="1200"/>
    <n v="4765.5600000000004"/>
    <n v="0"/>
    <s v="AR for Invoice AR-INV-7001"/>
    <x v="2"/>
    <s v="Assets"/>
    <n v="4765.5600000000004"/>
    <x v="3"/>
    <d v="2026-05-01T00:00:00"/>
  </r>
  <r>
    <s v="GL-4"/>
    <d v="2026-05-10T00:00:00"/>
    <n v="4010"/>
    <n v="0"/>
    <n v="4765.5600000000004"/>
    <s v="Sales for Invoice AR-INV-7001"/>
    <x v="3"/>
    <s v="Revenue"/>
    <n v="-4765.5600000000004"/>
    <x v="3"/>
    <d v="2026-05-01T00:00:00"/>
  </r>
  <r>
    <s v="GL-157"/>
    <d v="2026-05-20T00:00:00"/>
    <n v="5010"/>
    <n v="18941.439999999999"/>
    <n v="0"/>
    <s v="COGS for Invoice AP-INV-5040"/>
    <x v="0"/>
    <s v="Expenses"/>
    <n v="18941.439999999999"/>
    <x v="3"/>
    <d v="2026-05-01T00:00:00"/>
  </r>
  <r>
    <s v="GL-158"/>
    <d v="2026-05-20T00:00:00"/>
    <n v="2010"/>
    <n v="0"/>
    <n v="18941.439999999999"/>
    <s v="AP for Invoice AP-INV-5040"/>
    <x v="1"/>
    <s v="Liabilities"/>
    <n v="-18941.439999999999"/>
    <x v="3"/>
    <d v="2026-05-01T00:00:00"/>
  </r>
  <r>
    <s v="GL-1133"/>
    <d v="2026-05-24T00:00:00"/>
    <n v="5010"/>
    <n v="2213.61"/>
    <n v="0"/>
    <s v="COGS for Invoice AP-INV-5284"/>
    <x v="0"/>
    <s v="Expenses"/>
    <n v="2213.61"/>
    <x v="3"/>
    <d v="2026-05-01T00:00:00"/>
  </r>
  <r>
    <s v="GL-1134"/>
    <d v="2026-05-24T00:00:00"/>
    <n v="2010"/>
    <n v="0"/>
    <n v="2213.61"/>
    <s v="AP for Invoice AP-INV-5284"/>
    <x v="1"/>
    <s v="Liabilities"/>
    <n v="-2213.61"/>
    <x v="3"/>
    <d v="2026-05-01T00:00:00"/>
  </r>
  <r>
    <s v="GL-767"/>
    <d v="2026-05-25T00:00:00"/>
    <n v="1200"/>
    <n v="20167.36"/>
    <n v="0"/>
    <s v="AR for Invoice AR-INV-7192"/>
    <x v="2"/>
    <s v="Assets"/>
    <n v="20167.36"/>
    <x v="3"/>
    <d v="2026-05-01T00:00:00"/>
  </r>
  <r>
    <s v="GL-768"/>
    <d v="2026-05-25T00:00:00"/>
    <n v="4010"/>
    <n v="0"/>
    <n v="20167.36"/>
    <s v="Sales for Invoice AR-INV-7192"/>
    <x v="3"/>
    <s v="Revenue"/>
    <n v="-20167.36"/>
    <x v="3"/>
    <d v="2026-05-01T00:00:00"/>
  </r>
  <r>
    <s v="GL-1435"/>
    <d v="2026-05-26T00:00:00"/>
    <n v="1200"/>
    <n v="47950.67"/>
    <n v="0"/>
    <s v="AR for Invoice AR-INV-7359"/>
    <x v="2"/>
    <s v="Assets"/>
    <n v="47950.67"/>
    <x v="3"/>
    <d v="2026-05-01T00:00:00"/>
  </r>
  <r>
    <s v="GL-1436"/>
    <d v="2026-05-26T00:00:00"/>
    <n v="4010"/>
    <n v="0"/>
    <n v="47950.67"/>
    <s v="Sales for Invoice AR-INV-7359"/>
    <x v="3"/>
    <s v="Revenue"/>
    <n v="-47950.67"/>
    <x v="3"/>
    <d v="2026-05-01T00:00:00"/>
  </r>
  <r>
    <s v="GL-1279"/>
    <d v="2026-05-31T00:00:00"/>
    <n v="1200"/>
    <n v="17828.72"/>
    <n v="0"/>
    <s v="AR for Invoice AR-INV-7320"/>
    <x v="2"/>
    <s v="Assets"/>
    <n v="17828.72"/>
    <x v="3"/>
    <d v="2026-05-01T00:00:00"/>
  </r>
  <r>
    <s v="GL-1280"/>
    <d v="2026-05-31T00:00:00"/>
    <n v="4010"/>
    <n v="0"/>
    <n v="17828.72"/>
    <s v="Sales for Invoice AR-INV-7320"/>
    <x v="3"/>
    <s v="Revenue"/>
    <n v="-17828.72"/>
    <x v="3"/>
    <d v="2026-05-01T00:00:00"/>
  </r>
  <r>
    <s v="GL-1621"/>
    <d v="2026-06-01T00:00:00"/>
    <n v="5010"/>
    <n v="9576.74"/>
    <n v="0"/>
    <s v="COGS for Invoice AP-INV-5406"/>
    <x v="0"/>
    <s v="Expenses"/>
    <n v="9576.74"/>
    <x v="3"/>
    <d v="2026-06-01T00:00:00"/>
  </r>
  <r>
    <s v="GL-1622"/>
    <d v="2026-06-01T00:00:00"/>
    <n v="2010"/>
    <n v="0"/>
    <n v="9576.74"/>
    <s v="AP for Invoice AP-INV-5406"/>
    <x v="1"/>
    <s v="Liabilities"/>
    <n v="-9576.74"/>
    <x v="3"/>
    <d v="2026-06-01T00:00:00"/>
  </r>
  <r>
    <s v="GL-201"/>
    <d v="2026-06-01T00:00:00"/>
    <n v="5010"/>
    <n v="6105.55"/>
    <n v="0"/>
    <s v="COGS for Invoice AP-INV-5051"/>
    <x v="0"/>
    <s v="Expenses"/>
    <n v="6105.55"/>
    <x v="3"/>
    <d v="2026-06-01T00:00:00"/>
  </r>
  <r>
    <s v="GL-202"/>
    <d v="2026-06-01T00:00:00"/>
    <n v="2010"/>
    <n v="0"/>
    <n v="6105.55"/>
    <s v="AP for Invoice AP-INV-5051"/>
    <x v="1"/>
    <s v="Liabilities"/>
    <n v="-6105.55"/>
    <x v="3"/>
    <d v="2026-06-01T00:00:00"/>
  </r>
  <r>
    <s v="GL-657"/>
    <d v="2026-06-02T00:00:00"/>
    <n v="5010"/>
    <n v="15386.75"/>
    <n v="0"/>
    <s v="COGS for Invoice AP-INV-5165"/>
    <x v="0"/>
    <s v="Expenses"/>
    <n v="15386.75"/>
    <x v="3"/>
    <d v="2026-06-01T00:00:00"/>
  </r>
  <r>
    <s v="GL-658"/>
    <d v="2026-06-02T00:00:00"/>
    <n v="2010"/>
    <n v="0"/>
    <n v="15386.75"/>
    <s v="AP for Invoice AP-INV-5165"/>
    <x v="1"/>
    <s v="Liabilities"/>
    <n v="-15386.75"/>
    <x v="3"/>
    <d v="2026-06-01T00:00:00"/>
  </r>
  <r>
    <s v="GL-135"/>
    <d v="2026-06-03T00:00:00"/>
    <n v="1200"/>
    <n v="38288.699999999997"/>
    <n v="0"/>
    <s v="AR for Invoice AR-INV-7034"/>
    <x v="2"/>
    <s v="Assets"/>
    <n v="38288.699999999997"/>
    <x v="3"/>
    <d v="2026-06-01T00:00:00"/>
  </r>
  <r>
    <s v="GL-136"/>
    <d v="2026-06-03T00:00:00"/>
    <n v="4010"/>
    <n v="0"/>
    <n v="38288.699999999997"/>
    <s v="Sales for Invoice AR-INV-7034"/>
    <x v="3"/>
    <s v="Revenue"/>
    <n v="-38288.699999999997"/>
    <x v="3"/>
    <d v="2026-06-01T00:00:00"/>
  </r>
  <r>
    <s v="GL-879"/>
    <d v="2026-06-06T00:00:00"/>
    <n v="1200"/>
    <n v="22532.959999999999"/>
    <n v="0"/>
    <s v="AR for Invoice AR-INV-7220"/>
    <x v="2"/>
    <s v="Assets"/>
    <n v="22532.959999999999"/>
    <x v="3"/>
    <d v="2026-06-01T00:00:00"/>
  </r>
  <r>
    <s v="GL-880"/>
    <d v="2026-06-06T00:00:00"/>
    <n v="4010"/>
    <n v="0"/>
    <n v="22532.959999999999"/>
    <s v="Sales for Invoice AR-INV-7220"/>
    <x v="3"/>
    <s v="Revenue"/>
    <n v="-22532.959999999999"/>
    <x v="3"/>
    <d v="2026-06-01T00:00:00"/>
  </r>
  <r>
    <s v="GL-597"/>
    <d v="2026-06-08T00:00:00"/>
    <n v="5010"/>
    <n v="11806.97"/>
    <n v="0"/>
    <s v="COGS for Invoice AP-INV-5150"/>
    <x v="0"/>
    <s v="Expenses"/>
    <n v="11806.97"/>
    <x v="3"/>
    <d v="2026-06-01T00:00:00"/>
  </r>
  <r>
    <s v="GL-598"/>
    <d v="2026-06-08T00:00:00"/>
    <n v="2010"/>
    <n v="0"/>
    <n v="11806.97"/>
    <s v="AP for Invoice AP-INV-5150"/>
    <x v="1"/>
    <s v="Liabilities"/>
    <n v="-11806.97"/>
    <x v="3"/>
    <d v="2026-06-01T00:00:00"/>
  </r>
  <r>
    <s v="GL-1099"/>
    <d v="2026-06-09T00:00:00"/>
    <n v="1200"/>
    <n v="13102.49"/>
    <n v="0"/>
    <s v="AR for Invoice AR-INV-7275"/>
    <x v="2"/>
    <s v="Assets"/>
    <n v="13102.49"/>
    <x v="3"/>
    <d v="2026-06-01T00:00:00"/>
  </r>
  <r>
    <s v="GL-1100"/>
    <d v="2026-06-09T00:00:00"/>
    <n v="4010"/>
    <n v="0"/>
    <n v="13102.49"/>
    <s v="Sales for Invoice AR-INV-7275"/>
    <x v="3"/>
    <s v="Revenue"/>
    <n v="-13102.49"/>
    <x v="3"/>
    <d v="2026-06-01T00:00:00"/>
  </r>
  <r>
    <s v="GL-1135"/>
    <d v="2026-06-10T00:00:00"/>
    <n v="1200"/>
    <n v="23586.82"/>
    <n v="0"/>
    <s v="AR for Invoice AR-INV-7284"/>
    <x v="2"/>
    <s v="Assets"/>
    <n v="23586.82"/>
    <x v="3"/>
    <d v="2026-06-01T00:00:00"/>
  </r>
  <r>
    <s v="GL-1136"/>
    <d v="2026-06-10T00:00:00"/>
    <n v="4010"/>
    <n v="0"/>
    <n v="23586.82"/>
    <s v="Sales for Invoice AR-INV-7284"/>
    <x v="3"/>
    <s v="Revenue"/>
    <n v="-23586.82"/>
    <x v="3"/>
    <d v="2026-06-01T00:00:00"/>
  </r>
  <r>
    <s v="GL-299"/>
    <d v="2026-06-11T00:00:00"/>
    <n v="1200"/>
    <n v="39453.300000000003"/>
    <n v="0"/>
    <s v="AR for Invoice AR-INV-7075"/>
    <x v="2"/>
    <s v="Assets"/>
    <n v="39453.300000000003"/>
    <x v="3"/>
    <d v="2026-06-01T00:00:00"/>
  </r>
  <r>
    <s v="GL-300"/>
    <d v="2026-06-11T00:00:00"/>
    <n v="4010"/>
    <n v="0"/>
    <n v="39453.300000000003"/>
    <s v="Sales for Invoice AR-INV-7075"/>
    <x v="3"/>
    <s v="Revenue"/>
    <n v="-39453.300000000003"/>
    <x v="3"/>
    <d v="2026-06-01T00:00:00"/>
  </r>
  <r>
    <s v="GL-805"/>
    <d v="2026-06-12T00:00:00"/>
    <n v="5010"/>
    <n v="12294.38"/>
    <n v="0"/>
    <s v="COGS for Invoice AP-INV-5202"/>
    <x v="0"/>
    <s v="Expenses"/>
    <n v="12294.38"/>
    <x v="3"/>
    <d v="2026-06-01T00:00:00"/>
  </r>
  <r>
    <s v="GL-806"/>
    <d v="2026-06-12T00:00:00"/>
    <n v="2010"/>
    <n v="0"/>
    <n v="12294.38"/>
    <s v="AP for Invoice AP-INV-5202"/>
    <x v="1"/>
    <s v="Liabilities"/>
    <n v="-12294.38"/>
    <x v="3"/>
    <d v="2026-06-01T00:00:00"/>
  </r>
  <r>
    <s v="GL-113"/>
    <d v="2026-06-13T00:00:00"/>
    <n v="5010"/>
    <n v="11205.37"/>
    <n v="0"/>
    <s v="COGS for Invoice AP-INV-5029"/>
    <x v="0"/>
    <s v="Expenses"/>
    <n v="11205.37"/>
    <x v="3"/>
    <d v="2026-06-01T00:00:00"/>
  </r>
  <r>
    <s v="GL-114"/>
    <d v="2026-06-13T00:00:00"/>
    <n v="2010"/>
    <n v="0"/>
    <n v="11205.37"/>
    <s v="AP for Invoice AP-INV-5029"/>
    <x v="1"/>
    <s v="Liabilities"/>
    <n v="-11205.37"/>
    <x v="3"/>
    <d v="2026-06-01T00:00:00"/>
  </r>
  <r>
    <s v="GL-1545"/>
    <d v="2026-06-13T00:00:00"/>
    <n v="5010"/>
    <n v="5832.09"/>
    <n v="0"/>
    <s v="COGS for Invoice AP-INV-5387"/>
    <x v="0"/>
    <s v="Expenses"/>
    <n v="5832.09"/>
    <x v="3"/>
    <d v="2026-06-01T00:00:00"/>
  </r>
  <r>
    <s v="GL-1546"/>
    <d v="2026-06-13T00:00:00"/>
    <n v="2010"/>
    <n v="0"/>
    <n v="5832.09"/>
    <s v="AP for Invoice AP-INV-5387"/>
    <x v="1"/>
    <s v="Liabilities"/>
    <n v="-5832.09"/>
    <x v="3"/>
    <d v="2026-06-01T00:00:00"/>
  </r>
  <r>
    <s v="GL-1801"/>
    <d v="2026-06-13T00:00:00"/>
    <n v="5010"/>
    <n v="13440.07"/>
    <n v="0"/>
    <s v="COGS for Invoice AP-INV-5451"/>
    <x v="0"/>
    <s v="Expenses"/>
    <n v="13440.07"/>
    <x v="3"/>
    <d v="2026-06-01T00:00:00"/>
  </r>
  <r>
    <s v="GL-1802"/>
    <d v="2026-06-13T00:00:00"/>
    <n v="2010"/>
    <n v="0"/>
    <n v="13440.07"/>
    <s v="AP for Invoice AP-INV-5451"/>
    <x v="1"/>
    <s v="Liabilities"/>
    <n v="-13440.07"/>
    <x v="3"/>
    <d v="2026-06-01T00:00:00"/>
  </r>
  <r>
    <s v="GL-1123"/>
    <d v="2026-06-14T00:00:00"/>
    <n v="1200"/>
    <n v="32054.34"/>
    <n v="0"/>
    <s v="AR for Invoice AR-INV-7281"/>
    <x v="2"/>
    <s v="Assets"/>
    <n v="32054.34"/>
    <x v="3"/>
    <d v="2026-06-01T00:00:00"/>
  </r>
  <r>
    <s v="GL-1124"/>
    <d v="2026-06-14T00:00:00"/>
    <n v="4010"/>
    <n v="0"/>
    <n v="32054.34"/>
    <s v="Sales for Invoice AR-INV-7281"/>
    <x v="3"/>
    <s v="Revenue"/>
    <n v="-32054.34"/>
    <x v="3"/>
    <d v="2026-06-01T00:00:00"/>
  </r>
  <r>
    <s v="GL-713"/>
    <d v="2026-06-15T00:00:00"/>
    <n v="5010"/>
    <n v="9098.99"/>
    <n v="0"/>
    <s v="COGS for Invoice AP-INV-5179"/>
    <x v="0"/>
    <s v="Expenses"/>
    <n v="9098.99"/>
    <x v="3"/>
    <d v="2026-06-01T00:00:00"/>
  </r>
  <r>
    <s v="GL-714"/>
    <d v="2026-06-15T00:00:00"/>
    <n v="2010"/>
    <n v="0"/>
    <n v="9098.99"/>
    <s v="AP for Invoice AP-INV-5179"/>
    <x v="1"/>
    <s v="Liabilities"/>
    <n v="-9098.99"/>
    <x v="3"/>
    <d v="2026-06-01T00:00:00"/>
  </r>
  <r>
    <s v="GL-1987"/>
    <d v="2026-06-16T00:00:00"/>
    <n v="1200"/>
    <n v="28302.9"/>
    <n v="0"/>
    <s v="AR for Invoice AR-INV-7497"/>
    <x v="2"/>
    <s v="Assets"/>
    <n v="28302.9"/>
    <x v="3"/>
    <d v="2026-06-01T00:00:00"/>
  </r>
  <r>
    <s v="GL-1988"/>
    <d v="2026-06-16T00:00:00"/>
    <n v="4010"/>
    <n v="0"/>
    <n v="28302.9"/>
    <s v="Sales for Invoice AR-INV-7497"/>
    <x v="3"/>
    <s v="Revenue"/>
    <n v="-28302.9"/>
    <x v="3"/>
    <d v="2026-06-01T00:00:00"/>
  </r>
  <r>
    <s v="GL-1147"/>
    <d v="2026-06-17T00:00:00"/>
    <n v="1200"/>
    <n v="37401.71"/>
    <n v="0"/>
    <s v="AR for Invoice AR-INV-7287"/>
    <x v="2"/>
    <s v="Assets"/>
    <n v="37401.71"/>
    <x v="3"/>
    <d v="2026-06-01T00:00:00"/>
  </r>
  <r>
    <s v="GL-1148"/>
    <d v="2026-06-17T00:00:00"/>
    <n v="4010"/>
    <n v="0"/>
    <n v="37401.71"/>
    <s v="Sales for Invoice AR-INV-7287"/>
    <x v="3"/>
    <s v="Revenue"/>
    <n v="-37401.71"/>
    <x v="3"/>
    <d v="2026-06-01T00:00:00"/>
  </r>
  <r>
    <s v="GL-941"/>
    <d v="2026-06-17T00:00:00"/>
    <n v="5010"/>
    <n v="12390.46"/>
    <n v="0"/>
    <s v="COGS for Invoice AP-INV-5236"/>
    <x v="0"/>
    <s v="Expenses"/>
    <n v="12390.46"/>
    <x v="3"/>
    <d v="2026-06-01T00:00:00"/>
  </r>
  <r>
    <s v="GL-942"/>
    <d v="2026-06-17T00:00:00"/>
    <n v="2010"/>
    <n v="0"/>
    <n v="12390.46"/>
    <s v="AP for Invoice AP-INV-5236"/>
    <x v="1"/>
    <s v="Liabilities"/>
    <n v="-12390.46"/>
    <x v="3"/>
    <d v="2026-06-01T00:00:00"/>
  </r>
  <r>
    <s v="GL-1031"/>
    <d v="2026-06-18T00:00:00"/>
    <n v="1200"/>
    <n v="41963.76"/>
    <n v="0"/>
    <s v="AR for Invoice AR-INV-7258"/>
    <x v="2"/>
    <s v="Assets"/>
    <n v="41963.76"/>
    <x v="3"/>
    <d v="2026-06-01T00:00:00"/>
  </r>
  <r>
    <s v="GL-1032"/>
    <d v="2026-06-18T00:00:00"/>
    <n v="4010"/>
    <n v="0"/>
    <n v="41963.76"/>
    <s v="Sales for Invoice AR-INV-7258"/>
    <x v="3"/>
    <s v="Revenue"/>
    <n v="-41963.76"/>
    <x v="3"/>
    <d v="2026-06-01T00:00:00"/>
  </r>
  <r>
    <s v="GL-1779"/>
    <d v="2026-06-18T00:00:00"/>
    <n v="1200"/>
    <n v="27806.43"/>
    <n v="0"/>
    <s v="AR for Invoice AR-INV-7445"/>
    <x v="2"/>
    <s v="Assets"/>
    <n v="27806.43"/>
    <x v="3"/>
    <d v="2026-06-01T00:00:00"/>
  </r>
  <r>
    <s v="GL-1780"/>
    <d v="2026-06-18T00:00:00"/>
    <n v="4010"/>
    <n v="0"/>
    <n v="27806.43"/>
    <s v="Sales for Invoice AR-INV-7445"/>
    <x v="3"/>
    <s v="Revenue"/>
    <n v="-27806.43"/>
    <x v="3"/>
    <d v="2026-06-01T00:00:00"/>
  </r>
  <r>
    <s v="GL-867"/>
    <d v="2026-06-19T00:00:00"/>
    <n v="1200"/>
    <n v="17881.740000000002"/>
    <n v="0"/>
    <s v="AR for Invoice AR-INV-7217"/>
    <x v="2"/>
    <s v="Assets"/>
    <n v="17881.740000000002"/>
    <x v="3"/>
    <d v="2026-06-01T00:00:00"/>
  </r>
  <r>
    <s v="GL-868"/>
    <d v="2026-06-19T00:00:00"/>
    <n v="4010"/>
    <n v="0"/>
    <n v="17881.740000000002"/>
    <s v="Sales for Invoice AR-INV-7217"/>
    <x v="3"/>
    <s v="Revenue"/>
    <n v="-17881.740000000002"/>
    <x v="3"/>
    <d v="2026-06-01T00:00:00"/>
  </r>
  <r>
    <s v="GL-475"/>
    <d v="2026-06-20T00:00:00"/>
    <n v="1200"/>
    <n v="49457.65"/>
    <n v="0"/>
    <s v="AR for Invoice AR-INV-7119"/>
    <x v="2"/>
    <s v="Assets"/>
    <n v="49457.65"/>
    <x v="3"/>
    <d v="2026-06-01T00:00:00"/>
  </r>
  <r>
    <s v="GL-476"/>
    <d v="2026-06-20T00:00:00"/>
    <n v="4010"/>
    <n v="0"/>
    <n v="49457.65"/>
    <s v="Sales for Invoice AR-INV-7119"/>
    <x v="3"/>
    <s v="Revenue"/>
    <n v="-49457.65"/>
    <x v="3"/>
    <d v="2026-06-01T00:00:00"/>
  </r>
  <r>
    <s v="GL-227"/>
    <d v="2026-06-23T00:00:00"/>
    <n v="1200"/>
    <n v="12524.23"/>
    <n v="0"/>
    <s v="AR for Invoice AR-INV-7057"/>
    <x v="2"/>
    <s v="Assets"/>
    <n v="12524.23"/>
    <x v="3"/>
    <d v="2026-06-01T00:00:00"/>
  </r>
  <r>
    <s v="GL-228"/>
    <d v="2026-06-23T00:00:00"/>
    <n v="4010"/>
    <n v="0"/>
    <n v="12524.23"/>
    <s v="Sales for Invoice AR-INV-7057"/>
    <x v="3"/>
    <s v="Revenue"/>
    <n v="-12524.23"/>
    <x v="3"/>
    <d v="2026-06-01T00:00:00"/>
  </r>
  <r>
    <s v="GL-229"/>
    <d v="2026-06-26T00:00:00"/>
    <n v="5010"/>
    <n v="13749.97"/>
    <n v="0"/>
    <s v="COGS for Invoice AP-INV-5058"/>
    <x v="0"/>
    <s v="Expenses"/>
    <n v="13749.97"/>
    <x v="3"/>
    <d v="2026-06-01T00:00:00"/>
  </r>
  <r>
    <s v="GL-230"/>
    <d v="2026-06-26T00:00:00"/>
    <n v="2010"/>
    <n v="0"/>
    <n v="13749.97"/>
    <s v="AP for Invoice AP-INV-5058"/>
    <x v="1"/>
    <s v="Liabilities"/>
    <n v="-13749.97"/>
    <x v="3"/>
    <d v="2026-06-01T00:00:00"/>
  </r>
  <r>
    <s v="GL-837"/>
    <d v="2026-06-26T00:00:00"/>
    <n v="5010"/>
    <n v="3384.47"/>
    <n v="0"/>
    <s v="COGS for Invoice AP-INV-5210"/>
    <x v="0"/>
    <s v="Expenses"/>
    <n v="3384.47"/>
    <x v="3"/>
    <d v="2026-06-01T00:00:00"/>
  </r>
  <r>
    <s v="GL-838"/>
    <d v="2026-06-26T00:00:00"/>
    <n v="2010"/>
    <n v="0"/>
    <n v="3384.47"/>
    <s v="AP for Invoice AP-INV-5210"/>
    <x v="1"/>
    <s v="Liabilities"/>
    <n v="-3384.47"/>
    <x v="3"/>
    <d v="2026-06-01T00:00:00"/>
  </r>
  <r>
    <s v="GL-899"/>
    <d v="2026-06-29T00:00:00"/>
    <n v="1200"/>
    <n v="16454.669999999998"/>
    <n v="0"/>
    <s v="AR for Invoice AR-INV-7225"/>
    <x v="2"/>
    <s v="Assets"/>
    <n v="16454.669999999998"/>
    <x v="3"/>
    <d v="2026-06-01T00:00:00"/>
  </r>
  <r>
    <s v="GL-900"/>
    <d v="2026-06-29T00:00:00"/>
    <n v="4010"/>
    <n v="0"/>
    <n v="16454.669999999998"/>
    <s v="Sales for Invoice AR-INV-7225"/>
    <x v="3"/>
    <s v="Revenue"/>
    <n v="-16454.669999999998"/>
    <x v="3"/>
    <d v="2026-06-01T00:00:00"/>
  </r>
  <r>
    <s v="GL-1411"/>
    <d v="2026-06-30T00:00:00"/>
    <n v="1200"/>
    <n v="49247.09"/>
    <n v="0"/>
    <s v="AR for Invoice AR-INV-7353"/>
    <x v="2"/>
    <s v="Assets"/>
    <n v="49247.09"/>
    <x v="3"/>
    <d v="2026-06-01T00:00:00"/>
  </r>
  <r>
    <s v="GL-1412"/>
    <d v="2026-06-30T00:00:00"/>
    <n v="4010"/>
    <n v="0"/>
    <n v="49247.09"/>
    <s v="Sales for Invoice AR-INV-7353"/>
    <x v="3"/>
    <s v="Revenue"/>
    <n v="-49247.09"/>
    <x v="3"/>
    <d v="2026-06-01T00:00:00"/>
  </r>
  <r>
    <s v="GL-1901"/>
    <d v="2026-07-02T00:00:00"/>
    <n v="5010"/>
    <n v="2960.25"/>
    <n v="0"/>
    <s v="COGS for Invoice AP-INV-5476"/>
    <x v="0"/>
    <s v="Expenses"/>
    <n v="2960.25"/>
    <x v="3"/>
    <d v="2026-07-01T00:00:00"/>
  </r>
  <r>
    <s v="GL-1902"/>
    <d v="2026-07-02T00:00:00"/>
    <n v="2010"/>
    <n v="0"/>
    <n v="2960.25"/>
    <s v="AP for Invoice AP-INV-5476"/>
    <x v="1"/>
    <s v="Liabilities"/>
    <n v="-2960.25"/>
    <x v="3"/>
    <d v="2026-07-01T00:00:00"/>
  </r>
  <r>
    <s v="GL-1073"/>
    <d v="2026-07-06T00:00:00"/>
    <n v="5010"/>
    <n v="3986.88"/>
    <n v="0"/>
    <s v="COGS for Invoice AP-INV-5269"/>
    <x v="0"/>
    <s v="Expenses"/>
    <n v="3986.88"/>
    <x v="3"/>
    <d v="2026-07-01T00:00:00"/>
  </r>
  <r>
    <s v="GL-1074"/>
    <d v="2026-07-06T00:00:00"/>
    <n v="2010"/>
    <n v="0"/>
    <n v="3986.88"/>
    <s v="AP for Invoice AP-INV-5269"/>
    <x v="1"/>
    <s v="Liabilities"/>
    <n v="-3986.88"/>
    <x v="3"/>
    <d v="2026-07-01T00:00:00"/>
  </r>
  <r>
    <s v="GL-1575"/>
    <d v="2026-07-06T00:00:00"/>
    <n v="1200"/>
    <n v="45436.83"/>
    <n v="0"/>
    <s v="AR for Invoice AR-INV-7394"/>
    <x v="2"/>
    <s v="Assets"/>
    <n v="45436.83"/>
    <x v="3"/>
    <d v="2026-07-01T00:00:00"/>
  </r>
  <r>
    <s v="GL-1576"/>
    <d v="2026-07-06T00:00:00"/>
    <n v="4010"/>
    <n v="0"/>
    <n v="45436.83"/>
    <s v="Sales for Invoice AR-INV-7394"/>
    <x v="3"/>
    <s v="Revenue"/>
    <n v="-45436.83"/>
    <x v="3"/>
    <d v="2026-07-01T00:00:00"/>
  </r>
  <r>
    <s v="GL-1989"/>
    <d v="2026-07-06T00:00:00"/>
    <n v="5010"/>
    <n v="14094.79"/>
    <n v="0"/>
    <s v="COGS for Invoice AP-INV-5498"/>
    <x v="0"/>
    <s v="Expenses"/>
    <n v="14094.79"/>
    <x v="3"/>
    <d v="2026-07-01T00:00:00"/>
  </r>
  <r>
    <s v="GL-1990"/>
    <d v="2026-07-06T00:00:00"/>
    <n v="2010"/>
    <n v="0"/>
    <n v="14094.79"/>
    <s v="AP for Invoice AP-INV-5498"/>
    <x v="1"/>
    <s v="Liabilities"/>
    <n v="-14094.79"/>
    <x v="3"/>
    <d v="2026-07-01T00:00:00"/>
  </r>
  <r>
    <s v="GL-697"/>
    <d v="2026-07-06T00:00:00"/>
    <n v="5010"/>
    <n v="2968.72"/>
    <n v="0"/>
    <s v="COGS for Invoice AP-INV-5175"/>
    <x v="0"/>
    <s v="Expenses"/>
    <n v="2968.72"/>
    <x v="3"/>
    <d v="2026-07-01T00:00:00"/>
  </r>
  <r>
    <s v="GL-698"/>
    <d v="2026-07-06T00:00:00"/>
    <n v="2010"/>
    <n v="0"/>
    <n v="2968.72"/>
    <s v="AP for Invoice AP-INV-5175"/>
    <x v="1"/>
    <s v="Liabilities"/>
    <n v="-2968.72"/>
    <x v="3"/>
    <d v="2026-07-01T00:00:00"/>
  </r>
  <r>
    <s v="GL-1557"/>
    <d v="2026-07-09T00:00:00"/>
    <n v="5010"/>
    <n v="8014.86"/>
    <n v="0"/>
    <s v="COGS for Invoice AP-INV-5390"/>
    <x v="0"/>
    <s v="Expenses"/>
    <n v="8014.86"/>
    <x v="3"/>
    <d v="2026-07-01T00:00:00"/>
  </r>
  <r>
    <s v="GL-1558"/>
    <d v="2026-07-09T00:00:00"/>
    <n v="2010"/>
    <n v="0"/>
    <n v="8014.86"/>
    <s v="AP for Invoice AP-INV-5390"/>
    <x v="1"/>
    <s v="Liabilities"/>
    <n v="-8014.86"/>
    <x v="3"/>
    <d v="2026-07-01T00:00:00"/>
  </r>
  <r>
    <s v="GL-1777"/>
    <d v="2026-07-11T00:00:00"/>
    <n v="5010"/>
    <n v="13857.71"/>
    <n v="0"/>
    <s v="COGS for Invoice AP-INV-5445"/>
    <x v="0"/>
    <s v="Expenses"/>
    <n v="13857.71"/>
    <x v="3"/>
    <d v="2026-07-01T00:00:00"/>
  </r>
  <r>
    <s v="GL-1778"/>
    <d v="2026-07-11T00:00:00"/>
    <n v="2010"/>
    <n v="0"/>
    <n v="13857.71"/>
    <s v="AP for Invoice AP-INV-5445"/>
    <x v="1"/>
    <s v="Liabilities"/>
    <n v="-13857.71"/>
    <x v="3"/>
    <d v="2026-07-01T00:00:00"/>
  </r>
  <r>
    <s v="GL-263"/>
    <d v="2026-07-12T00:00:00"/>
    <n v="1200"/>
    <n v="4514.9399999999996"/>
    <n v="0"/>
    <s v="AR for Invoice AR-INV-7066"/>
    <x v="2"/>
    <s v="Assets"/>
    <n v="4514.9399999999996"/>
    <x v="3"/>
    <d v="2026-07-01T00:00:00"/>
  </r>
  <r>
    <s v="GL-264"/>
    <d v="2026-07-12T00:00:00"/>
    <n v="4010"/>
    <n v="0"/>
    <n v="4514.9399999999996"/>
    <s v="Sales for Invoice AR-INV-7066"/>
    <x v="3"/>
    <s v="Revenue"/>
    <n v="-4514.9399999999996"/>
    <x v="3"/>
    <d v="2026-07-01T00:00:00"/>
  </r>
  <r>
    <s v="GL-1425"/>
    <d v="2026-07-13T00:00:00"/>
    <n v="5010"/>
    <n v="8866.06"/>
    <n v="0"/>
    <s v="COGS for Invoice AP-INV-5357"/>
    <x v="0"/>
    <s v="Expenses"/>
    <n v="8866.06"/>
    <x v="3"/>
    <d v="2026-07-01T00:00:00"/>
  </r>
  <r>
    <s v="GL-1426"/>
    <d v="2026-07-13T00:00:00"/>
    <n v="2010"/>
    <n v="0"/>
    <n v="8866.06"/>
    <s v="AP for Invoice AP-INV-5357"/>
    <x v="1"/>
    <s v="Liabilities"/>
    <n v="-8866.06"/>
    <x v="3"/>
    <d v="2026-07-01T00:00:00"/>
  </r>
  <r>
    <s v="GL-1757"/>
    <d v="2026-07-13T00:00:00"/>
    <n v="5010"/>
    <n v="1133.25"/>
    <n v="0"/>
    <s v="COGS for Invoice AP-INV-5440"/>
    <x v="0"/>
    <s v="Expenses"/>
    <n v="1133.25"/>
    <x v="3"/>
    <d v="2026-07-01T00:00:00"/>
  </r>
  <r>
    <s v="GL-1758"/>
    <d v="2026-07-13T00:00:00"/>
    <n v="2010"/>
    <n v="0"/>
    <n v="1133.25"/>
    <s v="AP for Invoice AP-INV-5440"/>
    <x v="1"/>
    <s v="Liabilities"/>
    <n v="-1133.25"/>
    <x v="3"/>
    <d v="2026-07-01T00:00:00"/>
  </r>
  <r>
    <s v="GL-643"/>
    <d v="2026-07-13T00:00:00"/>
    <n v="1200"/>
    <n v="7983.27"/>
    <n v="0"/>
    <s v="AR for Invoice AR-INV-7161"/>
    <x v="2"/>
    <s v="Assets"/>
    <n v="7983.27"/>
    <x v="3"/>
    <d v="2026-07-01T00:00:00"/>
  </r>
  <r>
    <s v="GL-644"/>
    <d v="2026-07-13T00:00:00"/>
    <n v="4010"/>
    <n v="0"/>
    <n v="7983.27"/>
    <s v="Sales for Invoice AR-INV-7161"/>
    <x v="3"/>
    <s v="Revenue"/>
    <n v="-7983.27"/>
    <x v="3"/>
    <d v="2026-07-01T00:00:00"/>
  </r>
  <r>
    <s v="GL-1417"/>
    <d v="2026-07-17T00:00:00"/>
    <n v="5010"/>
    <n v="14605.62"/>
    <n v="0"/>
    <s v="COGS for Invoice AP-INV-5355"/>
    <x v="0"/>
    <s v="Expenses"/>
    <n v="14605.62"/>
    <x v="3"/>
    <d v="2026-07-01T00:00:00"/>
  </r>
  <r>
    <s v="GL-1418"/>
    <d v="2026-07-17T00:00:00"/>
    <n v="2010"/>
    <n v="0"/>
    <n v="14605.62"/>
    <s v="AP for Invoice AP-INV-5355"/>
    <x v="1"/>
    <s v="Liabilities"/>
    <n v="-14605.62"/>
    <x v="3"/>
    <d v="2026-07-01T00:00:00"/>
  </r>
  <r>
    <s v="GL-179"/>
    <d v="2026-07-20T00:00:00"/>
    <n v="1200"/>
    <n v="40338.46"/>
    <n v="0"/>
    <s v="AR for Invoice AR-INV-7045"/>
    <x v="2"/>
    <s v="Assets"/>
    <n v="40338.46"/>
    <x v="3"/>
    <d v="2026-07-01T00:00:00"/>
  </r>
  <r>
    <s v="GL-180"/>
    <d v="2026-07-20T00:00:00"/>
    <n v="4010"/>
    <n v="0"/>
    <n v="40338.46"/>
    <s v="Sales for Invoice AR-INV-7045"/>
    <x v="3"/>
    <s v="Revenue"/>
    <n v="-40338.46"/>
    <x v="3"/>
    <d v="2026-07-01T00:00:00"/>
  </r>
  <r>
    <s v="GL-1499"/>
    <d v="2026-07-21T00:00:00"/>
    <n v="1200"/>
    <n v="15483"/>
    <n v="0"/>
    <s v="AR for Invoice AR-INV-7375"/>
    <x v="2"/>
    <s v="Assets"/>
    <n v="15483"/>
    <x v="3"/>
    <d v="2026-07-01T00:00:00"/>
  </r>
  <r>
    <s v="GL-1500"/>
    <d v="2026-07-21T00:00:00"/>
    <n v="4010"/>
    <n v="0"/>
    <n v="15483"/>
    <s v="Sales for Invoice AR-INV-7375"/>
    <x v="3"/>
    <s v="Revenue"/>
    <n v="-15483"/>
    <x v="3"/>
    <d v="2026-07-01T00:00:00"/>
  </r>
  <r>
    <s v="GL-315"/>
    <d v="2026-07-21T00:00:00"/>
    <n v="1200"/>
    <n v="18638.36"/>
    <n v="0"/>
    <s v="AR for Invoice AR-INV-7079"/>
    <x v="2"/>
    <s v="Assets"/>
    <n v="18638.36"/>
    <x v="3"/>
    <d v="2026-07-01T00:00:00"/>
  </r>
  <r>
    <s v="GL-316"/>
    <d v="2026-07-21T00:00:00"/>
    <n v="4010"/>
    <n v="0"/>
    <n v="18638.36"/>
    <s v="Sales for Invoice AR-INV-7079"/>
    <x v="3"/>
    <s v="Revenue"/>
    <n v="-18638.36"/>
    <x v="3"/>
    <d v="2026-07-01T00:00:00"/>
  </r>
  <r>
    <s v="GL-1573"/>
    <d v="2026-07-22T00:00:00"/>
    <n v="5010"/>
    <n v="17807.21"/>
    <n v="0"/>
    <s v="COGS for Invoice AP-INV-5394"/>
    <x v="0"/>
    <s v="Expenses"/>
    <n v="17807.21"/>
    <x v="3"/>
    <d v="2026-07-01T00:00:00"/>
  </r>
  <r>
    <s v="GL-1574"/>
    <d v="2026-07-22T00:00:00"/>
    <n v="2010"/>
    <n v="0"/>
    <n v="17807.21"/>
    <s v="AP for Invoice AP-INV-5394"/>
    <x v="1"/>
    <s v="Liabilities"/>
    <n v="-17807.21"/>
    <x v="3"/>
    <d v="2026-07-01T00:00:00"/>
  </r>
  <r>
    <s v="GL-937"/>
    <d v="2026-07-22T00:00:00"/>
    <n v="5010"/>
    <n v="16073.36"/>
    <n v="0"/>
    <s v="COGS for Invoice AP-INV-5235"/>
    <x v="0"/>
    <s v="Expenses"/>
    <n v="16073.36"/>
    <x v="3"/>
    <d v="2026-07-01T00:00:00"/>
  </r>
  <r>
    <s v="GL-938"/>
    <d v="2026-07-22T00:00:00"/>
    <n v="2010"/>
    <n v="0"/>
    <n v="16073.36"/>
    <s v="AP for Invoice AP-INV-5235"/>
    <x v="1"/>
    <s v="Liabilities"/>
    <n v="-16073.36"/>
    <x v="3"/>
    <d v="2026-07-01T00:00:00"/>
  </r>
  <r>
    <s v="GL-83"/>
    <d v="2026-07-23T00:00:00"/>
    <n v="1200"/>
    <n v="10021.32"/>
    <n v="0"/>
    <s v="AR for Invoice AR-INV-7021"/>
    <x v="2"/>
    <s v="Assets"/>
    <n v="10021.32"/>
    <x v="3"/>
    <d v="2026-07-01T00:00:00"/>
  </r>
  <r>
    <s v="GL-84"/>
    <d v="2026-07-23T00:00:00"/>
    <n v="4010"/>
    <n v="0"/>
    <n v="10021.32"/>
    <s v="Sales for Invoice AR-INV-7021"/>
    <x v="3"/>
    <s v="Revenue"/>
    <n v="-10021.32"/>
    <x v="3"/>
    <d v="2026-07-01T00:00:00"/>
  </r>
  <r>
    <s v="GL-67"/>
    <d v="2026-07-26T00:00:00"/>
    <n v="1200"/>
    <n v="37074.620000000003"/>
    <n v="0"/>
    <s v="AR for Invoice AR-INV-7017"/>
    <x v="2"/>
    <s v="Assets"/>
    <n v="37074.620000000003"/>
    <x v="3"/>
    <d v="2026-07-01T00:00:00"/>
  </r>
  <r>
    <s v="GL-68"/>
    <d v="2026-07-26T00:00:00"/>
    <n v="4010"/>
    <n v="0"/>
    <n v="37074.620000000003"/>
    <s v="Sales for Invoice AR-INV-7017"/>
    <x v="3"/>
    <s v="Revenue"/>
    <n v="-37074.620000000003"/>
    <x v="3"/>
    <d v="2026-07-01T00:00:00"/>
  </r>
  <r>
    <s v="GL-675"/>
    <d v="2026-07-28T00:00:00"/>
    <n v="1200"/>
    <n v="19961.509999999998"/>
    <n v="0"/>
    <s v="AR for Invoice AR-INV-7169"/>
    <x v="2"/>
    <s v="Assets"/>
    <n v="19961.509999999998"/>
    <x v="3"/>
    <d v="2026-07-01T00:00:00"/>
  </r>
  <r>
    <s v="GL-676"/>
    <d v="2026-07-28T00:00:00"/>
    <n v="4010"/>
    <n v="0"/>
    <n v="19961.509999999998"/>
    <s v="Sales for Invoice AR-INV-7169"/>
    <x v="3"/>
    <s v="Revenue"/>
    <n v="-19961.509999999998"/>
    <x v="3"/>
    <d v="2026-07-01T00:00:00"/>
  </r>
  <r>
    <s v="GL-1051"/>
    <d v="2026-07-29T00:00:00"/>
    <n v="1200"/>
    <n v="23603.14"/>
    <n v="0"/>
    <s v="AR for Invoice AR-INV-7263"/>
    <x v="2"/>
    <s v="Assets"/>
    <n v="23603.14"/>
    <x v="3"/>
    <d v="2026-07-01T00:00:00"/>
  </r>
  <r>
    <s v="GL-1052"/>
    <d v="2026-07-29T00:00:00"/>
    <n v="4010"/>
    <n v="0"/>
    <n v="23603.14"/>
    <s v="Sales for Invoice AR-INV-7263"/>
    <x v="3"/>
    <s v="Revenue"/>
    <n v="-23603.14"/>
    <x v="3"/>
    <d v="2026-07-01T00:00:00"/>
  </r>
  <r>
    <s v="GL-1155"/>
    <d v="2026-07-30T00:00:00"/>
    <n v="1200"/>
    <n v="44796.04"/>
    <n v="0"/>
    <s v="AR for Invoice AR-INV-7289"/>
    <x v="2"/>
    <s v="Assets"/>
    <n v="44796.04"/>
    <x v="3"/>
    <d v="2026-07-01T00:00:00"/>
  </r>
  <r>
    <s v="GL-1156"/>
    <d v="2026-07-30T00:00:00"/>
    <n v="4010"/>
    <n v="0"/>
    <n v="44796.04"/>
    <s v="Sales for Invoice AR-INV-7289"/>
    <x v="3"/>
    <s v="Revenue"/>
    <n v="-44796.04"/>
    <x v="3"/>
    <d v="2026-07-01T00:00:00"/>
  </r>
  <r>
    <s v="GL-1617"/>
    <d v="2026-07-30T00:00:00"/>
    <n v="5010"/>
    <n v="3303.16"/>
    <n v="0"/>
    <s v="COGS for Invoice AP-INV-5405"/>
    <x v="0"/>
    <s v="Expenses"/>
    <n v="3303.16"/>
    <x v="3"/>
    <d v="2026-07-01T00:00:00"/>
  </r>
  <r>
    <s v="GL-1618"/>
    <d v="2026-07-30T00:00:00"/>
    <n v="2010"/>
    <n v="0"/>
    <n v="3303.16"/>
    <s v="AP for Invoice AP-INV-5405"/>
    <x v="1"/>
    <s v="Liabilities"/>
    <n v="-3303.16"/>
    <x v="3"/>
    <d v="2026-07-01T00:00:00"/>
  </r>
  <r>
    <s v="GL-1913"/>
    <d v="2026-07-30T00:00:00"/>
    <n v="5010"/>
    <n v="6241.32"/>
    <n v="0"/>
    <s v="COGS for Invoice AP-INV-5479"/>
    <x v="0"/>
    <s v="Expenses"/>
    <n v="6241.32"/>
    <x v="3"/>
    <d v="2026-07-01T00:00:00"/>
  </r>
  <r>
    <s v="GL-1914"/>
    <d v="2026-07-30T00:00:00"/>
    <n v="2010"/>
    <n v="0"/>
    <n v="6241.32"/>
    <s v="AP for Invoice AP-INV-5479"/>
    <x v="1"/>
    <s v="Liabilities"/>
    <n v="-6241.32"/>
    <x v="3"/>
    <d v="2026-07-01T00:00:00"/>
  </r>
  <r>
    <s v="GL-483"/>
    <d v="2026-07-31T00:00:00"/>
    <n v="1200"/>
    <n v="21076.63"/>
    <n v="0"/>
    <s v="AR for Invoice AR-INV-7121"/>
    <x v="2"/>
    <s v="Assets"/>
    <n v="21076.63"/>
    <x v="3"/>
    <d v="2026-07-01T00:00:00"/>
  </r>
  <r>
    <s v="GL-484"/>
    <d v="2026-07-31T00:00:00"/>
    <n v="4010"/>
    <n v="0"/>
    <n v="21076.63"/>
    <s v="Sales for Invoice AR-INV-7121"/>
    <x v="3"/>
    <s v="Revenue"/>
    <n v="-21076.63"/>
    <x v="3"/>
    <d v="2026-07-01T00:00:00"/>
  </r>
  <r>
    <s v="GL-1215"/>
    <d v="2026-08-01T00:00:00"/>
    <n v="1200"/>
    <n v="44323.98"/>
    <n v="0"/>
    <s v="AR for Invoice AR-INV-7304"/>
    <x v="2"/>
    <s v="Assets"/>
    <n v="44323.98"/>
    <x v="3"/>
    <d v="2026-08-01T00:00:00"/>
  </r>
  <r>
    <s v="GL-1216"/>
    <d v="2026-08-01T00:00:00"/>
    <n v="4010"/>
    <n v="0"/>
    <n v="44323.98"/>
    <s v="Sales for Invoice AR-INV-7304"/>
    <x v="3"/>
    <s v="Revenue"/>
    <n v="-44323.98"/>
    <x v="3"/>
    <d v="2026-08-01T00:00:00"/>
  </r>
  <r>
    <s v="GL-1749"/>
    <d v="2026-08-02T00:00:00"/>
    <n v="5010"/>
    <n v="18547.37"/>
    <n v="0"/>
    <s v="COGS for Invoice AP-INV-5438"/>
    <x v="0"/>
    <s v="Expenses"/>
    <n v="18547.37"/>
    <x v="3"/>
    <d v="2026-08-01T00:00:00"/>
  </r>
  <r>
    <s v="GL-1750"/>
    <d v="2026-08-02T00:00:00"/>
    <n v="2010"/>
    <n v="0"/>
    <n v="18547.37"/>
    <s v="AP for Invoice AP-INV-5438"/>
    <x v="1"/>
    <s v="Liabilities"/>
    <n v="-18547.37"/>
    <x v="3"/>
    <d v="2026-08-01T00:00:00"/>
  </r>
  <r>
    <s v="GL-1827"/>
    <d v="2026-08-04T00:00:00"/>
    <n v="1200"/>
    <n v="12362.34"/>
    <n v="0"/>
    <s v="AR for Invoice AR-INV-7457"/>
    <x v="2"/>
    <s v="Assets"/>
    <n v="12362.34"/>
    <x v="3"/>
    <d v="2026-08-01T00:00:00"/>
  </r>
  <r>
    <s v="GL-1828"/>
    <d v="2026-08-04T00:00:00"/>
    <n v="4010"/>
    <n v="0"/>
    <n v="12362.34"/>
    <s v="Sales for Invoice AR-INV-7457"/>
    <x v="3"/>
    <s v="Revenue"/>
    <n v="-12362.34"/>
    <x v="3"/>
    <d v="2026-08-01T00:00:00"/>
  </r>
  <r>
    <s v="GL-1935"/>
    <d v="2026-08-04T00:00:00"/>
    <n v="1200"/>
    <n v="8625.7000000000007"/>
    <n v="0"/>
    <s v="AR for Invoice AR-INV-7484"/>
    <x v="2"/>
    <s v="Assets"/>
    <n v="8625.7000000000007"/>
    <x v="3"/>
    <d v="2026-08-01T00:00:00"/>
  </r>
  <r>
    <s v="GL-1936"/>
    <d v="2026-08-04T00:00:00"/>
    <n v="4010"/>
    <n v="0"/>
    <n v="8625.7000000000007"/>
    <s v="Sales for Invoice AR-INV-7484"/>
    <x v="3"/>
    <s v="Revenue"/>
    <n v="-8625.7000000000007"/>
    <x v="3"/>
    <d v="2026-08-01T00:00:00"/>
  </r>
  <r>
    <s v="GL-351"/>
    <d v="2026-08-04T00:00:00"/>
    <n v="1200"/>
    <n v="4360.46"/>
    <n v="0"/>
    <s v="AR for Invoice AR-INV-7088"/>
    <x v="2"/>
    <s v="Assets"/>
    <n v="4360.46"/>
    <x v="3"/>
    <d v="2026-08-01T00:00:00"/>
  </r>
  <r>
    <s v="GL-352"/>
    <d v="2026-08-04T00:00:00"/>
    <n v="4010"/>
    <n v="0"/>
    <n v="4360.46"/>
    <s v="Sales for Invoice AR-INV-7088"/>
    <x v="3"/>
    <s v="Revenue"/>
    <n v="-4360.46"/>
    <x v="3"/>
    <d v="2026-08-01T00:00:00"/>
  </r>
  <r>
    <s v="GL-1041"/>
    <d v="2026-08-06T00:00:00"/>
    <n v="5010"/>
    <n v="12299.93"/>
    <n v="0"/>
    <s v="COGS for Invoice AP-INV-5261"/>
    <x v="0"/>
    <s v="Expenses"/>
    <n v="12299.93"/>
    <x v="3"/>
    <d v="2026-08-01T00:00:00"/>
  </r>
  <r>
    <s v="GL-1042"/>
    <d v="2026-08-06T00:00:00"/>
    <n v="2010"/>
    <n v="0"/>
    <n v="12299.93"/>
    <s v="AP for Invoice AP-INV-5261"/>
    <x v="1"/>
    <s v="Liabilities"/>
    <n v="-12299.93"/>
    <x v="3"/>
    <d v="2026-08-01T00:00:00"/>
  </r>
  <r>
    <s v="GL-383"/>
    <d v="2026-08-09T00:00:00"/>
    <n v="1200"/>
    <n v="38631.31"/>
    <n v="0"/>
    <s v="AR for Invoice AR-INV-7096"/>
    <x v="2"/>
    <s v="Assets"/>
    <n v="38631.31"/>
    <x v="3"/>
    <d v="2026-08-01T00:00:00"/>
  </r>
  <r>
    <s v="GL-384"/>
    <d v="2026-08-09T00:00:00"/>
    <n v="4010"/>
    <n v="0"/>
    <n v="38631.31"/>
    <s v="Sales for Invoice AR-INV-7096"/>
    <x v="3"/>
    <s v="Revenue"/>
    <n v="-38631.31"/>
    <x v="3"/>
    <d v="2026-08-01T00:00:00"/>
  </r>
  <r>
    <s v="GL-1625"/>
    <d v="2026-08-10T00:00:00"/>
    <n v="5010"/>
    <n v="1227.6600000000001"/>
    <n v="0"/>
    <s v="COGS for Invoice AP-INV-5407"/>
    <x v="0"/>
    <s v="Expenses"/>
    <n v="1227.6600000000001"/>
    <x v="3"/>
    <d v="2026-08-01T00:00:00"/>
  </r>
  <r>
    <s v="GL-1626"/>
    <d v="2026-08-10T00:00:00"/>
    <n v="2010"/>
    <n v="0"/>
    <n v="1227.6600000000001"/>
    <s v="AP for Invoice AP-INV-5407"/>
    <x v="1"/>
    <s v="Liabilities"/>
    <n v="-1227.6600000000001"/>
    <x v="3"/>
    <d v="2026-08-01T00:00:00"/>
  </r>
  <r>
    <s v="GL-793"/>
    <d v="2026-08-12T00:00:00"/>
    <n v="5010"/>
    <n v="17130.82"/>
    <n v="0"/>
    <s v="COGS for Invoice AP-INV-5199"/>
    <x v="0"/>
    <s v="Expenses"/>
    <n v="17130.82"/>
    <x v="3"/>
    <d v="2026-08-01T00:00:00"/>
  </r>
  <r>
    <s v="GL-794"/>
    <d v="2026-08-12T00:00:00"/>
    <n v="2010"/>
    <n v="0"/>
    <n v="17130.82"/>
    <s v="AP for Invoice AP-INV-5199"/>
    <x v="1"/>
    <s v="Liabilities"/>
    <n v="-17130.82"/>
    <x v="3"/>
    <d v="2026-08-01T00:00:00"/>
  </r>
  <r>
    <s v="GL-909"/>
    <d v="2026-08-14T00:00:00"/>
    <n v="5010"/>
    <n v="19359.96"/>
    <n v="0"/>
    <s v="COGS for Invoice AP-INV-5228"/>
    <x v="0"/>
    <s v="Expenses"/>
    <n v="19359.96"/>
    <x v="3"/>
    <d v="2026-08-01T00:00:00"/>
  </r>
  <r>
    <s v="GL-910"/>
    <d v="2026-08-14T00:00:00"/>
    <n v="2010"/>
    <n v="0"/>
    <n v="19359.96"/>
    <s v="AP for Invoice AP-INV-5228"/>
    <x v="1"/>
    <s v="Liabilities"/>
    <n v="-19359.96"/>
    <x v="3"/>
    <d v="2026-08-01T00:00:00"/>
  </r>
  <r>
    <s v="GL-953"/>
    <d v="2026-08-16T00:00:00"/>
    <n v="5010"/>
    <n v="15681.57"/>
    <n v="0"/>
    <s v="COGS for Invoice AP-INV-5239"/>
    <x v="0"/>
    <s v="Expenses"/>
    <n v="15681.57"/>
    <x v="3"/>
    <d v="2026-08-01T00:00:00"/>
  </r>
  <r>
    <s v="GL-954"/>
    <d v="2026-08-16T00:00:00"/>
    <n v="2010"/>
    <n v="0"/>
    <n v="15681.57"/>
    <s v="AP for Invoice AP-INV-5239"/>
    <x v="1"/>
    <s v="Liabilities"/>
    <n v="-15681.57"/>
    <x v="3"/>
    <d v="2026-08-01T00:00:00"/>
  </r>
  <r>
    <s v="GL-203"/>
    <d v="2026-08-17T00:00:00"/>
    <n v="1200"/>
    <n v="17803.080000000002"/>
    <n v="0"/>
    <s v="AR for Invoice AR-INV-7051"/>
    <x v="2"/>
    <s v="Assets"/>
    <n v="17803.080000000002"/>
    <x v="3"/>
    <d v="2026-08-01T00:00:00"/>
  </r>
  <r>
    <s v="GL-204"/>
    <d v="2026-08-17T00:00:00"/>
    <n v="4010"/>
    <n v="0"/>
    <n v="17803.080000000002"/>
    <s v="Sales for Invoice AR-INV-7051"/>
    <x v="3"/>
    <s v="Revenue"/>
    <n v="-17803.080000000002"/>
    <x v="3"/>
    <d v="2026-08-01T00:00:00"/>
  </r>
  <r>
    <s v="GL-1349"/>
    <d v="2026-08-18T00:00:00"/>
    <n v="5010"/>
    <n v="17978.419999999998"/>
    <n v="0"/>
    <s v="COGS for Invoice AP-INV-5338"/>
    <x v="0"/>
    <s v="Expenses"/>
    <n v="17978.419999999998"/>
    <x v="3"/>
    <d v="2026-08-01T00:00:00"/>
  </r>
  <r>
    <s v="GL-1350"/>
    <d v="2026-08-18T00:00:00"/>
    <n v="2010"/>
    <n v="0"/>
    <n v="17978.419999999998"/>
    <s v="AP for Invoice AP-INV-5338"/>
    <x v="1"/>
    <s v="Liabilities"/>
    <n v="-17978.419999999998"/>
    <x v="3"/>
    <d v="2026-08-01T00:00:00"/>
  </r>
  <r>
    <s v="GL-1637"/>
    <d v="2026-08-18T00:00:00"/>
    <n v="5010"/>
    <n v="16743.03"/>
    <n v="0"/>
    <s v="COGS for Invoice AP-INV-5410"/>
    <x v="0"/>
    <s v="Expenses"/>
    <n v="16743.03"/>
    <x v="3"/>
    <d v="2026-08-01T00:00:00"/>
  </r>
  <r>
    <s v="GL-1638"/>
    <d v="2026-08-18T00:00:00"/>
    <n v="2010"/>
    <n v="0"/>
    <n v="16743.03"/>
    <s v="AP for Invoice AP-INV-5410"/>
    <x v="1"/>
    <s v="Liabilities"/>
    <n v="-16743.03"/>
    <x v="3"/>
    <d v="2026-08-01T00:00:00"/>
  </r>
  <r>
    <s v="GL-341"/>
    <d v="2026-08-19T00:00:00"/>
    <n v="5010"/>
    <n v="13244.08"/>
    <n v="0"/>
    <s v="COGS for Invoice AP-INV-5086"/>
    <x v="0"/>
    <s v="Expenses"/>
    <n v="13244.08"/>
    <x v="3"/>
    <d v="2026-08-01T00:00:00"/>
  </r>
  <r>
    <s v="GL-342"/>
    <d v="2026-08-19T00:00:00"/>
    <n v="2010"/>
    <n v="0"/>
    <n v="13244.08"/>
    <s v="AP for Invoice AP-INV-5086"/>
    <x v="1"/>
    <s v="Liabilities"/>
    <n v="-13244.08"/>
    <x v="3"/>
    <d v="2026-08-01T00:00:00"/>
  </r>
  <r>
    <s v="GL-1695"/>
    <d v="2026-08-20T00:00:00"/>
    <n v="1200"/>
    <n v="7392.84"/>
    <n v="0"/>
    <s v="AR for Invoice AR-INV-7424"/>
    <x v="2"/>
    <s v="Assets"/>
    <n v="7392.84"/>
    <x v="3"/>
    <d v="2026-08-01T00:00:00"/>
  </r>
  <r>
    <s v="GL-1696"/>
    <d v="2026-08-20T00:00:00"/>
    <n v="4010"/>
    <n v="0"/>
    <n v="7392.84"/>
    <s v="Sales for Invoice AR-INV-7424"/>
    <x v="3"/>
    <s v="Revenue"/>
    <n v="-7392.84"/>
    <x v="3"/>
    <d v="2026-08-01T00:00:00"/>
  </r>
  <r>
    <s v="GL-1993"/>
    <d v="2026-08-22T00:00:00"/>
    <n v="5010"/>
    <n v="3024.54"/>
    <n v="0"/>
    <s v="COGS for Invoice AP-INV-5499"/>
    <x v="0"/>
    <s v="Expenses"/>
    <n v="3024.54"/>
    <x v="3"/>
    <d v="2026-08-01T00:00:00"/>
  </r>
  <r>
    <s v="GL-1994"/>
    <d v="2026-08-22T00:00:00"/>
    <n v="2010"/>
    <n v="0"/>
    <n v="3024.54"/>
    <s v="AP for Invoice AP-INV-5499"/>
    <x v="1"/>
    <s v="Liabilities"/>
    <n v="-3024.54"/>
    <x v="3"/>
    <d v="2026-08-01T00:00:00"/>
  </r>
  <r>
    <s v="GL-1949"/>
    <d v="2026-08-24T00:00:00"/>
    <n v="5010"/>
    <n v="1017.74"/>
    <n v="0"/>
    <s v="COGS for Invoice AP-INV-5488"/>
    <x v="0"/>
    <s v="Expenses"/>
    <n v="1017.74"/>
    <x v="3"/>
    <d v="2026-08-01T00:00:00"/>
  </r>
  <r>
    <s v="GL-1950"/>
    <d v="2026-08-24T00:00:00"/>
    <n v="2010"/>
    <n v="0"/>
    <n v="1017.74"/>
    <s v="AP for Invoice AP-INV-5488"/>
    <x v="1"/>
    <s v="Liabilities"/>
    <n v="-1017.74"/>
    <x v="3"/>
    <d v="2026-08-01T00:00:00"/>
  </r>
  <r>
    <s v="GL-1809"/>
    <d v="2026-08-25T00:00:00"/>
    <n v="5010"/>
    <n v="17979.810000000001"/>
    <n v="0"/>
    <s v="COGS for Invoice AP-INV-5453"/>
    <x v="0"/>
    <s v="Expenses"/>
    <n v="17979.810000000001"/>
    <x v="3"/>
    <d v="2026-08-01T00:00:00"/>
  </r>
  <r>
    <s v="GL-1810"/>
    <d v="2026-08-25T00:00:00"/>
    <n v="2010"/>
    <n v="0"/>
    <n v="17979.810000000001"/>
    <s v="AP for Invoice AP-INV-5453"/>
    <x v="1"/>
    <s v="Liabilities"/>
    <n v="-17979.810000000001"/>
    <x v="3"/>
    <d v="2026-08-01T00:00:00"/>
  </r>
  <r>
    <s v="GL-1699"/>
    <d v="2026-08-26T00:00:00"/>
    <n v="1200"/>
    <n v="32674.33"/>
    <n v="0"/>
    <s v="AR for Invoice AR-INV-7425"/>
    <x v="2"/>
    <s v="Assets"/>
    <n v="32674.33"/>
    <x v="3"/>
    <d v="2026-08-01T00:00:00"/>
  </r>
  <r>
    <s v="GL-1700"/>
    <d v="2026-08-26T00:00:00"/>
    <n v="4010"/>
    <n v="0"/>
    <n v="32674.33"/>
    <s v="Sales for Invoice AR-INV-7425"/>
    <x v="3"/>
    <s v="Revenue"/>
    <n v="-32674.33"/>
    <x v="3"/>
    <d v="2026-08-01T00:00:00"/>
  </r>
  <r>
    <s v="GL-1183"/>
    <d v="2026-08-30T00:00:00"/>
    <n v="1200"/>
    <n v="5486.03"/>
    <n v="0"/>
    <s v="AR for Invoice AR-INV-7296"/>
    <x v="2"/>
    <s v="Assets"/>
    <n v="5486.03"/>
    <x v="3"/>
    <d v="2026-08-01T00:00:00"/>
  </r>
  <r>
    <s v="GL-1184"/>
    <d v="2026-08-30T00:00:00"/>
    <n v="4010"/>
    <n v="0"/>
    <n v="5486.03"/>
    <s v="Sales for Invoice AR-INV-7296"/>
    <x v="3"/>
    <s v="Revenue"/>
    <n v="-5486.03"/>
    <x v="3"/>
    <d v="2026-08-01T00:00:00"/>
  </r>
  <r>
    <s v="GL-291"/>
    <d v="2026-08-30T00:00:00"/>
    <n v="1200"/>
    <n v="40493.879999999997"/>
    <n v="0"/>
    <s v="AR for Invoice AR-INV-7073"/>
    <x v="2"/>
    <s v="Assets"/>
    <n v="40493.879999999997"/>
    <x v="3"/>
    <d v="2026-08-01T00:00:00"/>
  </r>
  <r>
    <s v="GL-292"/>
    <d v="2026-08-30T00:00:00"/>
    <n v="4010"/>
    <n v="0"/>
    <n v="40493.879999999997"/>
    <s v="Sales for Invoice AR-INV-7073"/>
    <x v="3"/>
    <s v="Revenue"/>
    <n v="-40493.879999999997"/>
    <x v="3"/>
    <d v="2026-08-01T00:00:00"/>
  </r>
  <r>
    <s v="GL-1953"/>
    <d v="2026-09-03T00:00:00"/>
    <n v="5010"/>
    <n v="13656.14"/>
    <n v="0"/>
    <s v="COGS for Invoice AP-INV-5489"/>
    <x v="0"/>
    <s v="Expenses"/>
    <n v="13656.14"/>
    <x v="3"/>
    <d v="2026-09-01T00:00:00"/>
  </r>
  <r>
    <s v="GL-1954"/>
    <d v="2026-09-03T00:00:00"/>
    <n v="2010"/>
    <n v="0"/>
    <n v="13656.14"/>
    <s v="AP for Invoice AP-INV-5489"/>
    <x v="1"/>
    <s v="Liabilities"/>
    <n v="-13656.14"/>
    <x v="3"/>
    <d v="2026-09-01T00:00:00"/>
  </r>
  <r>
    <s v="GL-223"/>
    <d v="2026-09-03T00:00:00"/>
    <n v="1200"/>
    <n v="42355.06"/>
    <n v="0"/>
    <s v="AR for Invoice AR-INV-7056"/>
    <x v="2"/>
    <s v="Assets"/>
    <n v="42355.06"/>
    <x v="3"/>
    <d v="2026-09-01T00:00:00"/>
  </r>
  <r>
    <s v="GL-224"/>
    <d v="2026-09-03T00:00:00"/>
    <n v="4010"/>
    <n v="0"/>
    <n v="42355.06"/>
    <s v="Sales for Invoice AR-INV-7056"/>
    <x v="3"/>
    <s v="Revenue"/>
    <n v="-42355.06"/>
    <x v="3"/>
    <d v="2026-09-01T00:00:00"/>
  </r>
  <r>
    <s v="GL-1371"/>
    <d v="2026-09-06T00:00:00"/>
    <n v="1200"/>
    <n v="34627.410000000003"/>
    <n v="0"/>
    <s v="AR for Invoice AR-INV-7343"/>
    <x v="2"/>
    <s v="Assets"/>
    <n v="34627.410000000003"/>
    <x v="3"/>
    <d v="2026-09-01T00:00:00"/>
  </r>
  <r>
    <s v="GL-1372"/>
    <d v="2026-09-06T00:00:00"/>
    <n v="4010"/>
    <n v="0"/>
    <n v="34627.410000000003"/>
    <s v="Sales for Invoice AR-INV-7343"/>
    <x v="3"/>
    <s v="Revenue"/>
    <n v="-34627.410000000003"/>
    <x v="3"/>
    <d v="2026-09-01T00:00:00"/>
  </r>
  <r>
    <s v="GL-1939"/>
    <d v="2026-09-08T00:00:00"/>
    <n v="1200"/>
    <n v="6350.45"/>
    <n v="0"/>
    <s v="AR for Invoice AR-INV-7485"/>
    <x v="2"/>
    <s v="Assets"/>
    <n v="6350.45"/>
    <x v="3"/>
    <d v="2026-09-01T00:00:00"/>
  </r>
  <r>
    <s v="GL-1940"/>
    <d v="2026-09-08T00:00:00"/>
    <n v="4010"/>
    <n v="0"/>
    <n v="6350.45"/>
    <s v="Sales for Invoice AR-INV-7485"/>
    <x v="3"/>
    <s v="Revenue"/>
    <n v="-6350.45"/>
    <x v="3"/>
    <d v="2026-09-01T00:00:00"/>
  </r>
  <r>
    <s v="GL-1923"/>
    <d v="2026-09-09T00:00:00"/>
    <n v="1200"/>
    <n v="41454.800000000003"/>
    <n v="0"/>
    <s v="AR for Invoice AR-INV-7481"/>
    <x v="2"/>
    <s v="Assets"/>
    <n v="41454.800000000003"/>
    <x v="3"/>
    <d v="2026-09-01T00:00:00"/>
  </r>
  <r>
    <s v="GL-1924"/>
    <d v="2026-09-09T00:00:00"/>
    <n v="4010"/>
    <n v="0"/>
    <n v="41454.800000000003"/>
    <s v="Sales for Invoice AR-INV-7481"/>
    <x v="3"/>
    <s v="Revenue"/>
    <n v="-41454.800000000003"/>
    <x v="3"/>
    <d v="2026-09-01T00:00:00"/>
  </r>
  <r>
    <s v="GL-1093"/>
    <d v="2026-09-11T00:00:00"/>
    <n v="5010"/>
    <n v="17432.650000000001"/>
    <n v="0"/>
    <s v="COGS for Invoice AP-INV-5274"/>
    <x v="0"/>
    <s v="Expenses"/>
    <n v="17432.650000000001"/>
    <x v="3"/>
    <d v="2026-09-01T00:00:00"/>
  </r>
  <r>
    <s v="GL-1094"/>
    <d v="2026-09-11T00:00:00"/>
    <n v="2010"/>
    <n v="0"/>
    <n v="17432.650000000001"/>
    <s v="AP for Invoice AP-INV-5274"/>
    <x v="1"/>
    <s v="Liabilities"/>
    <n v="-17432.650000000001"/>
    <x v="3"/>
    <d v="2026-09-01T00:00:00"/>
  </r>
  <r>
    <s v="GL-681"/>
    <d v="2026-09-12T00:00:00"/>
    <n v="5010"/>
    <n v="9741.84"/>
    <n v="0"/>
    <s v="COGS for Invoice AP-INV-5171"/>
    <x v="0"/>
    <s v="Expenses"/>
    <n v="9741.84"/>
    <x v="3"/>
    <d v="2026-09-01T00:00:00"/>
  </r>
  <r>
    <s v="GL-682"/>
    <d v="2026-09-12T00:00:00"/>
    <n v="2010"/>
    <n v="0"/>
    <n v="9741.84"/>
    <s v="AP for Invoice AP-INV-5171"/>
    <x v="1"/>
    <s v="Liabilities"/>
    <n v="-9741.84"/>
    <x v="3"/>
    <d v="2026-09-01T00:00:00"/>
  </r>
  <r>
    <s v="GL-1267"/>
    <d v="2026-09-18T00:00:00"/>
    <n v="1200"/>
    <n v="36742.01"/>
    <n v="0"/>
    <s v="AR for Invoice AR-INV-7317"/>
    <x v="2"/>
    <s v="Assets"/>
    <n v="36742.01"/>
    <x v="3"/>
    <d v="2026-09-01T00:00:00"/>
  </r>
  <r>
    <s v="GL-1268"/>
    <d v="2026-09-18T00:00:00"/>
    <n v="4010"/>
    <n v="0"/>
    <n v="36742.01"/>
    <s v="Sales for Invoice AR-INV-7317"/>
    <x v="3"/>
    <s v="Revenue"/>
    <n v="-36742.01"/>
    <x v="3"/>
    <d v="2026-09-01T00:00:00"/>
  </r>
  <r>
    <s v="GL-1925"/>
    <d v="2026-09-19T00:00:00"/>
    <n v="5010"/>
    <n v="2396.5100000000002"/>
    <n v="0"/>
    <s v="COGS for Invoice AP-INV-5482"/>
    <x v="0"/>
    <s v="Expenses"/>
    <n v="2396.5100000000002"/>
    <x v="3"/>
    <d v="2026-09-01T00:00:00"/>
  </r>
  <r>
    <s v="GL-1926"/>
    <d v="2026-09-19T00:00:00"/>
    <n v="2010"/>
    <n v="0"/>
    <n v="2396.5100000000002"/>
    <s v="AP for Invoice AP-INV-5482"/>
    <x v="1"/>
    <s v="Liabilities"/>
    <n v="-2396.5100000000002"/>
    <x v="3"/>
    <d v="2026-09-01T00:00:00"/>
  </r>
  <r>
    <s v="GL-815"/>
    <d v="2026-09-19T00:00:00"/>
    <n v="1200"/>
    <n v="46145.19"/>
    <n v="0"/>
    <s v="AR for Invoice AR-INV-7204"/>
    <x v="2"/>
    <s v="Assets"/>
    <n v="46145.19"/>
    <x v="3"/>
    <d v="2026-09-01T00:00:00"/>
  </r>
  <r>
    <s v="GL-816"/>
    <d v="2026-09-19T00:00:00"/>
    <n v="4010"/>
    <n v="0"/>
    <n v="46145.19"/>
    <s v="Sales for Invoice AR-INV-7204"/>
    <x v="3"/>
    <s v="Revenue"/>
    <n v="-46145.19"/>
    <x v="3"/>
    <d v="2026-09-01T00:00:00"/>
  </r>
  <r>
    <s v="GL-1583"/>
    <d v="2026-09-21T00:00:00"/>
    <n v="1200"/>
    <n v="41916.720000000001"/>
    <n v="0"/>
    <s v="AR for Invoice AR-INV-7396"/>
    <x v="2"/>
    <s v="Assets"/>
    <n v="41916.720000000001"/>
    <x v="3"/>
    <d v="2026-09-01T00:00:00"/>
  </r>
  <r>
    <s v="GL-1584"/>
    <d v="2026-09-21T00:00:00"/>
    <n v="4010"/>
    <n v="0"/>
    <n v="41916.720000000001"/>
    <s v="Sales for Invoice AR-INV-7396"/>
    <x v="3"/>
    <s v="Revenue"/>
    <n v="-41916.720000000001"/>
    <x v="3"/>
    <d v="2026-09-01T00:00:00"/>
  </r>
  <r>
    <s v="GL-497"/>
    <d v="2026-09-21T00:00:00"/>
    <n v="5010"/>
    <n v="5029.54"/>
    <n v="0"/>
    <s v="COGS for Invoice AP-INV-5125"/>
    <x v="0"/>
    <s v="Expenses"/>
    <n v="5029.54"/>
    <x v="3"/>
    <d v="2026-09-01T00:00:00"/>
  </r>
  <r>
    <s v="GL-498"/>
    <d v="2026-09-21T00:00:00"/>
    <n v="2010"/>
    <n v="0"/>
    <n v="5029.54"/>
    <s v="AP for Invoice AP-INV-5125"/>
    <x v="1"/>
    <s v="Liabilities"/>
    <n v="-5029.54"/>
    <x v="3"/>
    <d v="2026-09-01T00:00:00"/>
  </r>
  <r>
    <s v="GL-819"/>
    <d v="2026-09-21T00:00:00"/>
    <n v="1200"/>
    <n v="17676.5"/>
    <n v="0"/>
    <s v="AR for Invoice AR-INV-7205"/>
    <x v="2"/>
    <s v="Assets"/>
    <n v="17676.5"/>
    <x v="3"/>
    <d v="2026-09-01T00:00:00"/>
  </r>
  <r>
    <s v="GL-820"/>
    <d v="2026-09-21T00:00:00"/>
    <n v="4010"/>
    <n v="0"/>
    <n v="17676.5"/>
    <s v="Sales for Invoice AR-INV-7205"/>
    <x v="3"/>
    <s v="Revenue"/>
    <n v="-17676.5"/>
    <x v="3"/>
    <d v="2026-09-01T00:00:00"/>
  </r>
  <r>
    <s v="GL-275"/>
    <d v="2026-09-23T00:00:00"/>
    <n v="1200"/>
    <n v="39302.76"/>
    <n v="0"/>
    <s v="AR for Invoice AR-INV-7069"/>
    <x v="2"/>
    <s v="Assets"/>
    <n v="39302.76"/>
    <x v="3"/>
    <d v="2026-09-01T00:00:00"/>
  </r>
  <r>
    <s v="GL-276"/>
    <d v="2026-09-23T00:00:00"/>
    <n v="4010"/>
    <n v="0"/>
    <n v="39302.76"/>
    <s v="Sales for Invoice AR-INV-7069"/>
    <x v="3"/>
    <s v="Revenue"/>
    <n v="-39302.76"/>
    <x v="3"/>
    <d v="2026-09-01T00:00:00"/>
  </r>
  <r>
    <s v="GL-1755"/>
    <d v="2026-09-25T00:00:00"/>
    <n v="1200"/>
    <n v="46058.8"/>
    <n v="0"/>
    <s v="AR for Invoice AR-INV-7439"/>
    <x v="2"/>
    <s v="Assets"/>
    <n v="46058.8"/>
    <x v="3"/>
    <d v="2026-09-01T00:00:00"/>
  </r>
  <r>
    <s v="GL-1756"/>
    <d v="2026-09-25T00:00:00"/>
    <n v="4010"/>
    <n v="0"/>
    <n v="46058.8"/>
    <s v="Sales for Invoice AR-INV-7439"/>
    <x v="3"/>
    <s v="Revenue"/>
    <n v="-46058.8"/>
    <x v="3"/>
    <d v="2026-09-01T00:00:00"/>
  </r>
  <r>
    <s v="GL-1883"/>
    <d v="2026-09-28T00:00:00"/>
    <n v="1200"/>
    <n v="26314.63"/>
    <n v="0"/>
    <s v="AR for Invoice AR-INV-7471"/>
    <x v="2"/>
    <s v="Assets"/>
    <n v="26314.63"/>
    <x v="3"/>
    <d v="2026-09-01T00:00:00"/>
  </r>
  <r>
    <s v="GL-1884"/>
    <d v="2026-09-28T00:00:00"/>
    <n v="4010"/>
    <n v="0"/>
    <n v="26314.63"/>
    <s v="Sales for Invoice AR-INV-7471"/>
    <x v="3"/>
    <s v="Revenue"/>
    <n v="-26314.63"/>
    <x v="3"/>
    <d v="2026-09-01T00:00:00"/>
  </r>
  <r>
    <s v="GL-1513"/>
    <d v="2026-09-29T00:00:00"/>
    <n v="5010"/>
    <n v="11640.44"/>
    <n v="0"/>
    <s v="COGS for Invoice AP-INV-5379"/>
    <x v="0"/>
    <s v="Expenses"/>
    <n v="11640.44"/>
    <x v="3"/>
    <d v="2026-09-01T00:00:00"/>
  </r>
  <r>
    <s v="GL-1514"/>
    <d v="2026-09-29T00:00:00"/>
    <n v="2010"/>
    <n v="0"/>
    <n v="11640.44"/>
    <s v="AP for Invoice AP-INV-5379"/>
    <x v="1"/>
    <s v="Liabilities"/>
    <n v="-11640.44"/>
    <x v="3"/>
    <d v="2026-09-01T00:00:00"/>
  </r>
  <r>
    <s v="GL-1653"/>
    <d v="2026-09-30T00:00:00"/>
    <n v="5010"/>
    <n v="11675.13"/>
    <n v="0"/>
    <s v="COGS for Invoice AP-INV-5414"/>
    <x v="0"/>
    <s v="Expenses"/>
    <n v="11675.13"/>
    <x v="3"/>
    <d v="2026-09-01T00:00:00"/>
  </r>
  <r>
    <s v="GL-1654"/>
    <d v="2026-09-30T00:00:00"/>
    <n v="2010"/>
    <n v="0"/>
    <n v="11675.13"/>
    <s v="AP for Invoice AP-INV-5414"/>
    <x v="1"/>
    <s v="Liabilities"/>
    <n v="-11675.13"/>
    <x v="3"/>
    <d v="2026-09-01T00:00:00"/>
  </r>
  <r>
    <s v="GL-1389"/>
    <d v="2026-10-01T00:00:00"/>
    <n v="5010"/>
    <n v="2645.48"/>
    <n v="0"/>
    <s v="COGS for Invoice AP-INV-5348"/>
    <x v="0"/>
    <s v="Expenses"/>
    <n v="2645.48"/>
    <x v="3"/>
    <d v="2026-10-01T00:00:00"/>
  </r>
  <r>
    <s v="GL-1390"/>
    <d v="2026-10-01T00:00:00"/>
    <n v="2010"/>
    <n v="0"/>
    <n v="2645.48"/>
    <s v="AP for Invoice AP-INV-5348"/>
    <x v="1"/>
    <s v="Liabilities"/>
    <n v="-2645.48"/>
    <x v="3"/>
    <d v="2026-10-01T00:00:00"/>
  </r>
  <r>
    <s v="GL-1845"/>
    <d v="2026-10-01T00:00:00"/>
    <n v="5010"/>
    <n v="12627.04"/>
    <n v="0"/>
    <s v="COGS for Invoice AP-INV-5462"/>
    <x v="0"/>
    <s v="Expenses"/>
    <n v="12627.04"/>
    <x v="3"/>
    <d v="2026-10-01T00:00:00"/>
  </r>
  <r>
    <s v="GL-1846"/>
    <d v="2026-10-01T00:00:00"/>
    <n v="2010"/>
    <n v="0"/>
    <n v="12627.04"/>
    <s v="AP for Invoice AP-INV-5462"/>
    <x v="1"/>
    <s v="Liabilities"/>
    <n v="-12627.04"/>
    <x v="3"/>
    <d v="2026-10-01T00:00:00"/>
  </r>
  <r>
    <s v="GL-785"/>
    <d v="2026-10-01T00:00:00"/>
    <n v="5010"/>
    <n v="16381.13"/>
    <n v="0"/>
    <s v="COGS for Invoice AP-INV-5197"/>
    <x v="0"/>
    <s v="Expenses"/>
    <n v="16381.13"/>
    <x v="3"/>
    <d v="2026-10-01T00:00:00"/>
  </r>
  <r>
    <s v="GL-786"/>
    <d v="2026-10-01T00:00:00"/>
    <n v="2010"/>
    <n v="0"/>
    <n v="16381.13"/>
    <s v="AP for Invoice AP-INV-5197"/>
    <x v="1"/>
    <s v="Liabilities"/>
    <n v="-16381.13"/>
    <x v="3"/>
    <d v="2026-10-01T00:00:00"/>
  </r>
  <r>
    <s v="GL-41"/>
    <d v="2026-10-02T00:00:00"/>
    <n v="5010"/>
    <n v="9358.0499999999993"/>
    <n v="0"/>
    <s v="COGS for Invoice AP-INV-5011"/>
    <x v="0"/>
    <s v="Expenses"/>
    <n v="9358.0499999999993"/>
    <x v="3"/>
    <d v="2026-10-01T00:00:00"/>
  </r>
  <r>
    <s v="GL-42"/>
    <d v="2026-10-02T00:00:00"/>
    <n v="2010"/>
    <n v="0"/>
    <n v="9358.0499999999993"/>
    <s v="AP for Invoice AP-INV-5011"/>
    <x v="1"/>
    <s v="Liabilities"/>
    <n v="-9358.0499999999993"/>
    <x v="3"/>
    <d v="2026-10-01T00:00:00"/>
  </r>
  <r>
    <s v="GL-45"/>
    <d v="2026-10-03T00:00:00"/>
    <n v="5010"/>
    <n v="3413.43"/>
    <n v="0"/>
    <s v="COGS for Invoice AP-INV-5012"/>
    <x v="0"/>
    <s v="Expenses"/>
    <n v="3413.43"/>
    <x v="3"/>
    <d v="2026-10-01T00:00:00"/>
  </r>
  <r>
    <s v="GL-46"/>
    <d v="2026-10-03T00:00:00"/>
    <n v="2010"/>
    <n v="0"/>
    <n v="3413.43"/>
    <s v="AP for Invoice AP-INV-5012"/>
    <x v="1"/>
    <s v="Liabilities"/>
    <n v="-3413.43"/>
    <x v="3"/>
    <d v="2026-10-01T00:00:00"/>
  </r>
  <r>
    <s v="GL-587"/>
    <d v="2026-10-03T00:00:00"/>
    <n v="1200"/>
    <n v="15255.78"/>
    <n v="0"/>
    <s v="AR for Invoice AR-INV-7147"/>
    <x v="2"/>
    <s v="Assets"/>
    <n v="15255.78"/>
    <x v="3"/>
    <d v="2026-10-01T00:00:00"/>
  </r>
  <r>
    <s v="GL-588"/>
    <d v="2026-10-03T00:00:00"/>
    <n v="4010"/>
    <n v="0"/>
    <n v="15255.78"/>
    <s v="Sales for Invoice AR-INV-7147"/>
    <x v="3"/>
    <s v="Revenue"/>
    <n v="-15255.78"/>
    <x v="3"/>
    <d v="2026-10-01T00:00:00"/>
  </r>
  <r>
    <s v="GL-599"/>
    <d v="2026-10-03T00:00:00"/>
    <n v="1200"/>
    <n v="10305.86"/>
    <n v="0"/>
    <s v="AR for Invoice AR-INV-7150"/>
    <x v="2"/>
    <s v="Assets"/>
    <n v="10305.86"/>
    <x v="3"/>
    <d v="2026-10-01T00:00:00"/>
  </r>
  <r>
    <s v="GL-600"/>
    <d v="2026-10-03T00:00:00"/>
    <n v="4010"/>
    <n v="0"/>
    <n v="10305.86"/>
    <s v="Sales for Invoice AR-INV-7150"/>
    <x v="3"/>
    <s v="Revenue"/>
    <n v="-10305.86"/>
    <x v="3"/>
    <d v="2026-10-01T00:00:00"/>
  </r>
  <r>
    <s v="GL-1221"/>
    <d v="2026-10-04T00:00:00"/>
    <n v="5010"/>
    <n v="2201.91"/>
    <n v="0"/>
    <s v="COGS for Invoice AP-INV-5306"/>
    <x v="0"/>
    <s v="Expenses"/>
    <n v="2201.91"/>
    <x v="3"/>
    <d v="2026-10-01T00:00:00"/>
  </r>
  <r>
    <s v="GL-1222"/>
    <d v="2026-10-04T00:00:00"/>
    <n v="2010"/>
    <n v="0"/>
    <n v="2201.91"/>
    <s v="AP for Invoice AP-INV-5306"/>
    <x v="1"/>
    <s v="Liabilities"/>
    <n v="-2201.91"/>
    <x v="3"/>
    <d v="2026-10-01T00:00:00"/>
  </r>
  <r>
    <s v="GL-1683"/>
    <d v="2026-10-05T00:00:00"/>
    <n v="1200"/>
    <n v="29124.45"/>
    <n v="0"/>
    <s v="AR for Invoice AR-INV-7421"/>
    <x v="2"/>
    <s v="Assets"/>
    <n v="29124.45"/>
    <x v="3"/>
    <d v="2026-10-01T00:00:00"/>
  </r>
  <r>
    <s v="GL-1684"/>
    <d v="2026-10-05T00:00:00"/>
    <n v="4010"/>
    <n v="0"/>
    <n v="29124.45"/>
    <s v="Sales for Invoice AR-INV-7421"/>
    <x v="3"/>
    <s v="Revenue"/>
    <n v="-29124.45"/>
    <x v="3"/>
    <d v="2026-10-01T00:00:00"/>
  </r>
  <r>
    <s v="GL-1741"/>
    <d v="2026-10-05T00:00:00"/>
    <n v="5010"/>
    <n v="18432.560000000001"/>
    <n v="0"/>
    <s v="COGS for Invoice AP-INV-5436"/>
    <x v="0"/>
    <s v="Expenses"/>
    <n v="18432.560000000001"/>
    <x v="3"/>
    <d v="2026-10-01T00:00:00"/>
  </r>
  <r>
    <s v="GL-1742"/>
    <d v="2026-10-05T00:00:00"/>
    <n v="2010"/>
    <n v="0"/>
    <n v="18432.560000000001"/>
    <s v="AP for Invoice AP-INV-5436"/>
    <x v="1"/>
    <s v="Liabilities"/>
    <n v="-18432.560000000001"/>
    <x v="3"/>
    <d v="2026-10-01T00:00:00"/>
  </r>
  <r>
    <s v="GL-997"/>
    <d v="2026-10-05T00:00:00"/>
    <n v="5010"/>
    <n v="8770.2999999999993"/>
    <n v="0"/>
    <s v="COGS for Invoice AP-INV-5250"/>
    <x v="0"/>
    <s v="Expenses"/>
    <n v="8770.2999999999993"/>
    <x v="3"/>
    <d v="2026-10-01T00:00:00"/>
  </r>
  <r>
    <s v="GL-998"/>
    <d v="2026-10-05T00:00:00"/>
    <n v="2010"/>
    <n v="0"/>
    <n v="8770.2999999999993"/>
    <s v="AP for Invoice AP-INV-5250"/>
    <x v="1"/>
    <s v="Liabilities"/>
    <n v="-8770.2999999999993"/>
    <x v="3"/>
    <d v="2026-10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3C03B-089B-4245-8B86-F8CB7E10789C}" name="ptReceivablesByCustomer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4:S11" firstHeaderRow="1" firstDataRow="2" firstDataCol="1"/>
  <pivotFields count="1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x="3"/>
        <item x="1"/>
        <item x="0"/>
        <item x="2"/>
        <item x="4"/>
      </items>
    </pivotField>
    <pivotField compact="0" outline="0" showAll="0" defaultSubtotal="0"/>
    <pivotField dataField="1" compact="0" outline="0" showAll="0" defaultSubtotal="0"/>
    <pivotField axis="axisCol" compact="0" outline="0" showAll="0" defaultSubtotal="0">
      <items count="4">
        <item m="1" x="3"/>
        <item x="2"/>
        <item x="1"/>
        <item x="0"/>
      </items>
    </pivotField>
  </pivotFields>
  <rowFields count="1">
    <field x="6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4">
    <i>
      <x v="1"/>
    </i>
    <i>
      <x v="2"/>
    </i>
    <i>
      <x v="3"/>
    </i>
    <i t="grand">
      <x/>
    </i>
  </colItems>
  <dataFields count="1">
    <dataField name="Sum of OutstandingAmount" fld="8" baseField="0" baseItem="0"/>
  </dataFields>
  <formats count="2">
    <format dxfId="1">
      <pivotArea outline="0" fieldPosition="0">
        <references count="1">
          <reference field="9" count="3" selected="0">
            <x v="1"/>
            <x v="2"/>
            <x v="3"/>
          </reference>
        </references>
      </pivotArea>
    </format>
    <format dxfId="0">
      <pivotArea grandCol="1"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E3B97-E434-4FA9-8246-E6A82432551E}" name="ptPayablesByVendor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4:L12" firstHeaderRow="1" firstDataRow="2" firstDataCol="1"/>
  <pivotFields count="1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0"/>
        <item x="5"/>
        <item x="4"/>
        <item x="3"/>
        <item x="2"/>
        <item x="1"/>
        <item m="1" x="6"/>
      </items>
    </pivotField>
    <pivotField compact="0" outline="0" showAll="0" defaultSubtotal="0"/>
    <pivotField dataField="1" compact="0" outline="0" showAll="0" defaultSubtotal="0"/>
    <pivotField axis="axisCol" compact="0" outline="0" showAll="0" defaultSubtotal="0">
      <items count="4">
        <item m="1" x="3"/>
        <item x="2"/>
        <item x="1"/>
        <item x="0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4">
    <i>
      <x v="1"/>
    </i>
    <i>
      <x v="2"/>
    </i>
    <i>
      <x v="3"/>
    </i>
    <i t="grand">
      <x/>
    </i>
  </colItems>
  <dataFields count="1">
    <dataField name="Sum of OutstandingAmount" fld="8" baseField="0" baseItem="0"/>
  </dataFields>
  <formats count="2">
    <format dxfId="3">
      <pivotArea outline="0" fieldPosition="0">
        <references count="1">
          <reference field="9" count="3" selected="0">
            <x v="1"/>
            <x v="2"/>
            <x v="3"/>
          </reference>
        </references>
      </pivotArea>
    </format>
    <format dxfId="2">
      <pivotArea grandCol="1"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D9576-699D-413E-8E50-52AAB3994C20}" name="ptLedgerByAccountYear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0" firstHeaderRow="1" firstDataRow="2" firstDataCol="1"/>
  <pivotFields count="11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x="1"/>
        <item x="2"/>
        <item x="0"/>
        <item x="3"/>
      </items>
    </pivotField>
    <pivotField compact="0" outline="0" showAll="0" defaultSubtotal="0"/>
    <pivotField dataField="1" compact="0" outline="0" showAll="0" defaultSubtotal="0"/>
    <pivotField axis="axisCol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</pivotFields>
  <rowFields count="1">
    <field x="6"/>
  </rowFields>
  <rowItems count="5">
    <i>
      <x v="1"/>
    </i>
    <i>
      <x v="2"/>
    </i>
    <i>
      <x v="3"/>
    </i>
    <i>
      <x v="4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Amount" fld="8" baseField="0" baseItem="0" numFmtId="40"/>
  </dataFields>
  <formats count="1">
    <format dxfId="4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6FB9D7-639B-4EF3-B91C-45161C3AE8C8}" name="tblGL" displayName="tblGL" ref="A1:K2001" totalsRowShown="0">
  <autoFilter ref="A1:K2001" xr:uid="{746FB9D7-639B-4EF3-B91C-45161C3AE8C8}"/>
  <tableColumns count="11">
    <tableColumn id="1" xr3:uid="{4CE41917-4529-4907-91AF-ACC38C3DCF8B}" name="JournalID"/>
    <tableColumn id="2" xr3:uid="{B1B288F3-2C1D-47D1-A86F-8C04E9F1ED2C}" name="Date" dataDxfId="55"/>
    <tableColumn id="3" xr3:uid="{D9C4AACD-4B57-41DB-9280-2D89649FC527}" name="Account"/>
    <tableColumn id="4" xr3:uid="{9FD3540C-1FA6-4415-BCA4-FDBE5785F6F3}" name="Debit" dataDxfId="54"/>
    <tableColumn id="5" xr3:uid="{5E735B40-1D93-4494-988F-6119D58B67F6}" name="Credit" dataDxfId="53"/>
    <tableColumn id="6" xr3:uid="{221A0CA4-B3AD-4B26-B7AE-348F5B9B04C5}" name="Description"/>
    <tableColumn id="7" xr3:uid="{56F84E97-35B8-4BA4-A2D8-C8AE06D94EB5}" name="AccountName" dataDxfId="52">
      <calculatedColumnFormula>_xlfn.XLOOKUP(C2,tblCOA[AccountNo],tblCOA[AccountName],"Unmapped")</calculatedColumnFormula>
    </tableColumn>
    <tableColumn id="8" xr3:uid="{8B911CD2-AB21-4D3E-B0E3-83A90DC23469}" name="Category" dataDxfId="51">
      <calculatedColumnFormula>_xlfn.XLOOKUP(C2,tblCOA[AccountNo],tblCOA[Category],"Unmapped")</calculatedColumnFormula>
    </tableColumn>
    <tableColumn id="9" xr3:uid="{6F257F8E-94CD-4B1D-BBE0-40E14461BE22}" name="NetAmount" dataDxfId="50">
      <calculatedColumnFormula>D2-E2</calculatedColumnFormula>
    </tableColumn>
    <tableColumn id="10" xr3:uid="{64E5A344-43BE-4790-A5E3-5F7BA41D1086}" name="FiscalYear" dataDxfId="49">
      <calculatedColumnFormula>YEAR(B2)</calculatedColumnFormula>
    </tableColumn>
    <tableColumn id="11" xr3:uid="{07A0F80A-B2D6-4C57-86EA-DC4513E2AB5A}" name="Month" dataDxfId="48">
      <calculatedColumnFormula>DATE(YEAR(B2),MONTH(B2),1)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64AEAB-0E45-47DD-BAA6-245E69C13DAE}" name="tblCOA" displayName="tblCOA" ref="A1:C16" totalsRowShown="0">
  <autoFilter ref="A1:C16" xr:uid="{D664AEAB-0E45-47DD-BAA6-245E69C13DAE}"/>
  <tableColumns count="3">
    <tableColumn id="1" xr3:uid="{76FABCBD-5B95-415D-97C4-F937058DCC30}" name="AccountNo"/>
    <tableColumn id="2" xr3:uid="{ADC69E3D-9A95-4327-A843-BADD438506CD}" name="AccountName"/>
    <tableColumn id="3" xr3:uid="{EC372970-FC9E-4C5C-BB03-F7F1296E1797}" name="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D38A20-F568-4AB9-9FFB-F9E014C6906D}" name="tblAP" displayName="tblAP" ref="A1:J501" totalsRowShown="0">
  <autoFilter ref="A1:J501" xr:uid="{6BD38A20-F568-4AB9-9FFB-F9E014C6906D}"/>
  <tableColumns count="10">
    <tableColumn id="1" xr3:uid="{DAC9A77B-6B1E-4A89-9D62-4E7635A71FF9}" name="InvoiceID"/>
    <tableColumn id="2" xr3:uid="{4F935EEA-A271-4696-9F07-F8E262577A13}" name="VendorID"/>
    <tableColumn id="3" xr3:uid="{8E3F2675-601B-44CA-ABC7-66F120E5B164}" name="InvoiceDate" dataDxfId="45"/>
    <tableColumn id="4" xr3:uid="{3328B919-7974-4DAC-B4E7-FA86E990FC5D}" name="DueDate" dataDxfId="44"/>
    <tableColumn id="5" xr3:uid="{0FB533BA-86EC-46A9-9476-D94C44D5C423}" name="InvoiceAmount" dataDxfId="43"/>
    <tableColumn id="6" xr3:uid="{FB75387A-C16E-449F-A61C-30001D8A7F44}" name="Status"/>
    <tableColumn id="7" xr3:uid="{843A44CA-1160-4802-BBA7-D271EBE154FC}" name="VendorName" dataDxfId="42">
      <calculatedColumnFormula>_xlfn.XLOOKUP(B2,tblVendors[VendorID],tblVendors[VendorName],"Unmapped")</calculatedColumnFormula>
    </tableColumn>
    <tableColumn id="8" xr3:uid="{27FE8279-A8A5-4C74-A63B-BF4BE416476E}" name="DaysToDue" dataDxfId="41">
      <calculatedColumnFormula>D2-C2</calculatedColumnFormula>
    </tableColumn>
    <tableColumn id="9" xr3:uid="{AA7952E1-2BB2-409C-A238-7E9B8EFA47B5}" name="OutstandingAmount" dataDxfId="40">
      <calculatedColumnFormula>IF(F2="Unpaid",E2,0)</calculatedColumnFormula>
    </tableColumn>
    <tableColumn id="10" xr3:uid="{F18902BC-B01C-40A7-B126-0EEF1F73E458}" name="DueStatus" dataDxfId="39">
      <calculatedColumnFormula>IF(F2="Paid","Paid",IF(D2&lt;TODAY(),"Overdue","Open"))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C15B3E-037D-49C6-8327-6E27C4259C71}" name="tblVendors" displayName="tblVendors" ref="A1:B7" totalsRowShown="0">
  <autoFilter ref="A1:B7" xr:uid="{38C15B3E-037D-49C6-8327-6E27C4259C71}"/>
  <tableColumns count="2">
    <tableColumn id="1" xr3:uid="{40233665-55B7-4602-934E-9290EAC78A61}" name="VendorID"/>
    <tableColumn id="2" xr3:uid="{7E86D514-30E0-4B22-97EE-12715D5EFF8C}" name="VendorNam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CD7E2BB-DB5D-4C0A-AD80-E528E27EE568}" name="tblAR" displayName="tblAR" ref="A1:J501" totalsRowShown="0">
  <autoFilter ref="A1:J501" xr:uid="{6CD7E2BB-DB5D-4C0A-AD80-E528E27EE568}"/>
  <tableColumns count="10">
    <tableColumn id="1" xr3:uid="{2AAFCE8D-0C50-4484-96AE-6F89B251AC08}" name="InvoiceID"/>
    <tableColumn id="2" xr3:uid="{84BAC5E9-BBC4-4989-8C38-1E865C052D5B}" name="CustomerID"/>
    <tableColumn id="3" xr3:uid="{2C9B94D5-D401-49D2-A3FF-0BDFFA7DB10E}" name="InvoiceDate" dataDxfId="36"/>
    <tableColumn id="4" xr3:uid="{B1B6DBFF-353C-40BD-8588-BE1B39F7AD0D}" name="DueDate" dataDxfId="35"/>
    <tableColumn id="5" xr3:uid="{9B9CD50C-3ED8-42F4-9672-4E49336C152E}" name="InvoiceAmount" dataDxfId="34"/>
    <tableColumn id="6" xr3:uid="{CFE9C127-4DAF-4155-9203-6F0F2803F3B8}" name="Status"/>
    <tableColumn id="7" xr3:uid="{64D595FA-36EB-404F-9B3C-4B4D276C745C}" name="CustomerName" dataDxfId="33">
      <calculatedColumnFormula>_xlfn.XLOOKUP(B2,tblCustomers[CustomerID],tblCustomers[CustomerName],"Unmapped")</calculatedColumnFormula>
    </tableColumn>
    <tableColumn id="8" xr3:uid="{8B8BC330-686E-4306-9153-F56AA5783ADE}" name="DaysToDue" dataDxfId="32">
      <calculatedColumnFormula>D2-C2</calculatedColumnFormula>
    </tableColumn>
    <tableColumn id="9" xr3:uid="{5DFB18E0-9084-4E83-BBD2-46272FB333AC}" name="OutstandingAmount" dataDxfId="31">
      <calculatedColumnFormula>IF(F2="Unpaid",E2,0)</calculatedColumnFormula>
    </tableColumn>
    <tableColumn id="10" xr3:uid="{4B9A2C22-C375-4AD1-A417-8CD235450439}" name="DueStatus" dataDxfId="30">
      <calculatedColumnFormula>IF(F2="Paid","Paid",IF(D2&lt;TODAY(),"Overdue","Open"))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FAD121-9DF8-4640-BFC0-603D0387BE60}" name="tblCustomers" displayName="tblCustomers" ref="A1:B6" totalsRowShown="0">
  <autoFilter ref="A1:B6" xr:uid="{15FAD121-9DF8-4640-BFC0-603D0387BE60}"/>
  <tableColumns count="2">
    <tableColumn id="1" xr3:uid="{5A018FC8-F344-4CC3-B3D8-E01B7082C353}" name="CustomerID"/>
    <tableColumn id="2" xr3:uid="{6B90ED8A-CC0E-483A-A220-05ACBCA38E3F}" name="CustomerNam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597F4E-656E-4B1E-A9B8-AF5FA9691AA0}" name="tblBudgets" displayName="tblBudgets" ref="A1:D7" totalsRowShown="0">
  <autoFilter ref="A1:D7" xr:uid="{01597F4E-656E-4B1E-A9B8-AF5FA9691AA0}"/>
  <tableColumns count="4">
    <tableColumn id="1" xr3:uid="{55AF0068-B11B-45F0-BC4B-35D7BC9BF61D}" name="BudgetID"/>
    <tableColumn id="2" xr3:uid="{3B7173F3-E5B7-49AC-AE11-D6B8A94CA9BB}" name="Department"/>
    <tableColumn id="3" xr3:uid="{E36075E5-6FB6-4606-9A2F-93F36C7D1751}" name="FiscalYear"/>
    <tableColumn id="4" xr3:uid="{14C2F41A-BBBD-4F08-A756-989D45ACDA22}" name="BudgetAm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C2CC98A-D745-4240-AFCB-D90FBED86712}" name="tblForecasts" displayName="tblForecasts" ref="A1:K7" totalsRowShown="0">
  <autoFilter ref="A1:K7" xr:uid="{FC2CC98A-D745-4240-AFCB-D90FBED86712}"/>
  <tableColumns count="11">
    <tableColumn id="1" xr3:uid="{FBB6B2CC-CB15-4C42-83DD-C3EDB962DCA4}" name="ForecastID"/>
    <tableColumn id="2" xr3:uid="{16AF9AAC-417E-4C34-903A-CCD0D80A1C8A}" name="Department"/>
    <tableColumn id="3" xr3:uid="{8281B3E2-EB38-4D79-B4D5-7B0D1E2D7920}" name="FiscalYear"/>
    <tableColumn id="4" xr3:uid="{AD277EE7-E2C8-413A-95AB-6FD61048D77C}" name="Q1_Forecast" dataDxfId="27"/>
    <tableColumn id="5" xr3:uid="{51BA7F47-7B58-4E39-9F64-F95EAEC8B13B}" name="Q2_Forecast" dataDxfId="26"/>
    <tableColumn id="6" xr3:uid="{D6662872-CBDF-42F5-ADE2-54B966746374}" name="Q3_Forecast" dataDxfId="25"/>
    <tableColumn id="7" xr3:uid="{F8799FEF-F13D-446F-BD82-963DF88927A3}" name="Q4_Forecast" dataDxfId="24"/>
    <tableColumn id="8" xr3:uid="{EDC5F852-E2D3-46B5-8CB9-747CBFDAB2B6}" name="TotalForecast" dataDxfId="23">
      <calculatedColumnFormula>SUM(D2:G2)</calculatedColumnFormula>
    </tableColumn>
    <tableColumn id="9" xr3:uid="{94512608-1058-4052-9A4B-3BC66352EB75}" name="AnnualBudget" dataDxfId="22">
      <calculatedColumnFormula>SUMIFS(tblBudgets[BudgetAmount],tblBudgets[Department],B2,tblBudgets[FiscalYear],C2)</calculatedColumnFormula>
    </tableColumn>
    <tableColumn id="10" xr3:uid="{B0ECF495-641D-4911-A003-DB8E8BFA0B18}" name="Variance" dataDxfId="21">
      <calculatedColumnFormula>H2-I2</calculatedColumnFormula>
    </tableColumn>
    <tableColumn id="11" xr3:uid="{A228EC63-D60D-42C0-A414-82E9E334293A}" name="VariancePct" dataDxfId="20">
      <calculatedColumnFormula>IFERROR(J2/I2,0)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0ABC55-6863-43B7-A649-B2555370670E}" name="tblStatements" displayName="tblStatements" ref="A1:B4" totalsRowShown="0">
  <autoFilter ref="A1:B4" xr:uid="{890ABC55-6863-43B7-A649-B2555370670E}"/>
  <tableColumns count="2">
    <tableColumn id="1" xr3:uid="{D8821DDD-C7D5-4640-96A7-694689B30774}" name="StatementLine"/>
    <tableColumn id="2" xr3:uid="{74A3452D-241B-4992-A9A5-4AFFCBF0BFA4}" name="Amount" dataDxfId="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331243-8D42-4F6D-9ADF-CA8983216AB3}" name="tblAssets" displayName="tblAssets" ref="A1:I51" totalsRowShown="0">
  <autoFilter ref="A1:I51" xr:uid="{B5331243-8D42-4F6D-9ADF-CA8983216AB3}"/>
  <tableColumns count="9">
    <tableColumn id="1" xr3:uid="{6D2BCA91-AD5D-43E5-AD6F-0CBFD1EA74D5}" name="AssetID"/>
    <tableColumn id="2" xr3:uid="{4FB317EC-376D-4A69-892F-72EBA99AD39A}" name="AssetName"/>
    <tableColumn id="3" xr3:uid="{65EFFF51-5542-4207-9FA4-9760ABA45E69}" name="PurchaseDate" dataDxfId="17"/>
    <tableColumn id="4" xr3:uid="{C0B5453D-4664-48F4-9875-ECE3BAAA1C75}" name="Cost" dataDxfId="16"/>
    <tableColumn id="5" xr3:uid="{21260B53-D619-4CDC-86AE-53BA0FBF2BFA}" name="UsefulLife_Years"/>
    <tableColumn id="6" xr3:uid="{7B262826-B922-4358-8060-C1DEF0E1DE37}" name="Department"/>
    <tableColumn id="7" xr3:uid="{4ECDF18A-CDCE-4020-8AF7-31D12F25888B}" name="AnnualDepreciation" dataDxfId="15">
      <calculatedColumnFormula>D2/E2</calculatedColumnFormula>
    </tableColumn>
    <tableColumn id="8" xr3:uid="{8BD9C242-03BD-451F-91E1-E115B0543258}" name="EndOfUsefulLife" dataDxfId="14">
      <calculatedColumnFormula>EDATE(C2,12*E2)</calculatedColumnFormula>
    </tableColumn>
    <tableColumn id="9" xr3:uid="{5ED139DE-E006-4A54-95D9-0D38BC10C918}" name="AssetStatus" dataDxfId="13">
      <calculatedColumnFormula>IF(H2&lt;TODAY(),"Fully Depreciated","Active")</calculatedColumnFormula>
    </tableColumn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5BA8468-2EE3-4D69-ABB2-6E6BA8411200}" name="tblDep" displayName="tblDep" ref="A1:F373" totalsRowShown="0">
  <autoFilter ref="A1:F373" xr:uid="{75BA8468-2EE3-4D69-ABB2-6E6BA8411200}"/>
  <tableColumns count="6">
    <tableColumn id="1" xr3:uid="{128C7300-3099-4E5B-ABEE-6119AC1F0375}" name="DepreciationID"/>
    <tableColumn id="2" xr3:uid="{3D0F49D5-498E-4577-99A7-084BA0D1A84C}" name="AssetID"/>
    <tableColumn id="3" xr3:uid="{7DB1A89B-6B28-4F69-9D56-F1E919E14ECA}" name="Year"/>
    <tableColumn id="4" xr3:uid="{B2393A38-4C5A-4145-B683-5527B93092AC}" name="DepreciationAmount" dataDxfId="12"/>
    <tableColumn id="5" xr3:uid="{6157ADB3-D36C-4626-BF1E-A98C6665A88E}" name="AssetName" dataDxfId="11">
      <calculatedColumnFormula>_xlfn.XLOOKUP(B2,tblAssets[AssetID],tblAssets[AssetName],"Unmapped")</calculatedColumnFormula>
    </tableColumn>
    <tableColumn id="6" xr3:uid="{8968491B-3B39-4F36-BBA4-72BC23A8341C}" name="Department" dataDxfId="10">
      <calculatedColumnFormula>_xlfn.XLOOKUP(B2,tblAssets[AssetID],tblAssets[Department],"Unmapped")</calculatedColumnFormula>
    </tableColumn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77CEDFB-1534-47E7-902D-81DBEF1C2876}" name="tblPayroll" displayName="tblPayroll" ref="A1:F101" totalsRowShown="0">
  <autoFilter ref="A1:F101" xr:uid="{C77CEDFB-1534-47E7-902D-81DBEF1C2876}"/>
  <tableColumns count="6">
    <tableColumn id="1" xr3:uid="{01026C93-500D-479A-96C8-772115A87490}" name="EmployeeID"/>
    <tableColumn id="2" xr3:uid="{AF7DB53F-FF80-4C9B-8BAC-3D1CB7008147}" name="PayDate" dataDxfId="9"/>
    <tableColumn id="3" xr3:uid="{12A3249B-E053-41B8-9D63-1798EF1A3B33}" name="GrossPay" dataDxfId="8"/>
    <tableColumn id="4" xr3:uid="{37613457-D8D3-411F-9F33-AB0CA4407271}" name="Taxes" dataDxfId="7"/>
    <tableColumn id="5" xr3:uid="{3C355FDC-3CA0-456B-BCA2-E9565CB356C7}" name="NetPay" dataDxfId="6"/>
    <tableColumn id="6" xr3:uid="{EFBF6F82-808A-49D5-A29E-43C9B16DFA78}" name="EffectiveTaxRate" dataDxfId="5">
      <calculatedColumnFormula>IFERROR(D2/C2,0)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opLeftCell="B1" workbookViewId="0">
      <pane ySplit="1" topLeftCell="A2" activePane="bottomLeft" state="frozen"/>
      <selection pane="bottomLeft" activeCell="I16" sqref="I16"/>
    </sheetView>
  </sheetViews>
  <sheetFormatPr defaultRowHeight="15.75" x14ac:dyDescent="0.25"/>
  <cols>
    <col min="1" max="1" width="8.75" bestFit="1" customWidth="1"/>
    <col min="2" max="2" width="10.125" bestFit="1" customWidth="1"/>
    <col min="3" max="3" width="7.75" bestFit="1" customWidth="1"/>
    <col min="4" max="5" width="8.875" bestFit="1" customWidth="1"/>
    <col min="6" max="6" width="31.75" customWidth="1"/>
    <col min="7" max="7" width="18.125" bestFit="1" customWidth="1"/>
    <col min="8" max="11" width="12.125" bestFit="1" customWidth="1"/>
  </cols>
  <sheetData>
    <row r="1" spans="1:11" x14ac:dyDescent="0.25">
      <c r="A1" t="s">
        <v>0</v>
      </c>
      <c r="B1" s="3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4007</v>
      </c>
      <c r="H1" t="s">
        <v>4008</v>
      </c>
      <c r="I1" s="4" t="s">
        <v>5678</v>
      </c>
      <c r="J1" t="s">
        <v>5064</v>
      </c>
      <c r="K1" s="5" t="s">
        <v>5679</v>
      </c>
    </row>
    <row r="2" spans="1:11" x14ac:dyDescent="0.25">
      <c r="A2" t="s">
        <v>478</v>
      </c>
      <c r="B2" s="3">
        <v>44927</v>
      </c>
      <c r="C2">
        <v>5010</v>
      </c>
      <c r="D2" s="1">
        <v>1058.55</v>
      </c>
      <c r="E2" s="1">
        <v>0</v>
      </c>
      <c r="F2" t="s">
        <v>479</v>
      </c>
      <c r="G2" t="str">
        <f>_xlfn.XLOOKUP(C2,tblCOA[AccountNo],tblCOA[AccountName],"Unmapped")</f>
        <v>Cost of Goods Sold</v>
      </c>
      <c r="H2" t="str">
        <f>_xlfn.XLOOKUP(C2,tblCOA[AccountNo],tblCOA[Category],"Unmapped")</f>
        <v>Expenses</v>
      </c>
      <c r="I2" s="4">
        <f t="shared" ref="I2:I65" si="0">D2-E2</f>
        <v>1058.55</v>
      </c>
      <c r="J2">
        <f t="shared" ref="J2:J65" si="1">YEAR(B2)</f>
        <v>2023</v>
      </c>
      <c r="K2" s="5">
        <f t="shared" ref="K2:K65" si="2">DATE(YEAR(B2),MONTH(B2),1)</f>
        <v>44927</v>
      </c>
    </row>
    <row r="3" spans="1:11" x14ac:dyDescent="0.25">
      <c r="A3" t="s">
        <v>480</v>
      </c>
      <c r="B3" s="3">
        <v>44927</v>
      </c>
      <c r="C3">
        <v>2010</v>
      </c>
      <c r="D3" s="1">
        <v>0</v>
      </c>
      <c r="E3" s="1">
        <v>1058.55</v>
      </c>
      <c r="F3" t="s">
        <v>481</v>
      </c>
      <c r="G3" t="str">
        <f>_xlfn.XLOOKUP(C3,tblCOA[AccountNo],tblCOA[AccountName],"Unmapped")</f>
        <v>Accounts Payable</v>
      </c>
      <c r="H3" t="str">
        <f>_xlfn.XLOOKUP(C3,tblCOA[AccountNo],tblCOA[Category],"Unmapped")</f>
        <v>Liabilities</v>
      </c>
      <c r="I3" s="4">
        <f t="shared" si="0"/>
        <v>-1058.55</v>
      </c>
      <c r="J3">
        <f t="shared" si="1"/>
        <v>2023</v>
      </c>
      <c r="K3" s="5">
        <f t="shared" si="2"/>
        <v>44927</v>
      </c>
    </row>
    <row r="4" spans="1:11" x14ac:dyDescent="0.25">
      <c r="A4" t="s">
        <v>2834</v>
      </c>
      <c r="B4" s="3">
        <v>44929</v>
      </c>
      <c r="C4">
        <v>1200</v>
      </c>
      <c r="D4" s="1">
        <v>21065.42</v>
      </c>
      <c r="E4" s="1">
        <v>0</v>
      </c>
      <c r="F4" t="s">
        <v>2835</v>
      </c>
      <c r="G4" t="str">
        <f>_xlfn.XLOOKUP(C4,tblCOA[AccountNo],tblCOA[AccountName],"Unmapped")</f>
        <v>Accounts Receivable</v>
      </c>
      <c r="H4" t="str">
        <f>_xlfn.XLOOKUP(C4,tblCOA[AccountNo],tblCOA[Category],"Unmapped")</f>
        <v>Assets</v>
      </c>
      <c r="I4" s="4">
        <f t="shared" si="0"/>
        <v>21065.42</v>
      </c>
      <c r="J4">
        <f t="shared" si="1"/>
        <v>2023</v>
      </c>
      <c r="K4" s="5">
        <f t="shared" si="2"/>
        <v>44927</v>
      </c>
    </row>
    <row r="5" spans="1:11" x14ac:dyDescent="0.25">
      <c r="A5" t="s">
        <v>2836</v>
      </c>
      <c r="B5" s="3">
        <v>44929</v>
      </c>
      <c r="C5">
        <v>4010</v>
      </c>
      <c r="D5" s="1">
        <v>0</v>
      </c>
      <c r="E5" s="1">
        <v>21065.42</v>
      </c>
      <c r="F5" t="s">
        <v>2837</v>
      </c>
      <c r="G5" t="str">
        <f>_xlfn.XLOOKUP(C5,tblCOA[AccountNo],tblCOA[AccountName],"Unmapped")</f>
        <v>Product Sales</v>
      </c>
      <c r="H5" t="str">
        <f>_xlfn.XLOOKUP(C5,tblCOA[AccountNo],tblCOA[Category],"Unmapped")</f>
        <v>Revenue</v>
      </c>
      <c r="I5" s="4">
        <f t="shared" si="0"/>
        <v>-21065.42</v>
      </c>
      <c r="J5">
        <f t="shared" si="1"/>
        <v>2023</v>
      </c>
      <c r="K5" s="5">
        <f t="shared" si="2"/>
        <v>44927</v>
      </c>
    </row>
    <row r="6" spans="1:11" x14ac:dyDescent="0.25">
      <c r="A6" t="s">
        <v>1390</v>
      </c>
      <c r="B6" s="3">
        <v>44931</v>
      </c>
      <c r="C6">
        <v>5010</v>
      </c>
      <c r="D6" s="1">
        <v>13354.74</v>
      </c>
      <c r="E6" s="1">
        <v>0</v>
      </c>
      <c r="F6" t="s">
        <v>1391</v>
      </c>
      <c r="G6" t="str">
        <f>_xlfn.XLOOKUP(C6,tblCOA[AccountNo],tblCOA[AccountName],"Unmapped")</f>
        <v>Cost of Goods Sold</v>
      </c>
      <c r="H6" t="str">
        <f>_xlfn.XLOOKUP(C6,tblCOA[AccountNo],tblCOA[Category],"Unmapped")</f>
        <v>Expenses</v>
      </c>
      <c r="I6" s="4">
        <f t="shared" si="0"/>
        <v>13354.74</v>
      </c>
      <c r="J6">
        <f t="shared" si="1"/>
        <v>2023</v>
      </c>
      <c r="K6" s="5">
        <f t="shared" si="2"/>
        <v>44927</v>
      </c>
    </row>
    <row r="7" spans="1:11" x14ac:dyDescent="0.25">
      <c r="A7" t="s">
        <v>1392</v>
      </c>
      <c r="B7" s="3">
        <v>44931</v>
      </c>
      <c r="C7">
        <v>2010</v>
      </c>
      <c r="D7" s="1">
        <v>0</v>
      </c>
      <c r="E7" s="1">
        <v>13354.74</v>
      </c>
      <c r="F7" t="s">
        <v>1393</v>
      </c>
      <c r="G7" t="str">
        <f>_xlfn.XLOOKUP(C7,tblCOA[AccountNo],tblCOA[AccountName],"Unmapped")</f>
        <v>Accounts Payable</v>
      </c>
      <c r="H7" t="str">
        <f>_xlfn.XLOOKUP(C7,tblCOA[AccountNo],tblCOA[Category],"Unmapped")</f>
        <v>Liabilities</v>
      </c>
      <c r="I7" s="4">
        <f t="shared" si="0"/>
        <v>-13354.74</v>
      </c>
      <c r="J7">
        <f t="shared" si="1"/>
        <v>2023</v>
      </c>
      <c r="K7" s="5">
        <f t="shared" si="2"/>
        <v>44927</v>
      </c>
    </row>
    <row r="8" spans="1:11" x14ac:dyDescent="0.25">
      <c r="A8" t="s">
        <v>2810</v>
      </c>
      <c r="B8" s="3">
        <v>44934</v>
      </c>
      <c r="C8">
        <v>1200</v>
      </c>
      <c r="D8" s="1">
        <v>30481.4</v>
      </c>
      <c r="E8" s="1">
        <v>0</v>
      </c>
      <c r="F8" t="s">
        <v>2811</v>
      </c>
      <c r="G8" t="str">
        <f>_xlfn.XLOOKUP(C8,tblCOA[AccountNo],tblCOA[AccountName],"Unmapped")</f>
        <v>Accounts Receivable</v>
      </c>
      <c r="H8" t="str">
        <f>_xlfn.XLOOKUP(C8,tblCOA[AccountNo],tblCOA[Category],"Unmapped")</f>
        <v>Assets</v>
      </c>
      <c r="I8" s="4">
        <f t="shared" si="0"/>
        <v>30481.4</v>
      </c>
      <c r="J8">
        <f t="shared" si="1"/>
        <v>2023</v>
      </c>
      <c r="K8" s="5">
        <f t="shared" si="2"/>
        <v>44927</v>
      </c>
    </row>
    <row r="9" spans="1:11" x14ac:dyDescent="0.25">
      <c r="A9" t="s">
        <v>2812</v>
      </c>
      <c r="B9" s="3">
        <v>44934</v>
      </c>
      <c r="C9">
        <v>4010</v>
      </c>
      <c r="D9" s="1">
        <v>0</v>
      </c>
      <c r="E9" s="1">
        <v>30481.4</v>
      </c>
      <c r="F9" t="s">
        <v>2813</v>
      </c>
      <c r="G9" t="str">
        <f>_xlfn.XLOOKUP(C9,tblCOA[AccountNo],tblCOA[AccountName],"Unmapped")</f>
        <v>Product Sales</v>
      </c>
      <c r="H9" t="str">
        <f>_xlfn.XLOOKUP(C9,tblCOA[AccountNo],tblCOA[Category],"Unmapped")</f>
        <v>Revenue</v>
      </c>
      <c r="I9" s="4">
        <f t="shared" si="0"/>
        <v>-30481.4</v>
      </c>
      <c r="J9">
        <f t="shared" si="1"/>
        <v>2023</v>
      </c>
      <c r="K9" s="5">
        <f t="shared" si="2"/>
        <v>44927</v>
      </c>
    </row>
    <row r="10" spans="1:11" x14ac:dyDescent="0.25">
      <c r="A10" t="s">
        <v>802</v>
      </c>
      <c r="B10" s="3">
        <v>44940</v>
      </c>
      <c r="C10">
        <v>1200</v>
      </c>
      <c r="D10" s="1">
        <v>7656.71</v>
      </c>
      <c r="E10" s="1">
        <v>0</v>
      </c>
      <c r="F10" t="s">
        <v>803</v>
      </c>
      <c r="G10" t="str">
        <f>_xlfn.XLOOKUP(C10,tblCOA[AccountNo],tblCOA[AccountName],"Unmapped")</f>
        <v>Accounts Receivable</v>
      </c>
      <c r="H10" t="str">
        <f>_xlfn.XLOOKUP(C10,tblCOA[AccountNo],tblCOA[Category],"Unmapped")</f>
        <v>Assets</v>
      </c>
      <c r="I10" s="4">
        <f t="shared" si="0"/>
        <v>7656.71</v>
      </c>
      <c r="J10">
        <f t="shared" si="1"/>
        <v>2023</v>
      </c>
      <c r="K10" s="5">
        <f t="shared" si="2"/>
        <v>44927</v>
      </c>
    </row>
    <row r="11" spans="1:11" x14ac:dyDescent="0.25">
      <c r="A11" t="s">
        <v>804</v>
      </c>
      <c r="B11" s="3">
        <v>44940</v>
      </c>
      <c r="C11">
        <v>4010</v>
      </c>
      <c r="D11" s="1">
        <v>0</v>
      </c>
      <c r="E11" s="1">
        <v>7656.71</v>
      </c>
      <c r="F11" t="s">
        <v>805</v>
      </c>
      <c r="G11" t="str">
        <f>_xlfn.XLOOKUP(C11,tblCOA[AccountNo],tblCOA[AccountName],"Unmapped")</f>
        <v>Product Sales</v>
      </c>
      <c r="H11" t="str">
        <f>_xlfn.XLOOKUP(C11,tblCOA[AccountNo],tblCOA[Category],"Unmapped")</f>
        <v>Revenue</v>
      </c>
      <c r="I11" s="4">
        <f t="shared" si="0"/>
        <v>-7656.71</v>
      </c>
      <c r="J11">
        <f t="shared" si="1"/>
        <v>2023</v>
      </c>
      <c r="K11" s="5">
        <f t="shared" si="2"/>
        <v>44927</v>
      </c>
    </row>
    <row r="12" spans="1:11" x14ac:dyDescent="0.25">
      <c r="A12" t="s">
        <v>1742</v>
      </c>
      <c r="B12" s="3">
        <v>44941</v>
      </c>
      <c r="C12">
        <v>5010</v>
      </c>
      <c r="D12" s="1">
        <v>3675.59</v>
      </c>
      <c r="E12" s="1">
        <v>0</v>
      </c>
      <c r="F12" t="s">
        <v>1743</v>
      </c>
      <c r="G12" t="str">
        <f>_xlfn.XLOOKUP(C12,tblCOA[AccountNo],tblCOA[AccountName],"Unmapped")</f>
        <v>Cost of Goods Sold</v>
      </c>
      <c r="H12" t="str">
        <f>_xlfn.XLOOKUP(C12,tblCOA[AccountNo],tblCOA[Category],"Unmapped")</f>
        <v>Expenses</v>
      </c>
      <c r="I12" s="4">
        <f t="shared" si="0"/>
        <v>3675.59</v>
      </c>
      <c r="J12">
        <f t="shared" si="1"/>
        <v>2023</v>
      </c>
      <c r="K12" s="5">
        <f t="shared" si="2"/>
        <v>44927</v>
      </c>
    </row>
    <row r="13" spans="1:11" x14ac:dyDescent="0.25">
      <c r="A13" t="s">
        <v>1744</v>
      </c>
      <c r="B13" s="3">
        <v>44941</v>
      </c>
      <c r="C13">
        <v>2010</v>
      </c>
      <c r="D13" s="1">
        <v>0</v>
      </c>
      <c r="E13" s="1">
        <v>3675.59</v>
      </c>
      <c r="F13" t="s">
        <v>1745</v>
      </c>
      <c r="G13" t="str">
        <f>_xlfn.XLOOKUP(C13,tblCOA[AccountNo],tblCOA[AccountName],"Unmapped")</f>
        <v>Accounts Payable</v>
      </c>
      <c r="H13" t="str">
        <f>_xlfn.XLOOKUP(C13,tblCOA[AccountNo],tblCOA[Category],"Unmapped")</f>
        <v>Liabilities</v>
      </c>
      <c r="I13" s="4">
        <f t="shared" si="0"/>
        <v>-3675.59</v>
      </c>
      <c r="J13">
        <f t="shared" si="1"/>
        <v>2023</v>
      </c>
      <c r="K13" s="5">
        <f t="shared" si="2"/>
        <v>44927</v>
      </c>
    </row>
    <row r="14" spans="1:11" x14ac:dyDescent="0.25">
      <c r="A14" t="s">
        <v>3918</v>
      </c>
      <c r="B14" s="3">
        <v>44942</v>
      </c>
      <c r="C14">
        <v>5010</v>
      </c>
      <c r="D14" s="1">
        <v>19483.96</v>
      </c>
      <c r="E14" s="1">
        <v>0</v>
      </c>
      <c r="F14" t="s">
        <v>3919</v>
      </c>
      <c r="G14" t="str">
        <f>_xlfn.XLOOKUP(C14,tblCOA[AccountNo],tblCOA[AccountName],"Unmapped")</f>
        <v>Cost of Goods Sold</v>
      </c>
      <c r="H14" t="str">
        <f>_xlfn.XLOOKUP(C14,tblCOA[AccountNo],tblCOA[Category],"Unmapped")</f>
        <v>Expenses</v>
      </c>
      <c r="I14" s="4">
        <f t="shared" si="0"/>
        <v>19483.96</v>
      </c>
      <c r="J14">
        <f t="shared" si="1"/>
        <v>2023</v>
      </c>
      <c r="K14" s="5">
        <f t="shared" si="2"/>
        <v>44927</v>
      </c>
    </row>
    <row r="15" spans="1:11" x14ac:dyDescent="0.25">
      <c r="A15" t="s">
        <v>3920</v>
      </c>
      <c r="B15" s="3">
        <v>44942</v>
      </c>
      <c r="C15">
        <v>2010</v>
      </c>
      <c r="D15" s="1">
        <v>0</v>
      </c>
      <c r="E15" s="1">
        <v>19483.96</v>
      </c>
      <c r="F15" t="s">
        <v>3921</v>
      </c>
      <c r="G15" t="str">
        <f>_xlfn.XLOOKUP(C15,tblCOA[AccountNo],tblCOA[AccountName],"Unmapped")</f>
        <v>Accounts Payable</v>
      </c>
      <c r="H15" t="str">
        <f>_xlfn.XLOOKUP(C15,tblCOA[AccountNo],tblCOA[Category],"Unmapped")</f>
        <v>Liabilities</v>
      </c>
      <c r="I15" s="4">
        <f t="shared" si="0"/>
        <v>-19483.96</v>
      </c>
      <c r="J15">
        <f t="shared" si="1"/>
        <v>2023</v>
      </c>
      <c r="K15" s="5">
        <f t="shared" si="2"/>
        <v>44927</v>
      </c>
    </row>
    <row r="16" spans="1:11" x14ac:dyDescent="0.25">
      <c r="A16" t="s">
        <v>2754</v>
      </c>
      <c r="B16" s="3">
        <v>44943</v>
      </c>
      <c r="C16">
        <v>1200</v>
      </c>
      <c r="D16" s="1">
        <v>17667.78</v>
      </c>
      <c r="E16" s="1">
        <v>0</v>
      </c>
      <c r="F16" t="s">
        <v>2755</v>
      </c>
      <c r="G16" t="str">
        <f>_xlfn.XLOOKUP(C16,tblCOA[AccountNo],tblCOA[AccountName],"Unmapped")</f>
        <v>Accounts Receivable</v>
      </c>
      <c r="H16" t="str">
        <f>_xlfn.XLOOKUP(C16,tblCOA[AccountNo],tblCOA[Category],"Unmapped")</f>
        <v>Assets</v>
      </c>
      <c r="I16" s="4">
        <f t="shared" si="0"/>
        <v>17667.78</v>
      </c>
      <c r="J16">
        <f t="shared" si="1"/>
        <v>2023</v>
      </c>
      <c r="K16" s="5">
        <f t="shared" si="2"/>
        <v>44927</v>
      </c>
    </row>
    <row r="17" spans="1:11" x14ac:dyDescent="0.25">
      <c r="A17" t="s">
        <v>2756</v>
      </c>
      <c r="B17" s="3">
        <v>44943</v>
      </c>
      <c r="C17">
        <v>4010</v>
      </c>
      <c r="D17" s="1">
        <v>0</v>
      </c>
      <c r="E17" s="1">
        <v>17667.78</v>
      </c>
      <c r="F17" t="s">
        <v>2757</v>
      </c>
      <c r="G17" t="str">
        <f>_xlfn.XLOOKUP(C17,tblCOA[AccountNo],tblCOA[AccountName],"Unmapped")</f>
        <v>Product Sales</v>
      </c>
      <c r="H17" t="str">
        <f>_xlfn.XLOOKUP(C17,tblCOA[AccountNo],tblCOA[Category],"Unmapped")</f>
        <v>Revenue</v>
      </c>
      <c r="I17" s="4">
        <f t="shared" si="0"/>
        <v>-17667.78</v>
      </c>
      <c r="J17">
        <f t="shared" si="1"/>
        <v>2023</v>
      </c>
      <c r="K17" s="5">
        <f t="shared" si="2"/>
        <v>44927</v>
      </c>
    </row>
    <row r="18" spans="1:11" x14ac:dyDescent="0.25">
      <c r="A18" t="s">
        <v>910</v>
      </c>
      <c r="B18" s="3">
        <v>44943</v>
      </c>
      <c r="C18">
        <v>5010</v>
      </c>
      <c r="D18" s="1">
        <v>1983.3</v>
      </c>
      <c r="E18" s="1">
        <v>0</v>
      </c>
      <c r="F18" t="s">
        <v>911</v>
      </c>
      <c r="G18" t="str">
        <f>_xlfn.XLOOKUP(C18,tblCOA[AccountNo],tblCOA[AccountName],"Unmapped")</f>
        <v>Cost of Goods Sold</v>
      </c>
      <c r="H18" t="str">
        <f>_xlfn.XLOOKUP(C18,tblCOA[AccountNo],tblCOA[Category],"Unmapped")</f>
        <v>Expenses</v>
      </c>
      <c r="I18" s="4">
        <f t="shared" si="0"/>
        <v>1983.3</v>
      </c>
      <c r="J18">
        <f t="shared" si="1"/>
        <v>2023</v>
      </c>
      <c r="K18" s="5">
        <f t="shared" si="2"/>
        <v>44927</v>
      </c>
    </row>
    <row r="19" spans="1:11" x14ac:dyDescent="0.25">
      <c r="A19" t="s">
        <v>912</v>
      </c>
      <c r="B19" s="3">
        <v>44943</v>
      </c>
      <c r="C19">
        <v>2010</v>
      </c>
      <c r="D19" s="1">
        <v>0</v>
      </c>
      <c r="E19" s="1">
        <v>1983.3</v>
      </c>
      <c r="F19" t="s">
        <v>913</v>
      </c>
      <c r="G19" t="str">
        <f>_xlfn.XLOOKUP(C19,tblCOA[AccountNo],tblCOA[AccountName],"Unmapped")</f>
        <v>Accounts Payable</v>
      </c>
      <c r="H19" t="str">
        <f>_xlfn.XLOOKUP(C19,tblCOA[AccountNo],tblCOA[Category],"Unmapped")</f>
        <v>Liabilities</v>
      </c>
      <c r="I19" s="4">
        <f t="shared" si="0"/>
        <v>-1983.3</v>
      </c>
      <c r="J19">
        <f t="shared" si="1"/>
        <v>2023</v>
      </c>
      <c r="K19" s="5">
        <f t="shared" si="2"/>
        <v>44927</v>
      </c>
    </row>
    <row r="20" spans="1:11" x14ac:dyDescent="0.25">
      <c r="A20" t="s">
        <v>2750</v>
      </c>
      <c r="B20" s="3">
        <v>44945</v>
      </c>
      <c r="C20">
        <v>5010</v>
      </c>
      <c r="D20" s="1">
        <v>8486.36</v>
      </c>
      <c r="E20" s="1">
        <v>0</v>
      </c>
      <c r="F20" t="s">
        <v>2751</v>
      </c>
      <c r="G20" t="str">
        <f>_xlfn.XLOOKUP(C20,tblCOA[AccountNo],tblCOA[AccountName],"Unmapped")</f>
        <v>Cost of Goods Sold</v>
      </c>
      <c r="H20" t="str">
        <f>_xlfn.XLOOKUP(C20,tblCOA[AccountNo],tblCOA[Category],"Unmapped")</f>
        <v>Expenses</v>
      </c>
      <c r="I20" s="4">
        <f t="shared" si="0"/>
        <v>8486.36</v>
      </c>
      <c r="J20">
        <f t="shared" si="1"/>
        <v>2023</v>
      </c>
      <c r="K20" s="5">
        <f t="shared" si="2"/>
        <v>44927</v>
      </c>
    </row>
    <row r="21" spans="1:11" x14ac:dyDescent="0.25">
      <c r="A21" t="s">
        <v>2752</v>
      </c>
      <c r="B21" s="3">
        <v>44945</v>
      </c>
      <c r="C21">
        <v>2010</v>
      </c>
      <c r="D21" s="1">
        <v>0</v>
      </c>
      <c r="E21" s="1">
        <v>8486.36</v>
      </c>
      <c r="F21" t="s">
        <v>2753</v>
      </c>
      <c r="G21" t="str">
        <f>_xlfn.XLOOKUP(C21,tblCOA[AccountNo],tblCOA[AccountName],"Unmapped")</f>
        <v>Accounts Payable</v>
      </c>
      <c r="H21" t="str">
        <f>_xlfn.XLOOKUP(C21,tblCOA[AccountNo],tblCOA[Category],"Unmapped")</f>
        <v>Liabilities</v>
      </c>
      <c r="I21" s="4">
        <f t="shared" si="0"/>
        <v>-8486.36</v>
      </c>
      <c r="J21">
        <f t="shared" si="1"/>
        <v>2023</v>
      </c>
      <c r="K21" s="5">
        <f t="shared" si="2"/>
        <v>44927</v>
      </c>
    </row>
    <row r="22" spans="1:11" x14ac:dyDescent="0.25">
      <c r="A22" t="s">
        <v>934</v>
      </c>
      <c r="B22" s="3">
        <v>44946</v>
      </c>
      <c r="C22">
        <v>5010</v>
      </c>
      <c r="D22" s="1">
        <v>16861.39</v>
      </c>
      <c r="E22" s="1">
        <v>0</v>
      </c>
      <c r="F22" t="s">
        <v>935</v>
      </c>
      <c r="G22" t="str">
        <f>_xlfn.XLOOKUP(C22,tblCOA[AccountNo],tblCOA[AccountName],"Unmapped")</f>
        <v>Cost of Goods Sold</v>
      </c>
      <c r="H22" t="str">
        <f>_xlfn.XLOOKUP(C22,tblCOA[AccountNo],tblCOA[Category],"Unmapped")</f>
        <v>Expenses</v>
      </c>
      <c r="I22" s="4">
        <f t="shared" si="0"/>
        <v>16861.39</v>
      </c>
      <c r="J22">
        <f t="shared" si="1"/>
        <v>2023</v>
      </c>
      <c r="K22" s="5">
        <f t="shared" si="2"/>
        <v>44927</v>
      </c>
    </row>
    <row r="23" spans="1:11" x14ac:dyDescent="0.25">
      <c r="A23" t="s">
        <v>936</v>
      </c>
      <c r="B23" s="3">
        <v>44946</v>
      </c>
      <c r="C23">
        <v>2010</v>
      </c>
      <c r="D23" s="1">
        <v>0</v>
      </c>
      <c r="E23" s="1">
        <v>16861.39</v>
      </c>
      <c r="F23" t="s">
        <v>937</v>
      </c>
      <c r="G23" t="str">
        <f>_xlfn.XLOOKUP(C23,tblCOA[AccountNo],tblCOA[AccountName],"Unmapped")</f>
        <v>Accounts Payable</v>
      </c>
      <c r="H23" t="str">
        <f>_xlfn.XLOOKUP(C23,tblCOA[AccountNo],tblCOA[Category],"Unmapped")</f>
        <v>Liabilities</v>
      </c>
      <c r="I23" s="4">
        <f t="shared" si="0"/>
        <v>-16861.39</v>
      </c>
      <c r="J23">
        <f t="shared" si="1"/>
        <v>2023</v>
      </c>
      <c r="K23" s="5">
        <f t="shared" si="2"/>
        <v>44927</v>
      </c>
    </row>
    <row r="24" spans="1:11" x14ac:dyDescent="0.25">
      <c r="A24" t="s">
        <v>2678</v>
      </c>
      <c r="B24" s="3">
        <v>44947</v>
      </c>
      <c r="C24">
        <v>5010</v>
      </c>
      <c r="D24" s="1">
        <v>15098.49</v>
      </c>
      <c r="E24" s="1">
        <v>0</v>
      </c>
      <c r="F24" t="s">
        <v>2679</v>
      </c>
      <c r="G24" t="str">
        <f>_xlfn.XLOOKUP(C24,tblCOA[AccountNo],tblCOA[AccountName],"Unmapped")</f>
        <v>Cost of Goods Sold</v>
      </c>
      <c r="H24" t="str">
        <f>_xlfn.XLOOKUP(C24,tblCOA[AccountNo],tblCOA[Category],"Unmapped")</f>
        <v>Expenses</v>
      </c>
      <c r="I24" s="4">
        <f t="shared" si="0"/>
        <v>15098.49</v>
      </c>
      <c r="J24">
        <f t="shared" si="1"/>
        <v>2023</v>
      </c>
      <c r="K24" s="5">
        <f t="shared" si="2"/>
        <v>44927</v>
      </c>
    </row>
    <row r="25" spans="1:11" x14ac:dyDescent="0.25">
      <c r="A25" t="s">
        <v>2680</v>
      </c>
      <c r="B25" s="3">
        <v>44947</v>
      </c>
      <c r="C25">
        <v>2010</v>
      </c>
      <c r="D25" s="1">
        <v>0</v>
      </c>
      <c r="E25" s="1">
        <v>15098.49</v>
      </c>
      <c r="F25" t="s">
        <v>2681</v>
      </c>
      <c r="G25" t="str">
        <f>_xlfn.XLOOKUP(C25,tblCOA[AccountNo],tblCOA[AccountName],"Unmapped")</f>
        <v>Accounts Payable</v>
      </c>
      <c r="H25" t="str">
        <f>_xlfn.XLOOKUP(C25,tblCOA[AccountNo],tblCOA[Category],"Unmapped")</f>
        <v>Liabilities</v>
      </c>
      <c r="I25" s="4">
        <f t="shared" si="0"/>
        <v>-15098.49</v>
      </c>
      <c r="J25">
        <f t="shared" si="1"/>
        <v>2023</v>
      </c>
      <c r="K25" s="5">
        <f t="shared" si="2"/>
        <v>44927</v>
      </c>
    </row>
    <row r="26" spans="1:11" x14ac:dyDescent="0.25">
      <c r="A26" t="s">
        <v>638</v>
      </c>
      <c r="B26" s="3">
        <v>44947</v>
      </c>
      <c r="C26">
        <v>5010</v>
      </c>
      <c r="D26" s="1">
        <v>7921.86</v>
      </c>
      <c r="E26" s="1">
        <v>0</v>
      </c>
      <c r="F26" t="s">
        <v>639</v>
      </c>
      <c r="G26" t="str">
        <f>_xlfn.XLOOKUP(C26,tblCOA[AccountNo],tblCOA[AccountName],"Unmapped")</f>
        <v>Cost of Goods Sold</v>
      </c>
      <c r="H26" t="str">
        <f>_xlfn.XLOOKUP(C26,tblCOA[AccountNo],tblCOA[Category],"Unmapped")</f>
        <v>Expenses</v>
      </c>
      <c r="I26" s="4">
        <f t="shared" si="0"/>
        <v>7921.86</v>
      </c>
      <c r="J26">
        <f t="shared" si="1"/>
        <v>2023</v>
      </c>
      <c r="K26" s="5">
        <f t="shared" si="2"/>
        <v>44927</v>
      </c>
    </row>
    <row r="27" spans="1:11" x14ac:dyDescent="0.25">
      <c r="A27" t="s">
        <v>640</v>
      </c>
      <c r="B27" s="3">
        <v>44947</v>
      </c>
      <c r="C27">
        <v>2010</v>
      </c>
      <c r="D27" s="1">
        <v>0</v>
      </c>
      <c r="E27" s="1">
        <v>7921.86</v>
      </c>
      <c r="F27" t="s">
        <v>641</v>
      </c>
      <c r="G27" t="str">
        <f>_xlfn.XLOOKUP(C27,tblCOA[AccountNo],tblCOA[AccountName],"Unmapped")</f>
        <v>Accounts Payable</v>
      </c>
      <c r="H27" t="str">
        <f>_xlfn.XLOOKUP(C27,tblCOA[AccountNo],tblCOA[Category],"Unmapped")</f>
        <v>Liabilities</v>
      </c>
      <c r="I27" s="4">
        <f t="shared" si="0"/>
        <v>-7921.86</v>
      </c>
      <c r="J27">
        <f t="shared" si="1"/>
        <v>2023</v>
      </c>
      <c r="K27" s="5">
        <f t="shared" si="2"/>
        <v>44927</v>
      </c>
    </row>
    <row r="28" spans="1:11" x14ac:dyDescent="0.25">
      <c r="A28" t="s">
        <v>18</v>
      </c>
      <c r="B28" s="3">
        <v>44947</v>
      </c>
      <c r="C28">
        <v>1200</v>
      </c>
      <c r="D28" s="1">
        <v>28680.04</v>
      </c>
      <c r="E28" s="1">
        <v>0</v>
      </c>
      <c r="F28" t="s">
        <v>19</v>
      </c>
      <c r="G28" t="str">
        <f>_xlfn.XLOOKUP(C28,tblCOA[AccountNo],tblCOA[AccountName],"Unmapped")</f>
        <v>Accounts Receivable</v>
      </c>
      <c r="H28" t="str">
        <f>_xlfn.XLOOKUP(C28,tblCOA[AccountNo],tblCOA[Category],"Unmapped")</f>
        <v>Assets</v>
      </c>
      <c r="I28" s="4">
        <f t="shared" si="0"/>
        <v>28680.04</v>
      </c>
      <c r="J28">
        <f t="shared" si="1"/>
        <v>2023</v>
      </c>
      <c r="K28" s="5">
        <f t="shared" si="2"/>
        <v>44927</v>
      </c>
    </row>
    <row r="29" spans="1:11" x14ac:dyDescent="0.25">
      <c r="A29" t="s">
        <v>20</v>
      </c>
      <c r="B29" s="3">
        <v>44947</v>
      </c>
      <c r="C29">
        <v>4010</v>
      </c>
      <c r="D29" s="1">
        <v>0</v>
      </c>
      <c r="E29" s="1">
        <v>28680.04</v>
      </c>
      <c r="F29" t="s">
        <v>21</v>
      </c>
      <c r="G29" t="str">
        <f>_xlfn.XLOOKUP(C29,tblCOA[AccountNo],tblCOA[AccountName],"Unmapped")</f>
        <v>Product Sales</v>
      </c>
      <c r="H29" t="str">
        <f>_xlfn.XLOOKUP(C29,tblCOA[AccountNo],tblCOA[Category],"Unmapped")</f>
        <v>Revenue</v>
      </c>
      <c r="I29" s="4">
        <f t="shared" si="0"/>
        <v>-28680.04</v>
      </c>
      <c r="J29">
        <f t="shared" si="1"/>
        <v>2023</v>
      </c>
      <c r="K29" s="5">
        <f t="shared" si="2"/>
        <v>44927</v>
      </c>
    </row>
    <row r="30" spans="1:11" x14ac:dyDescent="0.25">
      <c r="A30" t="s">
        <v>542</v>
      </c>
      <c r="B30" s="3">
        <v>44948</v>
      </c>
      <c r="C30">
        <v>5010</v>
      </c>
      <c r="D30" s="1">
        <v>4687.8500000000004</v>
      </c>
      <c r="E30" s="1">
        <v>0</v>
      </c>
      <c r="F30" t="s">
        <v>543</v>
      </c>
      <c r="G30" t="str">
        <f>_xlfn.XLOOKUP(C30,tblCOA[AccountNo],tblCOA[AccountName],"Unmapped")</f>
        <v>Cost of Goods Sold</v>
      </c>
      <c r="H30" t="str">
        <f>_xlfn.XLOOKUP(C30,tblCOA[AccountNo],tblCOA[Category],"Unmapped")</f>
        <v>Expenses</v>
      </c>
      <c r="I30" s="4">
        <f t="shared" si="0"/>
        <v>4687.8500000000004</v>
      </c>
      <c r="J30">
        <f t="shared" si="1"/>
        <v>2023</v>
      </c>
      <c r="K30" s="5">
        <f t="shared" si="2"/>
        <v>44927</v>
      </c>
    </row>
    <row r="31" spans="1:11" x14ac:dyDescent="0.25">
      <c r="A31" t="s">
        <v>544</v>
      </c>
      <c r="B31" s="3">
        <v>44948</v>
      </c>
      <c r="C31">
        <v>2010</v>
      </c>
      <c r="D31" s="1">
        <v>0</v>
      </c>
      <c r="E31" s="1">
        <v>4687.8500000000004</v>
      </c>
      <c r="F31" t="s">
        <v>545</v>
      </c>
      <c r="G31" t="str">
        <f>_xlfn.XLOOKUP(C31,tblCOA[AccountNo],tblCOA[AccountName],"Unmapped")</f>
        <v>Accounts Payable</v>
      </c>
      <c r="H31" t="str">
        <f>_xlfn.XLOOKUP(C31,tblCOA[AccountNo],tblCOA[Category],"Unmapped")</f>
        <v>Liabilities</v>
      </c>
      <c r="I31" s="4">
        <f t="shared" si="0"/>
        <v>-4687.8500000000004</v>
      </c>
      <c r="J31">
        <f t="shared" si="1"/>
        <v>2023</v>
      </c>
      <c r="K31" s="5">
        <f t="shared" si="2"/>
        <v>44927</v>
      </c>
    </row>
    <row r="32" spans="1:11" x14ac:dyDescent="0.25">
      <c r="A32" t="s">
        <v>1658</v>
      </c>
      <c r="B32" s="3">
        <v>44950</v>
      </c>
      <c r="C32">
        <v>1200</v>
      </c>
      <c r="D32" s="1">
        <v>36291.51</v>
      </c>
      <c r="E32" s="1">
        <v>0</v>
      </c>
      <c r="F32" t="s">
        <v>1659</v>
      </c>
      <c r="G32" t="str">
        <f>_xlfn.XLOOKUP(C32,tblCOA[AccountNo],tblCOA[AccountName],"Unmapped")</f>
        <v>Accounts Receivable</v>
      </c>
      <c r="H32" t="str">
        <f>_xlfn.XLOOKUP(C32,tblCOA[AccountNo],tblCOA[Category],"Unmapped")</f>
        <v>Assets</v>
      </c>
      <c r="I32" s="4">
        <f t="shared" si="0"/>
        <v>36291.51</v>
      </c>
      <c r="J32">
        <f t="shared" si="1"/>
        <v>2023</v>
      </c>
      <c r="K32" s="5">
        <f t="shared" si="2"/>
        <v>44927</v>
      </c>
    </row>
    <row r="33" spans="1:11" x14ac:dyDescent="0.25">
      <c r="A33" t="s">
        <v>1660</v>
      </c>
      <c r="B33" s="3">
        <v>44950</v>
      </c>
      <c r="C33">
        <v>4010</v>
      </c>
      <c r="D33" s="1">
        <v>0</v>
      </c>
      <c r="E33" s="1">
        <v>36291.51</v>
      </c>
      <c r="F33" t="s">
        <v>1661</v>
      </c>
      <c r="G33" t="str">
        <f>_xlfn.XLOOKUP(C33,tblCOA[AccountNo],tblCOA[AccountName],"Unmapped")</f>
        <v>Product Sales</v>
      </c>
      <c r="H33" t="str">
        <f>_xlfn.XLOOKUP(C33,tblCOA[AccountNo],tblCOA[Category],"Unmapped")</f>
        <v>Revenue</v>
      </c>
      <c r="I33" s="4">
        <f t="shared" si="0"/>
        <v>-36291.51</v>
      </c>
      <c r="J33">
        <f t="shared" si="1"/>
        <v>2023</v>
      </c>
      <c r="K33" s="5">
        <f t="shared" si="2"/>
        <v>44927</v>
      </c>
    </row>
    <row r="34" spans="1:11" x14ac:dyDescent="0.25">
      <c r="A34" t="s">
        <v>2894</v>
      </c>
      <c r="B34" s="3">
        <v>44951</v>
      </c>
      <c r="C34">
        <v>5010</v>
      </c>
      <c r="D34" s="1">
        <v>8003.06</v>
      </c>
      <c r="E34" s="1">
        <v>0</v>
      </c>
      <c r="F34" t="s">
        <v>2895</v>
      </c>
      <c r="G34" t="str">
        <f>_xlfn.XLOOKUP(C34,tblCOA[AccountNo],tblCOA[AccountName],"Unmapped")</f>
        <v>Cost of Goods Sold</v>
      </c>
      <c r="H34" t="str">
        <f>_xlfn.XLOOKUP(C34,tblCOA[AccountNo],tblCOA[Category],"Unmapped")</f>
        <v>Expenses</v>
      </c>
      <c r="I34" s="4">
        <f t="shared" si="0"/>
        <v>8003.06</v>
      </c>
      <c r="J34">
        <f t="shared" si="1"/>
        <v>2023</v>
      </c>
      <c r="K34" s="5">
        <f t="shared" si="2"/>
        <v>44927</v>
      </c>
    </row>
    <row r="35" spans="1:11" x14ac:dyDescent="0.25">
      <c r="A35" t="s">
        <v>2896</v>
      </c>
      <c r="B35" s="3">
        <v>44951</v>
      </c>
      <c r="C35">
        <v>2010</v>
      </c>
      <c r="D35" s="1">
        <v>0</v>
      </c>
      <c r="E35" s="1">
        <v>8003.06</v>
      </c>
      <c r="F35" t="s">
        <v>2897</v>
      </c>
      <c r="G35" t="str">
        <f>_xlfn.XLOOKUP(C35,tblCOA[AccountNo],tblCOA[AccountName],"Unmapped")</f>
        <v>Accounts Payable</v>
      </c>
      <c r="H35" t="str">
        <f>_xlfn.XLOOKUP(C35,tblCOA[AccountNo],tblCOA[Category],"Unmapped")</f>
        <v>Liabilities</v>
      </c>
      <c r="I35" s="4">
        <f t="shared" si="0"/>
        <v>-8003.06</v>
      </c>
      <c r="J35">
        <f t="shared" si="1"/>
        <v>2023</v>
      </c>
      <c r="K35" s="5">
        <f t="shared" si="2"/>
        <v>44927</v>
      </c>
    </row>
    <row r="36" spans="1:11" x14ac:dyDescent="0.25">
      <c r="A36" t="s">
        <v>1230</v>
      </c>
      <c r="B36" s="3">
        <v>44951</v>
      </c>
      <c r="C36">
        <v>5010</v>
      </c>
      <c r="D36" s="1">
        <v>3203.42</v>
      </c>
      <c r="E36" s="1">
        <v>0</v>
      </c>
      <c r="F36" t="s">
        <v>1231</v>
      </c>
      <c r="G36" t="str">
        <f>_xlfn.XLOOKUP(C36,tblCOA[AccountNo],tblCOA[AccountName],"Unmapped")</f>
        <v>Cost of Goods Sold</v>
      </c>
      <c r="H36" t="str">
        <f>_xlfn.XLOOKUP(C36,tblCOA[AccountNo],tblCOA[Category],"Unmapped")</f>
        <v>Expenses</v>
      </c>
      <c r="I36" s="4">
        <f t="shared" si="0"/>
        <v>3203.42</v>
      </c>
      <c r="J36">
        <f t="shared" si="1"/>
        <v>2023</v>
      </c>
      <c r="K36" s="5">
        <f t="shared" si="2"/>
        <v>44927</v>
      </c>
    </row>
    <row r="37" spans="1:11" x14ac:dyDescent="0.25">
      <c r="A37" t="s">
        <v>1232</v>
      </c>
      <c r="B37" s="3">
        <v>44951</v>
      </c>
      <c r="C37">
        <v>2010</v>
      </c>
      <c r="D37" s="1">
        <v>0</v>
      </c>
      <c r="E37" s="1">
        <v>3203.42</v>
      </c>
      <c r="F37" t="s">
        <v>1233</v>
      </c>
      <c r="G37" t="str">
        <f>_xlfn.XLOOKUP(C37,tblCOA[AccountNo],tblCOA[AccountName],"Unmapped")</f>
        <v>Accounts Payable</v>
      </c>
      <c r="H37" t="str">
        <f>_xlfn.XLOOKUP(C37,tblCOA[AccountNo],tblCOA[Category],"Unmapped")</f>
        <v>Liabilities</v>
      </c>
      <c r="I37" s="4">
        <f t="shared" si="0"/>
        <v>-3203.42</v>
      </c>
      <c r="J37">
        <f t="shared" si="1"/>
        <v>2023</v>
      </c>
      <c r="K37" s="5">
        <f t="shared" si="2"/>
        <v>44927</v>
      </c>
    </row>
    <row r="38" spans="1:11" x14ac:dyDescent="0.25">
      <c r="A38" t="s">
        <v>1418</v>
      </c>
      <c r="B38" s="3">
        <v>44952</v>
      </c>
      <c r="C38">
        <v>1200</v>
      </c>
      <c r="D38" s="1">
        <v>25665.01</v>
      </c>
      <c r="E38" s="1">
        <v>0</v>
      </c>
      <c r="F38" t="s">
        <v>1419</v>
      </c>
      <c r="G38" t="str">
        <f>_xlfn.XLOOKUP(C38,tblCOA[AccountNo],tblCOA[AccountName],"Unmapped")</f>
        <v>Accounts Receivable</v>
      </c>
      <c r="H38" t="str">
        <f>_xlfn.XLOOKUP(C38,tblCOA[AccountNo],tblCOA[Category],"Unmapped")</f>
        <v>Assets</v>
      </c>
      <c r="I38" s="4">
        <f t="shared" si="0"/>
        <v>25665.01</v>
      </c>
      <c r="J38">
        <f t="shared" si="1"/>
        <v>2023</v>
      </c>
      <c r="K38" s="5">
        <f t="shared" si="2"/>
        <v>44927</v>
      </c>
    </row>
    <row r="39" spans="1:11" x14ac:dyDescent="0.25">
      <c r="A39" t="s">
        <v>1420</v>
      </c>
      <c r="B39" s="3">
        <v>44952</v>
      </c>
      <c r="C39">
        <v>4010</v>
      </c>
      <c r="D39" s="1">
        <v>0</v>
      </c>
      <c r="E39" s="1">
        <v>25665.01</v>
      </c>
      <c r="F39" t="s">
        <v>1421</v>
      </c>
      <c r="G39" t="str">
        <f>_xlfn.XLOOKUP(C39,tblCOA[AccountNo],tblCOA[AccountName],"Unmapped")</f>
        <v>Product Sales</v>
      </c>
      <c r="H39" t="str">
        <f>_xlfn.XLOOKUP(C39,tblCOA[AccountNo],tblCOA[Category],"Unmapped")</f>
        <v>Revenue</v>
      </c>
      <c r="I39" s="4">
        <f t="shared" si="0"/>
        <v>-25665.01</v>
      </c>
      <c r="J39">
        <f t="shared" si="1"/>
        <v>2023</v>
      </c>
      <c r="K39" s="5">
        <f t="shared" si="2"/>
        <v>44927</v>
      </c>
    </row>
    <row r="40" spans="1:11" x14ac:dyDescent="0.25">
      <c r="A40" t="s">
        <v>2426</v>
      </c>
      <c r="B40" s="3">
        <v>44953</v>
      </c>
      <c r="C40">
        <v>1200</v>
      </c>
      <c r="D40" s="1">
        <v>39798.97</v>
      </c>
      <c r="E40" s="1">
        <v>0</v>
      </c>
      <c r="F40" t="s">
        <v>2427</v>
      </c>
      <c r="G40" t="str">
        <f>_xlfn.XLOOKUP(C40,tblCOA[AccountNo],tblCOA[AccountName],"Unmapped")</f>
        <v>Accounts Receivable</v>
      </c>
      <c r="H40" t="str">
        <f>_xlfn.XLOOKUP(C40,tblCOA[AccountNo],tblCOA[Category],"Unmapped")</f>
        <v>Assets</v>
      </c>
      <c r="I40" s="4">
        <f t="shared" si="0"/>
        <v>39798.97</v>
      </c>
      <c r="J40">
        <f t="shared" si="1"/>
        <v>2023</v>
      </c>
      <c r="K40" s="5">
        <f t="shared" si="2"/>
        <v>44927</v>
      </c>
    </row>
    <row r="41" spans="1:11" x14ac:dyDescent="0.25">
      <c r="A41" t="s">
        <v>2428</v>
      </c>
      <c r="B41" s="3">
        <v>44953</v>
      </c>
      <c r="C41">
        <v>4010</v>
      </c>
      <c r="D41" s="1">
        <v>0</v>
      </c>
      <c r="E41" s="1">
        <v>39798.97</v>
      </c>
      <c r="F41" t="s">
        <v>2429</v>
      </c>
      <c r="G41" t="str">
        <f>_xlfn.XLOOKUP(C41,tblCOA[AccountNo],tblCOA[AccountName],"Unmapped")</f>
        <v>Product Sales</v>
      </c>
      <c r="H41" t="str">
        <f>_xlfn.XLOOKUP(C41,tblCOA[AccountNo],tblCOA[Category],"Unmapped")</f>
        <v>Revenue</v>
      </c>
      <c r="I41" s="4">
        <f t="shared" si="0"/>
        <v>-39798.97</v>
      </c>
      <c r="J41">
        <f t="shared" si="1"/>
        <v>2023</v>
      </c>
      <c r="K41" s="5">
        <f t="shared" si="2"/>
        <v>44927</v>
      </c>
    </row>
    <row r="42" spans="1:11" x14ac:dyDescent="0.25">
      <c r="A42" t="s">
        <v>186</v>
      </c>
      <c r="B42" s="3">
        <v>44955</v>
      </c>
      <c r="C42">
        <v>1200</v>
      </c>
      <c r="D42" s="1">
        <v>17826.97</v>
      </c>
      <c r="E42" s="1">
        <v>0</v>
      </c>
      <c r="F42" t="s">
        <v>187</v>
      </c>
      <c r="G42" t="str">
        <f>_xlfn.XLOOKUP(C42,tblCOA[AccountNo],tblCOA[AccountName],"Unmapped")</f>
        <v>Accounts Receivable</v>
      </c>
      <c r="H42" t="str">
        <f>_xlfn.XLOOKUP(C42,tblCOA[AccountNo],tblCOA[Category],"Unmapped")</f>
        <v>Assets</v>
      </c>
      <c r="I42" s="4">
        <f t="shared" si="0"/>
        <v>17826.97</v>
      </c>
      <c r="J42">
        <f t="shared" si="1"/>
        <v>2023</v>
      </c>
      <c r="K42" s="5">
        <f t="shared" si="2"/>
        <v>44927</v>
      </c>
    </row>
    <row r="43" spans="1:11" x14ac:dyDescent="0.25">
      <c r="A43" t="s">
        <v>188</v>
      </c>
      <c r="B43" s="3">
        <v>44955</v>
      </c>
      <c r="C43">
        <v>4010</v>
      </c>
      <c r="D43" s="1">
        <v>0</v>
      </c>
      <c r="E43" s="1">
        <v>17826.97</v>
      </c>
      <c r="F43" t="s">
        <v>189</v>
      </c>
      <c r="G43" t="str">
        <f>_xlfn.XLOOKUP(C43,tblCOA[AccountNo],tblCOA[AccountName],"Unmapped")</f>
        <v>Product Sales</v>
      </c>
      <c r="H43" t="str">
        <f>_xlfn.XLOOKUP(C43,tblCOA[AccountNo],tblCOA[Category],"Unmapped")</f>
        <v>Revenue</v>
      </c>
      <c r="I43" s="4">
        <f t="shared" si="0"/>
        <v>-17826.97</v>
      </c>
      <c r="J43">
        <f t="shared" si="1"/>
        <v>2023</v>
      </c>
      <c r="K43" s="5">
        <f t="shared" si="2"/>
        <v>44927</v>
      </c>
    </row>
    <row r="44" spans="1:11" x14ac:dyDescent="0.25">
      <c r="A44" t="s">
        <v>1598</v>
      </c>
      <c r="B44" s="3">
        <v>44960</v>
      </c>
      <c r="C44">
        <v>5010</v>
      </c>
      <c r="D44" s="1">
        <v>1651.55</v>
      </c>
      <c r="E44" s="1">
        <v>0</v>
      </c>
      <c r="F44" t="s">
        <v>1599</v>
      </c>
      <c r="G44" t="str">
        <f>_xlfn.XLOOKUP(C44,tblCOA[AccountNo],tblCOA[AccountName],"Unmapped")</f>
        <v>Cost of Goods Sold</v>
      </c>
      <c r="H44" t="str">
        <f>_xlfn.XLOOKUP(C44,tblCOA[AccountNo],tblCOA[Category],"Unmapped")</f>
        <v>Expenses</v>
      </c>
      <c r="I44" s="4">
        <f t="shared" si="0"/>
        <v>1651.55</v>
      </c>
      <c r="J44">
        <f t="shared" si="1"/>
        <v>2023</v>
      </c>
      <c r="K44" s="5">
        <f t="shared" si="2"/>
        <v>44958</v>
      </c>
    </row>
    <row r="45" spans="1:11" x14ac:dyDescent="0.25">
      <c r="A45" t="s">
        <v>1600</v>
      </c>
      <c r="B45" s="3">
        <v>44960</v>
      </c>
      <c r="C45">
        <v>2010</v>
      </c>
      <c r="D45" s="1">
        <v>0</v>
      </c>
      <c r="E45" s="1">
        <v>1651.55</v>
      </c>
      <c r="F45" t="s">
        <v>1601</v>
      </c>
      <c r="G45" t="str">
        <f>_xlfn.XLOOKUP(C45,tblCOA[AccountNo],tblCOA[AccountName],"Unmapped")</f>
        <v>Accounts Payable</v>
      </c>
      <c r="H45" t="str">
        <f>_xlfn.XLOOKUP(C45,tblCOA[AccountNo],tblCOA[Category],"Unmapped")</f>
        <v>Liabilities</v>
      </c>
      <c r="I45" s="4">
        <f t="shared" si="0"/>
        <v>-1651.55</v>
      </c>
      <c r="J45">
        <f t="shared" si="1"/>
        <v>2023</v>
      </c>
      <c r="K45" s="5">
        <f t="shared" si="2"/>
        <v>44958</v>
      </c>
    </row>
    <row r="46" spans="1:11" x14ac:dyDescent="0.25">
      <c r="A46" t="s">
        <v>1646</v>
      </c>
      <c r="B46" s="3">
        <v>44960</v>
      </c>
      <c r="C46">
        <v>5010</v>
      </c>
      <c r="D46" s="1">
        <v>17401.39</v>
      </c>
      <c r="E46" s="1">
        <v>0</v>
      </c>
      <c r="F46" t="s">
        <v>1647</v>
      </c>
      <c r="G46" t="str">
        <f>_xlfn.XLOOKUP(C46,tblCOA[AccountNo],tblCOA[AccountName],"Unmapped")</f>
        <v>Cost of Goods Sold</v>
      </c>
      <c r="H46" t="str">
        <f>_xlfn.XLOOKUP(C46,tblCOA[AccountNo],tblCOA[Category],"Unmapped")</f>
        <v>Expenses</v>
      </c>
      <c r="I46" s="4">
        <f t="shared" si="0"/>
        <v>17401.39</v>
      </c>
      <c r="J46">
        <f t="shared" si="1"/>
        <v>2023</v>
      </c>
      <c r="K46" s="5">
        <f t="shared" si="2"/>
        <v>44958</v>
      </c>
    </row>
    <row r="47" spans="1:11" x14ac:dyDescent="0.25">
      <c r="A47" t="s">
        <v>1648</v>
      </c>
      <c r="B47" s="3">
        <v>44960</v>
      </c>
      <c r="C47">
        <v>2010</v>
      </c>
      <c r="D47" s="1">
        <v>0</v>
      </c>
      <c r="E47" s="1">
        <v>17401.39</v>
      </c>
      <c r="F47" t="s">
        <v>1649</v>
      </c>
      <c r="G47" t="str">
        <f>_xlfn.XLOOKUP(C47,tblCOA[AccountNo],tblCOA[AccountName],"Unmapped")</f>
        <v>Accounts Payable</v>
      </c>
      <c r="H47" t="str">
        <f>_xlfn.XLOOKUP(C47,tblCOA[AccountNo],tblCOA[Category],"Unmapped")</f>
        <v>Liabilities</v>
      </c>
      <c r="I47" s="4">
        <f t="shared" si="0"/>
        <v>-17401.39</v>
      </c>
      <c r="J47">
        <f t="shared" si="1"/>
        <v>2023</v>
      </c>
      <c r="K47" s="5">
        <f t="shared" si="2"/>
        <v>44958</v>
      </c>
    </row>
    <row r="48" spans="1:11" x14ac:dyDescent="0.25">
      <c r="A48" t="s">
        <v>110</v>
      </c>
      <c r="B48" s="3">
        <v>44962</v>
      </c>
      <c r="C48">
        <v>5010</v>
      </c>
      <c r="D48" s="1">
        <v>11504.91</v>
      </c>
      <c r="E48" s="1">
        <v>0</v>
      </c>
      <c r="F48" t="s">
        <v>111</v>
      </c>
      <c r="G48" t="str">
        <f>_xlfn.XLOOKUP(C48,tblCOA[AccountNo],tblCOA[AccountName],"Unmapped")</f>
        <v>Cost of Goods Sold</v>
      </c>
      <c r="H48" t="str">
        <f>_xlfn.XLOOKUP(C48,tblCOA[AccountNo],tblCOA[Category],"Unmapped")</f>
        <v>Expenses</v>
      </c>
      <c r="I48" s="4">
        <f t="shared" si="0"/>
        <v>11504.91</v>
      </c>
      <c r="J48">
        <f t="shared" si="1"/>
        <v>2023</v>
      </c>
      <c r="K48" s="5">
        <f t="shared" si="2"/>
        <v>44958</v>
      </c>
    </row>
    <row r="49" spans="1:11" x14ac:dyDescent="0.25">
      <c r="A49" t="s">
        <v>112</v>
      </c>
      <c r="B49" s="3">
        <v>44962</v>
      </c>
      <c r="C49">
        <v>2010</v>
      </c>
      <c r="D49" s="1">
        <v>0</v>
      </c>
      <c r="E49" s="1">
        <v>11504.91</v>
      </c>
      <c r="F49" t="s">
        <v>113</v>
      </c>
      <c r="G49" t="str">
        <f>_xlfn.XLOOKUP(C49,tblCOA[AccountNo],tblCOA[AccountName],"Unmapped")</f>
        <v>Accounts Payable</v>
      </c>
      <c r="H49" t="str">
        <f>_xlfn.XLOOKUP(C49,tblCOA[AccountNo],tblCOA[Category],"Unmapped")</f>
        <v>Liabilities</v>
      </c>
      <c r="I49" s="4">
        <f t="shared" si="0"/>
        <v>-11504.91</v>
      </c>
      <c r="J49">
        <f t="shared" si="1"/>
        <v>2023</v>
      </c>
      <c r="K49" s="5">
        <f t="shared" si="2"/>
        <v>44958</v>
      </c>
    </row>
    <row r="50" spans="1:11" x14ac:dyDescent="0.25">
      <c r="A50" t="s">
        <v>1498</v>
      </c>
      <c r="B50" s="3">
        <v>44962</v>
      </c>
      <c r="C50">
        <v>1200</v>
      </c>
      <c r="D50" s="1">
        <v>33727.589999999997</v>
      </c>
      <c r="E50" s="1">
        <v>0</v>
      </c>
      <c r="F50" t="s">
        <v>1499</v>
      </c>
      <c r="G50" t="str">
        <f>_xlfn.XLOOKUP(C50,tblCOA[AccountNo],tblCOA[AccountName],"Unmapped")</f>
        <v>Accounts Receivable</v>
      </c>
      <c r="H50" t="str">
        <f>_xlfn.XLOOKUP(C50,tblCOA[AccountNo],tblCOA[Category],"Unmapped")</f>
        <v>Assets</v>
      </c>
      <c r="I50" s="4">
        <f t="shared" si="0"/>
        <v>33727.589999999997</v>
      </c>
      <c r="J50">
        <f t="shared" si="1"/>
        <v>2023</v>
      </c>
      <c r="K50" s="5">
        <f t="shared" si="2"/>
        <v>44958</v>
      </c>
    </row>
    <row r="51" spans="1:11" x14ac:dyDescent="0.25">
      <c r="A51" t="s">
        <v>1500</v>
      </c>
      <c r="B51" s="3">
        <v>44962</v>
      </c>
      <c r="C51">
        <v>4010</v>
      </c>
      <c r="D51" s="1">
        <v>0</v>
      </c>
      <c r="E51" s="1">
        <v>33727.589999999997</v>
      </c>
      <c r="F51" t="s">
        <v>1501</v>
      </c>
      <c r="G51" t="str">
        <f>_xlfn.XLOOKUP(C51,tblCOA[AccountNo],tblCOA[AccountName],"Unmapped")</f>
        <v>Product Sales</v>
      </c>
      <c r="H51" t="str">
        <f>_xlfn.XLOOKUP(C51,tblCOA[AccountNo],tblCOA[Category],"Unmapped")</f>
        <v>Revenue</v>
      </c>
      <c r="I51" s="4">
        <f t="shared" si="0"/>
        <v>-33727.589999999997</v>
      </c>
      <c r="J51">
        <f t="shared" si="1"/>
        <v>2023</v>
      </c>
      <c r="K51" s="5">
        <f t="shared" si="2"/>
        <v>44958</v>
      </c>
    </row>
    <row r="52" spans="1:11" x14ac:dyDescent="0.25">
      <c r="A52" t="s">
        <v>2930</v>
      </c>
      <c r="B52" s="3">
        <v>44965</v>
      </c>
      <c r="C52">
        <v>1200</v>
      </c>
      <c r="D52" s="1">
        <v>2970.39</v>
      </c>
      <c r="E52" s="1">
        <v>0</v>
      </c>
      <c r="F52" t="s">
        <v>2931</v>
      </c>
      <c r="G52" t="str">
        <f>_xlfn.XLOOKUP(C52,tblCOA[AccountNo],tblCOA[AccountName],"Unmapped")</f>
        <v>Accounts Receivable</v>
      </c>
      <c r="H52" t="str">
        <f>_xlfn.XLOOKUP(C52,tblCOA[AccountNo],tblCOA[Category],"Unmapped")</f>
        <v>Assets</v>
      </c>
      <c r="I52" s="4">
        <f t="shared" si="0"/>
        <v>2970.39</v>
      </c>
      <c r="J52">
        <f t="shared" si="1"/>
        <v>2023</v>
      </c>
      <c r="K52" s="5">
        <f t="shared" si="2"/>
        <v>44958</v>
      </c>
    </row>
    <row r="53" spans="1:11" x14ac:dyDescent="0.25">
      <c r="A53" t="s">
        <v>2932</v>
      </c>
      <c r="B53" s="3">
        <v>44965</v>
      </c>
      <c r="C53">
        <v>4010</v>
      </c>
      <c r="D53" s="1">
        <v>0</v>
      </c>
      <c r="E53" s="1">
        <v>2970.39</v>
      </c>
      <c r="F53" t="s">
        <v>2933</v>
      </c>
      <c r="G53" t="str">
        <f>_xlfn.XLOOKUP(C53,tblCOA[AccountNo],tblCOA[AccountName],"Unmapped")</f>
        <v>Product Sales</v>
      </c>
      <c r="H53" t="str">
        <f>_xlfn.XLOOKUP(C53,tblCOA[AccountNo],tblCOA[Category],"Unmapped")</f>
        <v>Revenue</v>
      </c>
      <c r="I53" s="4">
        <f t="shared" si="0"/>
        <v>-2970.39</v>
      </c>
      <c r="J53">
        <f t="shared" si="1"/>
        <v>2023</v>
      </c>
      <c r="K53" s="5">
        <f t="shared" si="2"/>
        <v>44958</v>
      </c>
    </row>
    <row r="54" spans="1:11" x14ac:dyDescent="0.25">
      <c r="A54" t="s">
        <v>3526</v>
      </c>
      <c r="B54" s="3">
        <v>44965</v>
      </c>
      <c r="C54">
        <v>5010</v>
      </c>
      <c r="D54" s="1">
        <v>14272.04</v>
      </c>
      <c r="E54" s="1">
        <v>0</v>
      </c>
      <c r="F54" t="s">
        <v>3527</v>
      </c>
      <c r="G54" t="str">
        <f>_xlfn.XLOOKUP(C54,tblCOA[AccountNo],tblCOA[AccountName],"Unmapped")</f>
        <v>Cost of Goods Sold</v>
      </c>
      <c r="H54" t="str">
        <f>_xlfn.XLOOKUP(C54,tblCOA[AccountNo],tblCOA[Category],"Unmapped")</f>
        <v>Expenses</v>
      </c>
      <c r="I54" s="4">
        <f t="shared" si="0"/>
        <v>14272.04</v>
      </c>
      <c r="J54">
        <f t="shared" si="1"/>
        <v>2023</v>
      </c>
      <c r="K54" s="5">
        <f t="shared" si="2"/>
        <v>44958</v>
      </c>
    </row>
    <row r="55" spans="1:11" x14ac:dyDescent="0.25">
      <c r="A55" t="s">
        <v>3528</v>
      </c>
      <c r="B55" s="3">
        <v>44965</v>
      </c>
      <c r="C55">
        <v>2010</v>
      </c>
      <c r="D55" s="1">
        <v>0</v>
      </c>
      <c r="E55" s="1">
        <v>14272.04</v>
      </c>
      <c r="F55" t="s">
        <v>3529</v>
      </c>
      <c r="G55" t="str">
        <f>_xlfn.XLOOKUP(C55,tblCOA[AccountNo],tblCOA[AccountName],"Unmapped")</f>
        <v>Accounts Payable</v>
      </c>
      <c r="H55" t="str">
        <f>_xlfn.XLOOKUP(C55,tblCOA[AccountNo],tblCOA[Category],"Unmapped")</f>
        <v>Liabilities</v>
      </c>
      <c r="I55" s="4">
        <f t="shared" si="0"/>
        <v>-14272.04</v>
      </c>
      <c r="J55">
        <f t="shared" si="1"/>
        <v>2023</v>
      </c>
      <c r="K55" s="5">
        <f t="shared" si="2"/>
        <v>44958</v>
      </c>
    </row>
    <row r="56" spans="1:11" x14ac:dyDescent="0.25">
      <c r="A56" t="s">
        <v>474</v>
      </c>
      <c r="B56" s="3">
        <v>44965</v>
      </c>
      <c r="C56">
        <v>1200</v>
      </c>
      <c r="D56" s="1">
        <v>32901.919999999998</v>
      </c>
      <c r="E56" s="1">
        <v>0</v>
      </c>
      <c r="F56" t="s">
        <v>475</v>
      </c>
      <c r="G56" t="str">
        <f>_xlfn.XLOOKUP(C56,tblCOA[AccountNo],tblCOA[AccountName],"Unmapped")</f>
        <v>Accounts Receivable</v>
      </c>
      <c r="H56" t="str">
        <f>_xlfn.XLOOKUP(C56,tblCOA[AccountNo],tblCOA[Category],"Unmapped")</f>
        <v>Assets</v>
      </c>
      <c r="I56" s="4">
        <f t="shared" si="0"/>
        <v>32901.919999999998</v>
      </c>
      <c r="J56">
        <f t="shared" si="1"/>
        <v>2023</v>
      </c>
      <c r="K56" s="5">
        <f t="shared" si="2"/>
        <v>44958</v>
      </c>
    </row>
    <row r="57" spans="1:11" x14ac:dyDescent="0.25">
      <c r="A57" t="s">
        <v>476</v>
      </c>
      <c r="B57" s="3">
        <v>44965</v>
      </c>
      <c r="C57">
        <v>4010</v>
      </c>
      <c r="D57" s="1">
        <v>0</v>
      </c>
      <c r="E57" s="1">
        <v>32901.919999999998</v>
      </c>
      <c r="F57" t="s">
        <v>477</v>
      </c>
      <c r="G57" t="str">
        <f>_xlfn.XLOOKUP(C57,tblCOA[AccountNo],tblCOA[AccountName],"Unmapped")</f>
        <v>Product Sales</v>
      </c>
      <c r="H57" t="str">
        <f>_xlfn.XLOOKUP(C57,tblCOA[AccountNo],tblCOA[Category],"Unmapped")</f>
        <v>Revenue</v>
      </c>
      <c r="I57" s="4">
        <f t="shared" si="0"/>
        <v>-32901.919999999998</v>
      </c>
      <c r="J57">
        <f t="shared" si="1"/>
        <v>2023</v>
      </c>
      <c r="K57" s="5">
        <f t="shared" si="2"/>
        <v>44958</v>
      </c>
    </row>
    <row r="58" spans="1:11" x14ac:dyDescent="0.25">
      <c r="A58" t="s">
        <v>1310</v>
      </c>
      <c r="B58" s="3">
        <v>44965</v>
      </c>
      <c r="C58">
        <v>5010</v>
      </c>
      <c r="D58" s="1">
        <v>13042.47</v>
      </c>
      <c r="E58" s="1">
        <v>0</v>
      </c>
      <c r="F58" t="s">
        <v>1311</v>
      </c>
      <c r="G58" t="str">
        <f>_xlfn.XLOOKUP(C58,tblCOA[AccountNo],tblCOA[AccountName],"Unmapped")</f>
        <v>Cost of Goods Sold</v>
      </c>
      <c r="H58" t="str">
        <f>_xlfn.XLOOKUP(C58,tblCOA[AccountNo],tblCOA[Category],"Unmapped")</f>
        <v>Expenses</v>
      </c>
      <c r="I58" s="4">
        <f t="shared" si="0"/>
        <v>13042.47</v>
      </c>
      <c r="J58">
        <f t="shared" si="1"/>
        <v>2023</v>
      </c>
      <c r="K58" s="5">
        <f t="shared" si="2"/>
        <v>44958</v>
      </c>
    </row>
    <row r="59" spans="1:11" x14ac:dyDescent="0.25">
      <c r="A59" t="s">
        <v>1312</v>
      </c>
      <c r="B59" s="3">
        <v>44965</v>
      </c>
      <c r="C59">
        <v>2010</v>
      </c>
      <c r="D59" s="1">
        <v>0</v>
      </c>
      <c r="E59" s="1">
        <v>13042.47</v>
      </c>
      <c r="F59" t="s">
        <v>1313</v>
      </c>
      <c r="G59" t="str">
        <f>_xlfn.XLOOKUP(C59,tblCOA[AccountNo],tblCOA[AccountName],"Unmapped")</f>
        <v>Accounts Payable</v>
      </c>
      <c r="H59" t="str">
        <f>_xlfn.XLOOKUP(C59,tblCOA[AccountNo],tblCOA[Category],"Unmapped")</f>
        <v>Liabilities</v>
      </c>
      <c r="I59" s="4">
        <f t="shared" si="0"/>
        <v>-13042.47</v>
      </c>
      <c r="J59">
        <f t="shared" si="1"/>
        <v>2023</v>
      </c>
      <c r="K59" s="5">
        <f t="shared" si="2"/>
        <v>44958</v>
      </c>
    </row>
    <row r="60" spans="1:11" x14ac:dyDescent="0.25">
      <c r="A60" t="s">
        <v>2898</v>
      </c>
      <c r="B60" s="3">
        <v>44971</v>
      </c>
      <c r="C60">
        <v>1200</v>
      </c>
      <c r="D60" s="1">
        <v>25020.080000000002</v>
      </c>
      <c r="E60" s="1">
        <v>0</v>
      </c>
      <c r="F60" t="s">
        <v>2899</v>
      </c>
      <c r="G60" t="str">
        <f>_xlfn.XLOOKUP(C60,tblCOA[AccountNo],tblCOA[AccountName],"Unmapped")</f>
        <v>Accounts Receivable</v>
      </c>
      <c r="H60" t="str">
        <f>_xlfn.XLOOKUP(C60,tblCOA[AccountNo],tblCOA[Category],"Unmapped")</f>
        <v>Assets</v>
      </c>
      <c r="I60" s="4">
        <f t="shared" si="0"/>
        <v>25020.080000000002</v>
      </c>
      <c r="J60">
        <f t="shared" si="1"/>
        <v>2023</v>
      </c>
      <c r="K60" s="5">
        <f t="shared" si="2"/>
        <v>44958</v>
      </c>
    </row>
    <row r="61" spans="1:11" x14ac:dyDescent="0.25">
      <c r="A61" t="s">
        <v>2900</v>
      </c>
      <c r="B61" s="3">
        <v>44971</v>
      </c>
      <c r="C61">
        <v>4010</v>
      </c>
      <c r="D61" s="1">
        <v>0</v>
      </c>
      <c r="E61" s="1">
        <v>25020.080000000002</v>
      </c>
      <c r="F61" t="s">
        <v>2901</v>
      </c>
      <c r="G61" t="str">
        <f>_xlfn.XLOOKUP(C61,tblCOA[AccountNo],tblCOA[AccountName],"Unmapped")</f>
        <v>Product Sales</v>
      </c>
      <c r="H61" t="str">
        <f>_xlfn.XLOOKUP(C61,tblCOA[AccountNo],tblCOA[Category],"Unmapped")</f>
        <v>Revenue</v>
      </c>
      <c r="I61" s="4">
        <f t="shared" si="0"/>
        <v>-25020.080000000002</v>
      </c>
      <c r="J61">
        <f t="shared" si="1"/>
        <v>2023</v>
      </c>
      <c r="K61" s="5">
        <f t="shared" si="2"/>
        <v>44958</v>
      </c>
    </row>
    <row r="62" spans="1:11" x14ac:dyDescent="0.25">
      <c r="A62" t="s">
        <v>342</v>
      </c>
      <c r="B62" s="3">
        <v>44971</v>
      </c>
      <c r="C62">
        <v>5010</v>
      </c>
      <c r="D62" s="1">
        <v>17151.28</v>
      </c>
      <c r="E62" s="1">
        <v>0</v>
      </c>
      <c r="F62" t="s">
        <v>343</v>
      </c>
      <c r="G62" t="str">
        <f>_xlfn.XLOOKUP(C62,tblCOA[AccountNo],tblCOA[AccountName],"Unmapped")</f>
        <v>Cost of Goods Sold</v>
      </c>
      <c r="H62" t="str">
        <f>_xlfn.XLOOKUP(C62,tblCOA[AccountNo],tblCOA[Category],"Unmapped")</f>
        <v>Expenses</v>
      </c>
      <c r="I62" s="4">
        <f t="shared" si="0"/>
        <v>17151.28</v>
      </c>
      <c r="J62">
        <f t="shared" si="1"/>
        <v>2023</v>
      </c>
      <c r="K62" s="5">
        <f t="shared" si="2"/>
        <v>44958</v>
      </c>
    </row>
    <row r="63" spans="1:11" x14ac:dyDescent="0.25">
      <c r="A63" t="s">
        <v>344</v>
      </c>
      <c r="B63" s="3">
        <v>44971</v>
      </c>
      <c r="C63">
        <v>2010</v>
      </c>
      <c r="D63" s="1">
        <v>0</v>
      </c>
      <c r="E63" s="1">
        <v>17151.28</v>
      </c>
      <c r="F63" t="s">
        <v>345</v>
      </c>
      <c r="G63" t="str">
        <f>_xlfn.XLOOKUP(C63,tblCOA[AccountNo],tblCOA[AccountName],"Unmapped")</f>
        <v>Accounts Payable</v>
      </c>
      <c r="H63" t="str">
        <f>_xlfn.XLOOKUP(C63,tblCOA[AccountNo],tblCOA[Category],"Unmapped")</f>
        <v>Liabilities</v>
      </c>
      <c r="I63" s="4">
        <f t="shared" si="0"/>
        <v>-17151.28</v>
      </c>
      <c r="J63">
        <f t="shared" si="1"/>
        <v>2023</v>
      </c>
      <c r="K63" s="5">
        <f t="shared" si="2"/>
        <v>44958</v>
      </c>
    </row>
    <row r="64" spans="1:11" x14ac:dyDescent="0.25">
      <c r="A64" t="s">
        <v>3970</v>
      </c>
      <c r="B64" s="3">
        <v>44971</v>
      </c>
      <c r="C64">
        <v>1200</v>
      </c>
      <c r="D64" s="1">
        <v>48874.99</v>
      </c>
      <c r="E64" s="1">
        <v>0</v>
      </c>
      <c r="F64" t="s">
        <v>3971</v>
      </c>
      <c r="G64" t="str">
        <f>_xlfn.XLOOKUP(C64,tblCOA[AccountNo],tblCOA[AccountName],"Unmapped")</f>
        <v>Accounts Receivable</v>
      </c>
      <c r="H64" t="str">
        <f>_xlfn.XLOOKUP(C64,tblCOA[AccountNo],tblCOA[Category],"Unmapped")</f>
        <v>Assets</v>
      </c>
      <c r="I64" s="4">
        <f t="shared" si="0"/>
        <v>48874.99</v>
      </c>
      <c r="J64">
        <f t="shared" si="1"/>
        <v>2023</v>
      </c>
      <c r="K64" s="5">
        <f t="shared" si="2"/>
        <v>44958</v>
      </c>
    </row>
    <row r="65" spans="1:11" x14ac:dyDescent="0.25">
      <c r="A65" t="s">
        <v>3972</v>
      </c>
      <c r="B65" s="3">
        <v>44971</v>
      </c>
      <c r="C65">
        <v>4010</v>
      </c>
      <c r="D65" s="1">
        <v>0</v>
      </c>
      <c r="E65" s="1">
        <v>48874.99</v>
      </c>
      <c r="F65" t="s">
        <v>3973</v>
      </c>
      <c r="G65" t="str">
        <f>_xlfn.XLOOKUP(C65,tblCOA[AccountNo],tblCOA[AccountName],"Unmapped")</f>
        <v>Product Sales</v>
      </c>
      <c r="H65" t="str">
        <f>_xlfn.XLOOKUP(C65,tblCOA[AccountNo],tblCOA[Category],"Unmapped")</f>
        <v>Revenue</v>
      </c>
      <c r="I65" s="4">
        <f t="shared" si="0"/>
        <v>-48874.99</v>
      </c>
      <c r="J65">
        <f t="shared" si="1"/>
        <v>2023</v>
      </c>
      <c r="K65" s="5">
        <f t="shared" si="2"/>
        <v>44958</v>
      </c>
    </row>
    <row r="66" spans="1:11" x14ac:dyDescent="0.25">
      <c r="A66" t="s">
        <v>2794</v>
      </c>
      <c r="B66" s="3">
        <v>44974</v>
      </c>
      <c r="C66">
        <v>1200</v>
      </c>
      <c r="D66" s="1">
        <v>32589.05</v>
      </c>
      <c r="E66" s="1">
        <v>0</v>
      </c>
      <c r="F66" t="s">
        <v>2795</v>
      </c>
      <c r="G66" t="str">
        <f>_xlfn.XLOOKUP(C66,tblCOA[AccountNo],tblCOA[AccountName],"Unmapped")</f>
        <v>Accounts Receivable</v>
      </c>
      <c r="H66" t="str">
        <f>_xlfn.XLOOKUP(C66,tblCOA[AccountNo],tblCOA[Category],"Unmapped")</f>
        <v>Assets</v>
      </c>
      <c r="I66" s="4">
        <f t="shared" ref="I66:I129" si="3">D66-E66</f>
        <v>32589.05</v>
      </c>
      <c r="J66">
        <f t="shared" ref="J66:J129" si="4">YEAR(B66)</f>
        <v>2023</v>
      </c>
      <c r="K66" s="5">
        <f t="shared" ref="K66:K129" si="5">DATE(YEAR(B66),MONTH(B66),1)</f>
        <v>44958</v>
      </c>
    </row>
    <row r="67" spans="1:11" x14ac:dyDescent="0.25">
      <c r="A67" t="s">
        <v>2796</v>
      </c>
      <c r="B67" s="3">
        <v>44974</v>
      </c>
      <c r="C67">
        <v>4010</v>
      </c>
      <c r="D67" s="1">
        <v>0</v>
      </c>
      <c r="E67" s="1">
        <v>32589.05</v>
      </c>
      <c r="F67" t="s">
        <v>2797</v>
      </c>
      <c r="G67" t="str">
        <f>_xlfn.XLOOKUP(C67,tblCOA[AccountNo],tblCOA[AccountName],"Unmapped")</f>
        <v>Product Sales</v>
      </c>
      <c r="H67" t="str">
        <f>_xlfn.XLOOKUP(C67,tblCOA[AccountNo],tblCOA[Category],"Unmapped")</f>
        <v>Revenue</v>
      </c>
      <c r="I67" s="4">
        <f t="shared" si="3"/>
        <v>-32589.05</v>
      </c>
      <c r="J67">
        <f t="shared" si="4"/>
        <v>2023</v>
      </c>
      <c r="K67" s="5">
        <f t="shared" si="5"/>
        <v>44958</v>
      </c>
    </row>
    <row r="68" spans="1:11" x14ac:dyDescent="0.25">
      <c r="A68" t="s">
        <v>3834</v>
      </c>
      <c r="B68" s="3">
        <v>44974</v>
      </c>
      <c r="C68">
        <v>1200</v>
      </c>
      <c r="D68" s="1">
        <v>39239.949999999997</v>
      </c>
      <c r="E68" s="1">
        <v>0</v>
      </c>
      <c r="F68" t="s">
        <v>3835</v>
      </c>
      <c r="G68" t="str">
        <f>_xlfn.XLOOKUP(C68,tblCOA[AccountNo],tblCOA[AccountName],"Unmapped")</f>
        <v>Accounts Receivable</v>
      </c>
      <c r="H68" t="str">
        <f>_xlfn.XLOOKUP(C68,tblCOA[AccountNo],tblCOA[Category],"Unmapped")</f>
        <v>Assets</v>
      </c>
      <c r="I68" s="4">
        <f t="shared" si="3"/>
        <v>39239.949999999997</v>
      </c>
      <c r="J68">
        <f t="shared" si="4"/>
        <v>2023</v>
      </c>
      <c r="K68" s="5">
        <f t="shared" si="5"/>
        <v>44958</v>
      </c>
    </row>
    <row r="69" spans="1:11" x14ac:dyDescent="0.25">
      <c r="A69" t="s">
        <v>3836</v>
      </c>
      <c r="B69" s="3">
        <v>44974</v>
      </c>
      <c r="C69">
        <v>4010</v>
      </c>
      <c r="D69" s="1">
        <v>0</v>
      </c>
      <c r="E69" s="1">
        <v>39239.949999999997</v>
      </c>
      <c r="F69" t="s">
        <v>3837</v>
      </c>
      <c r="G69" t="str">
        <f>_xlfn.XLOOKUP(C69,tblCOA[AccountNo],tblCOA[AccountName],"Unmapped")</f>
        <v>Product Sales</v>
      </c>
      <c r="H69" t="str">
        <f>_xlfn.XLOOKUP(C69,tblCOA[AccountNo],tblCOA[Category],"Unmapped")</f>
        <v>Revenue</v>
      </c>
      <c r="I69" s="4">
        <f t="shared" si="3"/>
        <v>-39239.949999999997</v>
      </c>
      <c r="J69">
        <f t="shared" si="4"/>
        <v>2023</v>
      </c>
      <c r="K69" s="5">
        <f t="shared" si="5"/>
        <v>44958</v>
      </c>
    </row>
    <row r="70" spans="1:11" x14ac:dyDescent="0.25">
      <c r="A70" t="s">
        <v>3958</v>
      </c>
      <c r="B70" s="3">
        <v>44974</v>
      </c>
      <c r="C70">
        <v>5010</v>
      </c>
      <c r="D70" s="1">
        <v>12004.08</v>
      </c>
      <c r="E70" s="1">
        <v>0</v>
      </c>
      <c r="F70" t="s">
        <v>3959</v>
      </c>
      <c r="G70" t="str">
        <f>_xlfn.XLOOKUP(C70,tblCOA[AccountNo],tblCOA[AccountName],"Unmapped")</f>
        <v>Cost of Goods Sold</v>
      </c>
      <c r="H70" t="str">
        <f>_xlfn.XLOOKUP(C70,tblCOA[AccountNo],tblCOA[Category],"Unmapped")</f>
        <v>Expenses</v>
      </c>
      <c r="I70" s="4">
        <f t="shared" si="3"/>
        <v>12004.08</v>
      </c>
      <c r="J70">
        <f t="shared" si="4"/>
        <v>2023</v>
      </c>
      <c r="K70" s="5">
        <f t="shared" si="5"/>
        <v>44958</v>
      </c>
    </row>
    <row r="71" spans="1:11" x14ac:dyDescent="0.25">
      <c r="A71" t="s">
        <v>3960</v>
      </c>
      <c r="B71" s="3">
        <v>44974</v>
      </c>
      <c r="C71">
        <v>2010</v>
      </c>
      <c r="D71" s="1">
        <v>0</v>
      </c>
      <c r="E71" s="1">
        <v>12004.08</v>
      </c>
      <c r="F71" t="s">
        <v>3961</v>
      </c>
      <c r="G71" t="str">
        <f>_xlfn.XLOOKUP(C71,tblCOA[AccountNo],tblCOA[AccountName],"Unmapped")</f>
        <v>Accounts Payable</v>
      </c>
      <c r="H71" t="str">
        <f>_xlfn.XLOOKUP(C71,tblCOA[AccountNo],tblCOA[Category],"Unmapped")</f>
        <v>Liabilities</v>
      </c>
      <c r="I71" s="4">
        <f t="shared" si="3"/>
        <v>-12004.08</v>
      </c>
      <c r="J71">
        <f t="shared" si="4"/>
        <v>2023</v>
      </c>
      <c r="K71" s="5">
        <f t="shared" si="5"/>
        <v>44958</v>
      </c>
    </row>
    <row r="72" spans="1:11" x14ac:dyDescent="0.25">
      <c r="A72" t="s">
        <v>250</v>
      </c>
      <c r="B72" s="3">
        <v>44976</v>
      </c>
      <c r="C72">
        <v>1200</v>
      </c>
      <c r="D72" s="1">
        <v>13820.52</v>
      </c>
      <c r="E72" s="1">
        <v>0</v>
      </c>
      <c r="F72" t="s">
        <v>251</v>
      </c>
      <c r="G72" t="str">
        <f>_xlfn.XLOOKUP(C72,tblCOA[AccountNo],tblCOA[AccountName],"Unmapped")</f>
        <v>Accounts Receivable</v>
      </c>
      <c r="H72" t="str">
        <f>_xlfn.XLOOKUP(C72,tblCOA[AccountNo],tblCOA[Category],"Unmapped")</f>
        <v>Assets</v>
      </c>
      <c r="I72" s="4">
        <f t="shared" si="3"/>
        <v>13820.52</v>
      </c>
      <c r="J72">
        <f t="shared" si="4"/>
        <v>2023</v>
      </c>
      <c r="K72" s="5">
        <f t="shared" si="5"/>
        <v>44958</v>
      </c>
    </row>
    <row r="73" spans="1:11" x14ac:dyDescent="0.25">
      <c r="A73" t="s">
        <v>252</v>
      </c>
      <c r="B73" s="3">
        <v>44976</v>
      </c>
      <c r="C73">
        <v>4010</v>
      </c>
      <c r="D73" s="1">
        <v>0</v>
      </c>
      <c r="E73" s="1">
        <v>13820.52</v>
      </c>
      <c r="F73" t="s">
        <v>253</v>
      </c>
      <c r="G73" t="str">
        <f>_xlfn.XLOOKUP(C73,tblCOA[AccountNo],tblCOA[AccountName],"Unmapped")</f>
        <v>Product Sales</v>
      </c>
      <c r="H73" t="str">
        <f>_xlfn.XLOOKUP(C73,tblCOA[AccountNo],tblCOA[Category],"Unmapped")</f>
        <v>Revenue</v>
      </c>
      <c r="I73" s="4">
        <f t="shared" si="3"/>
        <v>-13820.52</v>
      </c>
      <c r="J73">
        <f t="shared" si="4"/>
        <v>2023</v>
      </c>
      <c r="K73" s="5">
        <f t="shared" si="5"/>
        <v>44958</v>
      </c>
    </row>
    <row r="74" spans="1:11" x14ac:dyDescent="0.25">
      <c r="A74" t="s">
        <v>678</v>
      </c>
      <c r="B74" s="3">
        <v>44977</v>
      </c>
      <c r="C74">
        <v>5010</v>
      </c>
      <c r="D74" s="1">
        <v>7157.36</v>
      </c>
      <c r="E74" s="1">
        <v>0</v>
      </c>
      <c r="F74" t="s">
        <v>679</v>
      </c>
      <c r="G74" t="str">
        <f>_xlfn.XLOOKUP(C74,tblCOA[AccountNo],tblCOA[AccountName],"Unmapped")</f>
        <v>Cost of Goods Sold</v>
      </c>
      <c r="H74" t="str">
        <f>_xlfn.XLOOKUP(C74,tblCOA[AccountNo],tblCOA[Category],"Unmapped")</f>
        <v>Expenses</v>
      </c>
      <c r="I74" s="4">
        <f t="shared" si="3"/>
        <v>7157.36</v>
      </c>
      <c r="J74">
        <f t="shared" si="4"/>
        <v>2023</v>
      </c>
      <c r="K74" s="5">
        <f t="shared" si="5"/>
        <v>44958</v>
      </c>
    </row>
    <row r="75" spans="1:11" x14ac:dyDescent="0.25">
      <c r="A75" t="s">
        <v>680</v>
      </c>
      <c r="B75" s="3">
        <v>44977</v>
      </c>
      <c r="C75">
        <v>2010</v>
      </c>
      <c r="D75" s="1">
        <v>0</v>
      </c>
      <c r="E75" s="1">
        <v>7157.36</v>
      </c>
      <c r="F75" t="s">
        <v>681</v>
      </c>
      <c r="G75" t="str">
        <f>_xlfn.XLOOKUP(C75,tblCOA[AccountNo],tblCOA[AccountName],"Unmapped")</f>
        <v>Accounts Payable</v>
      </c>
      <c r="H75" t="str">
        <f>_xlfn.XLOOKUP(C75,tblCOA[AccountNo],tblCOA[Category],"Unmapped")</f>
        <v>Liabilities</v>
      </c>
      <c r="I75" s="4">
        <f t="shared" si="3"/>
        <v>-7157.36</v>
      </c>
      <c r="J75">
        <f t="shared" si="4"/>
        <v>2023</v>
      </c>
      <c r="K75" s="5">
        <f t="shared" si="5"/>
        <v>44958</v>
      </c>
    </row>
    <row r="76" spans="1:11" x14ac:dyDescent="0.25">
      <c r="A76" t="s">
        <v>3478</v>
      </c>
      <c r="B76" s="3">
        <v>44982</v>
      </c>
      <c r="C76">
        <v>5010</v>
      </c>
      <c r="D76" s="1">
        <v>9840.08</v>
      </c>
      <c r="E76" s="1">
        <v>0</v>
      </c>
      <c r="F76" t="s">
        <v>3479</v>
      </c>
      <c r="G76" t="str">
        <f>_xlfn.XLOOKUP(C76,tblCOA[AccountNo],tblCOA[AccountName],"Unmapped")</f>
        <v>Cost of Goods Sold</v>
      </c>
      <c r="H76" t="str">
        <f>_xlfn.XLOOKUP(C76,tblCOA[AccountNo],tblCOA[Category],"Unmapped")</f>
        <v>Expenses</v>
      </c>
      <c r="I76" s="4">
        <f t="shared" si="3"/>
        <v>9840.08</v>
      </c>
      <c r="J76">
        <f t="shared" si="4"/>
        <v>2023</v>
      </c>
      <c r="K76" s="5">
        <f t="shared" si="5"/>
        <v>44958</v>
      </c>
    </row>
    <row r="77" spans="1:11" x14ac:dyDescent="0.25">
      <c r="A77" t="s">
        <v>3480</v>
      </c>
      <c r="B77" s="3">
        <v>44982</v>
      </c>
      <c r="C77">
        <v>2010</v>
      </c>
      <c r="D77" s="1">
        <v>0</v>
      </c>
      <c r="E77" s="1">
        <v>9840.08</v>
      </c>
      <c r="F77" t="s">
        <v>3481</v>
      </c>
      <c r="G77" t="str">
        <f>_xlfn.XLOOKUP(C77,tblCOA[AccountNo],tblCOA[AccountName],"Unmapped")</f>
        <v>Accounts Payable</v>
      </c>
      <c r="H77" t="str">
        <f>_xlfn.XLOOKUP(C77,tblCOA[AccountNo],tblCOA[Category],"Unmapped")</f>
        <v>Liabilities</v>
      </c>
      <c r="I77" s="4">
        <f t="shared" si="3"/>
        <v>-9840.08</v>
      </c>
      <c r="J77">
        <f t="shared" si="4"/>
        <v>2023</v>
      </c>
      <c r="K77" s="5">
        <f t="shared" si="5"/>
        <v>44958</v>
      </c>
    </row>
    <row r="78" spans="1:11" x14ac:dyDescent="0.25">
      <c r="A78" t="s">
        <v>1150</v>
      </c>
      <c r="B78" s="3">
        <v>44982</v>
      </c>
      <c r="C78">
        <v>5010</v>
      </c>
      <c r="D78" s="1">
        <v>6875.49</v>
      </c>
      <c r="E78" s="1">
        <v>0</v>
      </c>
      <c r="F78" t="s">
        <v>1151</v>
      </c>
      <c r="G78" t="str">
        <f>_xlfn.XLOOKUP(C78,tblCOA[AccountNo],tblCOA[AccountName],"Unmapped")</f>
        <v>Cost of Goods Sold</v>
      </c>
      <c r="H78" t="str">
        <f>_xlfn.XLOOKUP(C78,tblCOA[AccountNo],tblCOA[Category],"Unmapped")</f>
        <v>Expenses</v>
      </c>
      <c r="I78" s="4">
        <f t="shared" si="3"/>
        <v>6875.49</v>
      </c>
      <c r="J78">
        <f t="shared" si="4"/>
        <v>2023</v>
      </c>
      <c r="K78" s="5">
        <f t="shared" si="5"/>
        <v>44958</v>
      </c>
    </row>
    <row r="79" spans="1:11" x14ac:dyDescent="0.25">
      <c r="A79" t="s">
        <v>1152</v>
      </c>
      <c r="B79" s="3">
        <v>44982</v>
      </c>
      <c r="C79">
        <v>2010</v>
      </c>
      <c r="D79" s="1">
        <v>0</v>
      </c>
      <c r="E79" s="1">
        <v>6875.49</v>
      </c>
      <c r="F79" t="s">
        <v>1153</v>
      </c>
      <c r="G79" t="str">
        <f>_xlfn.XLOOKUP(C79,tblCOA[AccountNo],tblCOA[AccountName],"Unmapped")</f>
        <v>Accounts Payable</v>
      </c>
      <c r="H79" t="str">
        <f>_xlfn.XLOOKUP(C79,tblCOA[AccountNo],tblCOA[Category],"Unmapped")</f>
        <v>Liabilities</v>
      </c>
      <c r="I79" s="4">
        <f t="shared" si="3"/>
        <v>-6875.49</v>
      </c>
      <c r="J79">
        <f t="shared" si="4"/>
        <v>2023</v>
      </c>
      <c r="K79" s="5">
        <f t="shared" si="5"/>
        <v>44958</v>
      </c>
    </row>
    <row r="80" spans="1:11" x14ac:dyDescent="0.25">
      <c r="A80" t="s">
        <v>2926</v>
      </c>
      <c r="B80" s="3">
        <v>44983</v>
      </c>
      <c r="C80">
        <v>5010</v>
      </c>
      <c r="D80" s="1">
        <v>11608.94</v>
      </c>
      <c r="E80" s="1">
        <v>0</v>
      </c>
      <c r="F80" t="s">
        <v>2927</v>
      </c>
      <c r="G80" t="str">
        <f>_xlfn.XLOOKUP(C80,tblCOA[AccountNo],tblCOA[AccountName],"Unmapped")</f>
        <v>Cost of Goods Sold</v>
      </c>
      <c r="H80" t="str">
        <f>_xlfn.XLOOKUP(C80,tblCOA[AccountNo],tblCOA[Category],"Unmapped")</f>
        <v>Expenses</v>
      </c>
      <c r="I80" s="4">
        <f t="shared" si="3"/>
        <v>11608.94</v>
      </c>
      <c r="J80">
        <f t="shared" si="4"/>
        <v>2023</v>
      </c>
      <c r="K80" s="5">
        <f t="shared" si="5"/>
        <v>44958</v>
      </c>
    </row>
    <row r="81" spans="1:11" x14ac:dyDescent="0.25">
      <c r="A81" t="s">
        <v>2928</v>
      </c>
      <c r="B81" s="3">
        <v>44983</v>
      </c>
      <c r="C81">
        <v>2010</v>
      </c>
      <c r="D81" s="1">
        <v>0</v>
      </c>
      <c r="E81" s="1">
        <v>11608.94</v>
      </c>
      <c r="F81" t="s">
        <v>2929</v>
      </c>
      <c r="G81" t="str">
        <f>_xlfn.XLOOKUP(C81,tblCOA[AccountNo],tblCOA[AccountName],"Unmapped")</f>
        <v>Accounts Payable</v>
      </c>
      <c r="H81" t="str">
        <f>_xlfn.XLOOKUP(C81,tblCOA[AccountNo],tblCOA[Category],"Unmapped")</f>
        <v>Liabilities</v>
      </c>
      <c r="I81" s="4">
        <f t="shared" si="3"/>
        <v>-11608.94</v>
      </c>
      <c r="J81">
        <f t="shared" si="4"/>
        <v>2023</v>
      </c>
      <c r="K81" s="5">
        <f t="shared" si="5"/>
        <v>44958</v>
      </c>
    </row>
    <row r="82" spans="1:11" x14ac:dyDescent="0.25">
      <c r="A82" t="s">
        <v>2310</v>
      </c>
      <c r="B82" s="3">
        <v>44984</v>
      </c>
      <c r="C82">
        <v>5010</v>
      </c>
      <c r="D82" s="1">
        <v>17524.23</v>
      </c>
      <c r="E82" s="1">
        <v>0</v>
      </c>
      <c r="F82" t="s">
        <v>2311</v>
      </c>
      <c r="G82" t="str">
        <f>_xlfn.XLOOKUP(C82,tblCOA[AccountNo],tblCOA[AccountName],"Unmapped")</f>
        <v>Cost of Goods Sold</v>
      </c>
      <c r="H82" t="str">
        <f>_xlfn.XLOOKUP(C82,tblCOA[AccountNo],tblCOA[Category],"Unmapped")</f>
        <v>Expenses</v>
      </c>
      <c r="I82" s="4">
        <f t="shared" si="3"/>
        <v>17524.23</v>
      </c>
      <c r="J82">
        <f t="shared" si="4"/>
        <v>2023</v>
      </c>
      <c r="K82" s="5">
        <f t="shared" si="5"/>
        <v>44958</v>
      </c>
    </row>
    <row r="83" spans="1:11" x14ac:dyDescent="0.25">
      <c r="A83" t="s">
        <v>2312</v>
      </c>
      <c r="B83" s="3">
        <v>44984</v>
      </c>
      <c r="C83">
        <v>2010</v>
      </c>
      <c r="D83" s="1">
        <v>0</v>
      </c>
      <c r="E83" s="1">
        <v>17524.23</v>
      </c>
      <c r="F83" t="s">
        <v>2313</v>
      </c>
      <c r="G83" t="str">
        <f>_xlfn.XLOOKUP(C83,tblCOA[AccountNo],tblCOA[AccountName],"Unmapped")</f>
        <v>Accounts Payable</v>
      </c>
      <c r="H83" t="str">
        <f>_xlfn.XLOOKUP(C83,tblCOA[AccountNo],tblCOA[Category],"Unmapped")</f>
        <v>Liabilities</v>
      </c>
      <c r="I83" s="4">
        <f t="shared" si="3"/>
        <v>-17524.23</v>
      </c>
      <c r="J83">
        <f t="shared" si="4"/>
        <v>2023</v>
      </c>
      <c r="K83" s="5">
        <f t="shared" si="5"/>
        <v>44958</v>
      </c>
    </row>
    <row r="84" spans="1:11" x14ac:dyDescent="0.25">
      <c r="A84" t="s">
        <v>26</v>
      </c>
      <c r="B84" s="3">
        <v>44985</v>
      </c>
      <c r="C84">
        <v>1200</v>
      </c>
      <c r="D84" s="1">
        <v>32543.62</v>
      </c>
      <c r="E84" s="1">
        <v>0</v>
      </c>
      <c r="F84" t="s">
        <v>27</v>
      </c>
      <c r="G84" t="str">
        <f>_xlfn.XLOOKUP(C84,tblCOA[AccountNo],tblCOA[AccountName],"Unmapped")</f>
        <v>Accounts Receivable</v>
      </c>
      <c r="H84" t="str">
        <f>_xlfn.XLOOKUP(C84,tblCOA[AccountNo],tblCOA[Category],"Unmapped")</f>
        <v>Assets</v>
      </c>
      <c r="I84" s="4">
        <f t="shared" si="3"/>
        <v>32543.62</v>
      </c>
      <c r="J84">
        <f t="shared" si="4"/>
        <v>2023</v>
      </c>
      <c r="K84" s="5">
        <f t="shared" si="5"/>
        <v>44958</v>
      </c>
    </row>
    <row r="85" spans="1:11" x14ac:dyDescent="0.25">
      <c r="A85" t="s">
        <v>28</v>
      </c>
      <c r="B85" s="3">
        <v>44985</v>
      </c>
      <c r="C85">
        <v>4010</v>
      </c>
      <c r="D85" s="1">
        <v>0</v>
      </c>
      <c r="E85" s="1">
        <v>32543.62</v>
      </c>
      <c r="F85" t="s">
        <v>29</v>
      </c>
      <c r="G85" t="str">
        <f>_xlfn.XLOOKUP(C85,tblCOA[AccountNo],tblCOA[AccountName],"Unmapped")</f>
        <v>Product Sales</v>
      </c>
      <c r="H85" t="str">
        <f>_xlfn.XLOOKUP(C85,tblCOA[AccountNo],tblCOA[Category],"Unmapped")</f>
        <v>Revenue</v>
      </c>
      <c r="I85" s="4">
        <f t="shared" si="3"/>
        <v>-32543.62</v>
      </c>
      <c r="J85">
        <f t="shared" si="4"/>
        <v>2023</v>
      </c>
      <c r="K85" s="5">
        <f t="shared" si="5"/>
        <v>44958</v>
      </c>
    </row>
    <row r="86" spans="1:11" x14ac:dyDescent="0.25">
      <c r="A86" t="s">
        <v>1870</v>
      </c>
      <c r="B86" s="3">
        <v>44985</v>
      </c>
      <c r="C86">
        <v>5010</v>
      </c>
      <c r="D86" s="1">
        <v>5469.68</v>
      </c>
      <c r="E86" s="1">
        <v>0</v>
      </c>
      <c r="F86" t="s">
        <v>1871</v>
      </c>
      <c r="G86" t="str">
        <f>_xlfn.XLOOKUP(C86,tblCOA[AccountNo],tblCOA[AccountName],"Unmapped")</f>
        <v>Cost of Goods Sold</v>
      </c>
      <c r="H86" t="str">
        <f>_xlfn.XLOOKUP(C86,tblCOA[AccountNo],tblCOA[Category],"Unmapped")</f>
        <v>Expenses</v>
      </c>
      <c r="I86" s="4">
        <f t="shared" si="3"/>
        <v>5469.68</v>
      </c>
      <c r="J86">
        <f t="shared" si="4"/>
        <v>2023</v>
      </c>
      <c r="K86" s="5">
        <f t="shared" si="5"/>
        <v>44958</v>
      </c>
    </row>
    <row r="87" spans="1:11" x14ac:dyDescent="0.25">
      <c r="A87" t="s">
        <v>1872</v>
      </c>
      <c r="B87" s="3">
        <v>44985</v>
      </c>
      <c r="C87">
        <v>2010</v>
      </c>
      <c r="D87" s="1">
        <v>0</v>
      </c>
      <c r="E87" s="1">
        <v>5469.68</v>
      </c>
      <c r="F87" t="s">
        <v>1873</v>
      </c>
      <c r="G87" t="str">
        <f>_xlfn.XLOOKUP(C87,tblCOA[AccountNo],tblCOA[AccountName],"Unmapped")</f>
        <v>Accounts Payable</v>
      </c>
      <c r="H87" t="str">
        <f>_xlfn.XLOOKUP(C87,tblCOA[AccountNo],tblCOA[Category],"Unmapped")</f>
        <v>Liabilities</v>
      </c>
      <c r="I87" s="4">
        <f t="shared" si="3"/>
        <v>-5469.68</v>
      </c>
      <c r="J87">
        <f t="shared" si="4"/>
        <v>2023</v>
      </c>
      <c r="K87" s="5">
        <f t="shared" si="5"/>
        <v>44958</v>
      </c>
    </row>
    <row r="88" spans="1:11" x14ac:dyDescent="0.25">
      <c r="A88" t="s">
        <v>3754</v>
      </c>
      <c r="B88" s="3">
        <v>44986</v>
      </c>
      <c r="C88">
        <v>1200</v>
      </c>
      <c r="D88" s="1">
        <v>39400.120000000003</v>
      </c>
      <c r="E88" s="1">
        <v>0</v>
      </c>
      <c r="F88" t="s">
        <v>3755</v>
      </c>
      <c r="G88" t="str">
        <f>_xlfn.XLOOKUP(C88,tblCOA[AccountNo],tblCOA[AccountName],"Unmapped")</f>
        <v>Accounts Receivable</v>
      </c>
      <c r="H88" t="str">
        <f>_xlfn.XLOOKUP(C88,tblCOA[AccountNo],tblCOA[Category],"Unmapped")</f>
        <v>Assets</v>
      </c>
      <c r="I88" s="4">
        <f t="shared" si="3"/>
        <v>39400.120000000003</v>
      </c>
      <c r="J88">
        <f t="shared" si="4"/>
        <v>2023</v>
      </c>
      <c r="K88" s="5">
        <f t="shared" si="5"/>
        <v>44986</v>
      </c>
    </row>
    <row r="89" spans="1:11" x14ac:dyDescent="0.25">
      <c r="A89" t="s">
        <v>3756</v>
      </c>
      <c r="B89" s="3">
        <v>44986</v>
      </c>
      <c r="C89">
        <v>4010</v>
      </c>
      <c r="D89" s="1">
        <v>0</v>
      </c>
      <c r="E89" s="1">
        <v>39400.120000000003</v>
      </c>
      <c r="F89" t="s">
        <v>3757</v>
      </c>
      <c r="G89" t="str">
        <f>_xlfn.XLOOKUP(C89,tblCOA[AccountNo],tblCOA[AccountName],"Unmapped")</f>
        <v>Product Sales</v>
      </c>
      <c r="H89" t="str">
        <f>_xlfn.XLOOKUP(C89,tblCOA[AccountNo],tblCOA[Category],"Unmapped")</f>
        <v>Revenue</v>
      </c>
      <c r="I89" s="4">
        <f t="shared" si="3"/>
        <v>-39400.120000000003</v>
      </c>
      <c r="J89">
        <f t="shared" si="4"/>
        <v>2023</v>
      </c>
      <c r="K89" s="5">
        <f t="shared" si="5"/>
        <v>44986</v>
      </c>
    </row>
    <row r="90" spans="1:11" x14ac:dyDescent="0.25">
      <c r="A90" t="s">
        <v>1066</v>
      </c>
      <c r="B90" s="3">
        <v>44986</v>
      </c>
      <c r="C90">
        <v>1200</v>
      </c>
      <c r="D90" s="1">
        <v>43506.96</v>
      </c>
      <c r="E90" s="1">
        <v>0</v>
      </c>
      <c r="F90" t="s">
        <v>1067</v>
      </c>
      <c r="G90" t="str">
        <f>_xlfn.XLOOKUP(C90,tblCOA[AccountNo],tblCOA[AccountName],"Unmapped")</f>
        <v>Accounts Receivable</v>
      </c>
      <c r="H90" t="str">
        <f>_xlfn.XLOOKUP(C90,tblCOA[AccountNo],tblCOA[Category],"Unmapped")</f>
        <v>Assets</v>
      </c>
      <c r="I90" s="4">
        <f t="shared" si="3"/>
        <v>43506.96</v>
      </c>
      <c r="J90">
        <f t="shared" si="4"/>
        <v>2023</v>
      </c>
      <c r="K90" s="5">
        <f t="shared" si="5"/>
        <v>44986</v>
      </c>
    </row>
    <row r="91" spans="1:11" x14ac:dyDescent="0.25">
      <c r="A91" t="s">
        <v>1068</v>
      </c>
      <c r="B91" s="3">
        <v>44986</v>
      </c>
      <c r="C91">
        <v>4010</v>
      </c>
      <c r="D91" s="1">
        <v>0</v>
      </c>
      <c r="E91" s="1">
        <v>43506.96</v>
      </c>
      <c r="F91" t="s">
        <v>1069</v>
      </c>
      <c r="G91" t="str">
        <f>_xlfn.XLOOKUP(C91,tblCOA[AccountNo],tblCOA[AccountName],"Unmapped")</f>
        <v>Product Sales</v>
      </c>
      <c r="H91" t="str">
        <f>_xlfn.XLOOKUP(C91,tblCOA[AccountNo],tblCOA[Category],"Unmapped")</f>
        <v>Revenue</v>
      </c>
      <c r="I91" s="4">
        <f t="shared" si="3"/>
        <v>-43506.96</v>
      </c>
      <c r="J91">
        <f t="shared" si="4"/>
        <v>2023</v>
      </c>
      <c r="K91" s="5">
        <f t="shared" si="5"/>
        <v>44986</v>
      </c>
    </row>
    <row r="92" spans="1:11" x14ac:dyDescent="0.25">
      <c r="A92" t="s">
        <v>870</v>
      </c>
      <c r="B92" s="3">
        <v>44987</v>
      </c>
      <c r="C92">
        <v>5010</v>
      </c>
      <c r="D92" s="1">
        <v>5552.08</v>
      </c>
      <c r="E92" s="1">
        <v>0</v>
      </c>
      <c r="F92" t="s">
        <v>871</v>
      </c>
      <c r="G92" t="str">
        <f>_xlfn.XLOOKUP(C92,tblCOA[AccountNo],tblCOA[AccountName],"Unmapped")</f>
        <v>Cost of Goods Sold</v>
      </c>
      <c r="H92" t="str">
        <f>_xlfn.XLOOKUP(C92,tblCOA[AccountNo],tblCOA[Category],"Unmapped")</f>
        <v>Expenses</v>
      </c>
      <c r="I92" s="4">
        <f t="shared" si="3"/>
        <v>5552.08</v>
      </c>
      <c r="J92">
        <f t="shared" si="4"/>
        <v>2023</v>
      </c>
      <c r="K92" s="5">
        <f t="shared" si="5"/>
        <v>44986</v>
      </c>
    </row>
    <row r="93" spans="1:11" x14ac:dyDescent="0.25">
      <c r="A93" t="s">
        <v>872</v>
      </c>
      <c r="B93" s="3">
        <v>44987</v>
      </c>
      <c r="C93">
        <v>2010</v>
      </c>
      <c r="D93" s="1">
        <v>0</v>
      </c>
      <c r="E93" s="1">
        <v>5552.08</v>
      </c>
      <c r="F93" t="s">
        <v>873</v>
      </c>
      <c r="G93" t="str">
        <f>_xlfn.XLOOKUP(C93,tblCOA[AccountNo],tblCOA[AccountName],"Unmapped")</f>
        <v>Accounts Payable</v>
      </c>
      <c r="H93" t="str">
        <f>_xlfn.XLOOKUP(C93,tblCOA[AccountNo],tblCOA[Category],"Unmapped")</f>
        <v>Liabilities</v>
      </c>
      <c r="I93" s="4">
        <f t="shared" si="3"/>
        <v>-5552.08</v>
      </c>
      <c r="J93">
        <f t="shared" si="4"/>
        <v>2023</v>
      </c>
      <c r="K93" s="5">
        <f t="shared" si="5"/>
        <v>44986</v>
      </c>
    </row>
    <row r="94" spans="1:11" x14ac:dyDescent="0.25">
      <c r="A94" t="s">
        <v>2790</v>
      </c>
      <c r="B94" s="3">
        <v>44988</v>
      </c>
      <c r="C94">
        <v>5010</v>
      </c>
      <c r="D94" s="1">
        <v>11613.83</v>
      </c>
      <c r="E94" s="1">
        <v>0</v>
      </c>
      <c r="F94" t="s">
        <v>2791</v>
      </c>
      <c r="G94" t="str">
        <f>_xlfn.XLOOKUP(C94,tblCOA[AccountNo],tblCOA[AccountName],"Unmapped")</f>
        <v>Cost of Goods Sold</v>
      </c>
      <c r="H94" t="str">
        <f>_xlfn.XLOOKUP(C94,tblCOA[AccountNo],tblCOA[Category],"Unmapped")</f>
        <v>Expenses</v>
      </c>
      <c r="I94" s="4">
        <f t="shared" si="3"/>
        <v>11613.83</v>
      </c>
      <c r="J94">
        <f t="shared" si="4"/>
        <v>2023</v>
      </c>
      <c r="K94" s="5">
        <f t="shared" si="5"/>
        <v>44986</v>
      </c>
    </row>
    <row r="95" spans="1:11" x14ac:dyDescent="0.25">
      <c r="A95" t="s">
        <v>2792</v>
      </c>
      <c r="B95" s="3">
        <v>44988</v>
      </c>
      <c r="C95">
        <v>2010</v>
      </c>
      <c r="D95" s="1">
        <v>0</v>
      </c>
      <c r="E95" s="1">
        <v>11613.83</v>
      </c>
      <c r="F95" t="s">
        <v>2793</v>
      </c>
      <c r="G95" t="str">
        <f>_xlfn.XLOOKUP(C95,tblCOA[AccountNo],tblCOA[AccountName],"Unmapped")</f>
        <v>Accounts Payable</v>
      </c>
      <c r="H95" t="str">
        <f>_xlfn.XLOOKUP(C95,tblCOA[AccountNo],tblCOA[Category],"Unmapped")</f>
        <v>Liabilities</v>
      </c>
      <c r="I95" s="4">
        <f t="shared" si="3"/>
        <v>-11613.83</v>
      </c>
      <c r="J95">
        <f t="shared" si="4"/>
        <v>2023</v>
      </c>
      <c r="K95" s="5">
        <f t="shared" si="5"/>
        <v>44986</v>
      </c>
    </row>
    <row r="96" spans="1:11" x14ac:dyDescent="0.25">
      <c r="A96" t="s">
        <v>158</v>
      </c>
      <c r="B96" s="3">
        <v>44989</v>
      </c>
      <c r="C96">
        <v>5010</v>
      </c>
      <c r="D96" s="1">
        <v>4602.6000000000004</v>
      </c>
      <c r="E96" s="1">
        <v>0</v>
      </c>
      <c r="F96" t="s">
        <v>159</v>
      </c>
      <c r="G96" t="str">
        <f>_xlfn.XLOOKUP(C96,tblCOA[AccountNo],tblCOA[AccountName],"Unmapped")</f>
        <v>Cost of Goods Sold</v>
      </c>
      <c r="H96" t="str">
        <f>_xlfn.XLOOKUP(C96,tblCOA[AccountNo],tblCOA[Category],"Unmapped")</f>
        <v>Expenses</v>
      </c>
      <c r="I96" s="4">
        <f t="shared" si="3"/>
        <v>4602.6000000000004</v>
      </c>
      <c r="J96">
        <f t="shared" si="4"/>
        <v>2023</v>
      </c>
      <c r="K96" s="5">
        <f t="shared" si="5"/>
        <v>44986</v>
      </c>
    </row>
    <row r="97" spans="1:11" x14ac:dyDescent="0.25">
      <c r="A97" t="s">
        <v>160</v>
      </c>
      <c r="B97" s="3">
        <v>44989</v>
      </c>
      <c r="C97">
        <v>2010</v>
      </c>
      <c r="D97" s="1">
        <v>0</v>
      </c>
      <c r="E97" s="1">
        <v>4602.6000000000004</v>
      </c>
      <c r="F97" t="s">
        <v>161</v>
      </c>
      <c r="G97" t="str">
        <f>_xlfn.XLOOKUP(C97,tblCOA[AccountNo],tblCOA[AccountName],"Unmapped")</f>
        <v>Accounts Payable</v>
      </c>
      <c r="H97" t="str">
        <f>_xlfn.XLOOKUP(C97,tblCOA[AccountNo],tblCOA[Category],"Unmapped")</f>
        <v>Liabilities</v>
      </c>
      <c r="I97" s="4">
        <f t="shared" si="3"/>
        <v>-4602.6000000000004</v>
      </c>
      <c r="J97">
        <f t="shared" si="4"/>
        <v>2023</v>
      </c>
      <c r="K97" s="5">
        <f t="shared" si="5"/>
        <v>44986</v>
      </c>
    </row>
    <row r="98" spans="1:11" x14ac:dyDescent="0.25">
      <c r="A98" t="s">
        <v>2494</v>
      </c>
      <c r="B98" s="3">
        <v>44990</v>
      </c>
      <c r="C98">
        <v>5010</v>
      </c>
      <c r="D98" s="1">
        <v>16365.21</v>
      </c>
      <c r="E98" s="1">
        <v>0</v>
      </c>
      <c r="F98" t="s">
        <v>2495</v>
      </c>
      <c r="G98" t="str">
        <f>_xlfn.XLOOKUP(C98,tblCOA[AccountNo],tblCOA[AccountName],"Unmapped")</f>
        <v>Cost of Goods Sold</v>
      </c>
      <c r="H98" t="str">
        <f>_xlfn.XLOOKUP(C98,tblCOA[AccountNo],tblCOA[Category],"Unmapped")</f>
        <v>Expenses</v>
      </c>
      <c r="I98" s="4">
        <f t="shared" si="3"/>
        <v>16365.21</v>
      </c>
      <c r="J98">
        <f t="shared" si="4"/>
        <v>2023</v>
      </c>
      <c r="K98" s="5">
        <f t="shared" si="5"/>
        <v>44986</v>
      </c>
    </row>
    <row r="99" spans="1:11" x14ac:dyDescent="0.25">
      <c r="A99" t="s">
        <v>2496</v>
      </c>
      <c r="B99" s="3">
        <v>44990</v>
      </c>
      <c r="C99">
        <v>2010</v>
      </c>
      <c r="D99" s="1">
        <v>0</v>
      </c>
      <c r="E99" s="1">
        <v>16365.21</v>
      </c>
      <c r="F99" t="s">
        <v>2497</v>
      </c>
      <c r="G99" t="str">
        <f>_xlfn.XLOOKUP(C99,tblCOA[AccountNo],tblCOA[AccountName],"Unmapped")</f>
        <v>Accounts Payable</v>
      </c>
      <c r="H99" t="str">
        <f>_xlfn.XLOOKUP(C99,tblCOA[AccountNo],tblCOA[Category],"Unmapped")</f>
        <v>Liabilities</v>
      </c>
      <c r="I99" s="4">
        <f t="shared" si="3"/>
        <v>-16365.21</v>
      </c>
      <c r="J99">
        <f t="shared" si="4"/>
        <v>2023</v>
      </c>
      <c r="K99" s="5">
        <f t="shared" si="5"/>
        <v>44986</v>
      </c>
    </row>
    <row r="100" spans="1:11" x14ac:dyDescent="0.25">
      <c r="A100" t="s">
        <v>1098</v>
      </c>
      <c r="B100" s="3">
        <v>44990</v>
      </c>
      <c r="C100">
        <v>1200</v>
      </c>
      <c r="D100" s="1">
        <v>34959.199999999997</v>
      </c>
      <c r="E100" s="1">
        <v>0</v>
      </c>
      <c r="F100" t="s">
        <v>1099</v>
      </c>
      <c r="G100" t="str">
        <f>_xlfn.XLOOKUP(C100,tblCOA[AccountNo],tblCOA[AccountName],"Unmapped")</f>
        <v>Accounts Receivable</v>
      </c>
      <c r="H100" t="str">
        <f>_xlfn.XLOOKUP(C100,tblCOA[AccountNo],tblCOA[Category],"Unmapped")</f>
        <v>Assets</v>
      </c>
      <c r="I100" s="4">
        <f t="shared" si="3"/>
        <v>34959.199999999997</v>
      </c>
      <c r="J100">
        <f t="shared" si="4"/>
        <v>2023</v>
      </c>
      <c r="K100" s="5">
        <f t="shared" si="5"/>
        <v>44986</v>
      </c>
    </row>
    <row r="101" spans="1:11" x14ac:dyDescent="0.25">
      <c r="A101" t="s">
        <v>1100</v>
      </c>
      <c r="B101" s="3">
        <v>44990</v>
      </c>
      <c r="C101">
        <v>4010</v>
      </c>
      <c r="D101" s="1">
        <v>0</v>
      </c>
      <c r="E101" s="1">
        <v>34959.199999999997</v>
      </c>
      <c r="F101" t="s">
        <v>1101</v>
      </c>
      <c r="G101" t="str">
        <f>_xlfn.XLOOKUP(C101,tblCOA[AccountNo],tblCOA[AccountName],"Unmapped")</f>
        <v>Product Sales</v>
      </c>
      <c r="H101" t="str">
        <f>_xlfn.XLOOKUP(C101,tblCOA[AccountNo],tblCOA[Category],"Unmapped")</f>
        <v>Revenue</v>
      </c>
      <c r="I101" s="4">
        <f t="shared" si="3"/>
        <v>-34959.199999999997</v>
      </c>
      <c r="J101">
        <f t="shared" si="4"/>
        <v>2023</v>
      </c>
      <c r="K101" s="5">
        <f t="shared" si="5"/>
        <v>44986</v>
      </c>
    </row>
    <row r="102" spans="1:11" x14ac:dyDescent="0.25">
      <c r="A102" t="s">
        <v>366</v>
      </c>
      <c r="B102" s="3">
        <v>44994</v>
      </c>
      <c r="C102">
        <v>5010</v>
      </c>
      <c r="D102" s="1">
        <v>2021.71</v>
      </c>
      <c r="E102" s="1">
        <v>0</v>
      </c>
      <c r="F102" t="s">
        <v>367</v>
      </c>
      <c r="G102" t="str">
        <f>_xlfn.XLOOKUP(C102,tblCOA[AccountNo],tblCOA[AccountName],"Unmapped")</f>
        <v>Cost of Goods Sold</v>
      </c>
      <c r="H102" t="str">
        <f>_xlfn.XLOOKUP(C102,tblCOA[AccountNo],tblCOA[Category],"Unmapped")</f>
        <v>Expenses</v>
      </c>
      <c r="I102" s="4">
        <f t="shared" si="3"/>
        <v>2021.71</v>
      </c>
      <c r="J102">
        <f t="shared" si="4"/>
        <v>2023</v>
      </c>
      <c r="K102" s="5">
        <f t="shared" si="5"/>
        <v>44986</v>
      </c>
    </row>
    <row r="103" spans="1:11" x14ac:dyDescent="0.25">
      <c r="A103" t="s">
        <v>368</v>
      </c>
      <c r="B103" s="3">
        <v>44994</v>
      </c>
      <c r="C103">
        <v>2010</v>
      </c>
      <c r="D103" s="1">
        <v>0</v>
      </c>
      <c r="E103" s="1">
        <v>2021.71</v>
      </c>
      <c r="F103" t="s">
        <v>369</v>
      </c>
      <c r="G103" t="str">
        <f>_xlfn.XLOOKUP(C103,tblCOA[AccountNo],tblCOA[AccountName],"Unmapped")</f>
        <v>Accounts Payable</v>
      </c>
      <c r="H103" t="str">
        <f>_xlfn.XLOOKUP(C103,tblCOA[AccountNo],tblCOA[Category],"Unmapped")</f>
        <v>Liabilities</v>
      </c>
      <c r="I103" s="4">
        <f t="shared" si="3"/>
        <v>-2021.71</v>
      </c>
      <c r="J103">
        <f t="shared" si="4"/>
        <v>2023</v>
      </c>
      <c r="K103" s="5">
        <f t="shared" si="5"/>
        <v>44986</v>
      </c>
    </row>
    <row r="104" spans="1:11" x14ac:dyDescent="0.25">
      <c r="A104" t="s">
        <v>1898</v>
      </c>
      <c r="B104" s="3">
        <v>44997</v>
      </c>
      <c r="C104">
        <v>1200</v>
      </c>
      <c r="D104" s="1">
        <v>27547.72</v>
      </c>
      <c r="E104" s="1">
        <v>0</v>
      </c>
      <c r="F104" t="s">
        <v>1899</v>
      </c>
      <c r="G104" t="str">
        <f>_xlfn.XLOOKUP(C104,tblCOA[AccountNo],tblCOA[AccountName],"Unmapped")</f>
        <v>Accounts Receivable</v>
      </c>
      <c r="H104" t="str">
        <f>_xlfn.XLOOKUP(C104,tblCOA[AccountNo],tblCOA[Category],"Unmapped")</f>
        <v>Assets</v>
      </c>
      <c r="I104" s="4">
        <f t="shared" si="3"/>
        <v>27547.72</v>
      </c>
      <c r="J104">
        <f t="shared" si="4"/>
        <v>2023</v>
      </c>
      <c r="K104" s="5">
        <f t="shared" si="5"/>
        <v>44986</v>
      </c>
    </row>
    <row r="105" spans="1:11" x14ac:dyDescent="0.25">
      <c r="A105" t="s">
        <v>1900</v>
      </c>
      <c r="B105" s="3">
        <v>44997</v>
      </c>
      <c r="C105">
        <v>4010</v>
      </c>
      <c r="D105" s="1">
        <v>0</v>
      </c>
      <c r="E105" s="1">
        <v>27547.72</v>
      </c>
      <c r="F105" t="s">
        <v>1901</v>
      </c>
      <c r="G105" t="str">
        <f>_xlfn.XLOOKUP(C105,tblCOA[AccountNo],tblCOA[AccountName],"Unmapped")</f>
        <v>Product Sales</v>
      </c>
      <c r="H105" t="str">
        <f>_xlfn.XLOOKUP(C105,tblCOA[AccountNo],tblCOA[Category],"Unmapped")</f>
        <v>Revenue</v>
      </c>
      <c r="I105" s="4">
        <f t="shared" si="3"/>
        <v>-27547.72</v>
      </c>
      <c r="J105">
        <f t="shared" si="4"/>
        <v>2023</v>
      </c>
      <c r="K105" s="5">
        <f t="shared" si="5"/>
        <v>44986</v>
      </c>
    </row>
    <row r="106" spans="1:11" x14ac:dyDescent="0.25">
      <c r="A106" t="s">
        <v>2174</v>
      </c>
      <c r="B106" s="3">
        <v>44998</v>
      </c>
      <c r="C106">
        <v>5010</v>
      </c>
      <c r="D106" s="1">
        <v>12285.28</v>
      </c>
      <c r="E106" s="1">
        <v>0</v>
      </c>
      <c r="F106" t="s">
        <v>2175</v>
      </c>
      <c r="G106" t="str">
        <f>_xlfn.XLOOKUP(C106,tblCOA[AccountNo],tblCOA[AccountName],"Unmapped")</f>
        <v>Cost of Goods Sold</v>
      </c>
      <c r="H106" t="str">
        <f>_xlfn.XLOOKUP(C106,tblCOA[AccountNo],tblCOA[Category],"Unmapped")</f>
        <v>Expenses</v>
      </c>
      <c r="I106" s="4">
        <f t="shared" si="3"/>
        <v>12285.28</v>
      </c>
      <c r="J106">
        <f t="shared" si="4"/>
        <v>2023</v>
      </c>
      <c r="K106" s="5">
        <f t="shared" si="5"/>
        <v>44986</v>
      </c>
    </row>
    <row r="107" spans="1:11" x14ac:dyDescent="0.25">
      <c r="A107" t="s">
        <v>2176</v>
      </c>
      <c r="B107" s="3">
        <v>44998</v>
      </c>
      <c r="C107">
        <v>2010</v>
      </c>
      <c r="D107" s="1">
        <v>0</v>
      </c>
      <c r="E107" s="1">
        <v>12285.28</v>
      </c>
      <c r="F107" t="s">
        <v>2177</v>
      </c>
      <c r="G107" t="str">
        <f>_xlfn.XLOOKUP(C107,tblCOA[AccountNo],tblCOA[AccountName],"Unmapped")</f>
        <v>Accounts Payable</v>
      </c>
      <c r="H107" t="str">
        <f>_xlfn.XLOOKUP(C107,tblCOA[AccountNo],tblCOA[Category],"Unmapped")</f>
        <v>Liabilities</v>
      </c>
      <c r="I107" s="4">
        <f t="shared" si="3"/>
        <v>-12285.28</v>
      </c>
      <c r="J107">
        <f t="shared" si="4"/>
        <v>2023</v>
      </c>
      <c r="K107" s="5">
        <f t="shared" si="5"/>
        <v>44986</v>
      </c>
    </row>
    <row r="108" spans="1:11" x14ac:dyDescent="0.25">
      <c r="A108" t="s">
        <v>1426</v>
      </c>
      <c r="B108" s="3">
        <v>44998</v>
      </c>
      <c r="C108">
        <v>1200</v>
      </c>
      <c r="D108" s="1">
        <v>4141.92</v>
      </c>
      <c r="E108" s="1">
        <v>0</v>
      </c>
      <c r="F108" t="s">
        <v>1427</v>
      </c>
      <c r="G108" t="str">
        <f>_xlfn.XLOOKUP(C108,tblCOA[AccountNo],tblCOA[AccountName],"Unmapped")</f>
        <v>Accounts Receivable</v>
      </c>
      <c r="H108" t="str">
        <f>_xlfn.XLOOKUP(C108,tblCOA[AccountNo],tblCOA[Category],"Unmapped")</f>
        <v>Assets</v>
      </c>
      <c r="I108" s="4">
        <f t="shared" si="3"/>
        <v>4141.92</v>
      </c>
      <c r="J108">
        <f t="shared" si="4"/>
        <v>2023</v>
      </c>
      <c r="K108" s="5">
        <f t="shared" si="5"/>
        <v>44986</v>
      </c>
    </row>
    <row r="109" spans="1:11" x14ac:dyDescent="0.25">
      <c r="A109" t="s">
        <v>1428</v>
      </c>
      <c r="B109" s="3">
        <v>44998</v>
      </c>
      <c r="C109">
        <v>4010</v>
      </c>
      <c r="D109" s="1">
        <v>0</v>
      </c>
      <c r="E109" s="1">
        <v>4141.92</v>
      </c>
      <c r="F109" t="s">
        <v>1429</v>
      </c>
      <c r="G109" t="str">
        <f>_xlfn.XLOOKUP(C109,tblCOA[AccountNo],tblCOA[AccountName],"Unmapped")</f>
        <v>Product Sales</v>
      </c>
      <c r="H109" t="str">
        <f>_xlfn.XLOOKUP(C109,tblCOA[AccountNo],tblCOA[Category],"Unmapped")</f>
        <v>Revenue</v>
      </c>
      <c r="I109" s="4">
        <f t="shared" si="3"/>
        <v>-4141.92</v>
      </c>
      <c r="J109">
        <f t="shared" si="4"/>
        <v>2023</v>
      </c>
      <c r="K109" s="5">
        <f t="shared" si="5"/>
        <v>44986</v>
      </c>
    </row>
    <row r="110" spans="1:11" x14ac:dyDescent="0.25">
      <c r="A110" t="s">
        <v>1858</v>
      </c>
      <c r="B110" s="3">
        <v>45000</v>
      </c>
      <c r="C110">
        <v>1200</v>
      </c>
      <c r="D110" s="1">
        <v>27457.45</v>
      </c>
      <c r="E110" s="1">
        <v>0</v>
      </c>
      <c r="F110" t="s">
        <v>1859</v>
      </c>
      <c r="G110" t="str">
        <f>_xlfn.XLOOKUP(C110,tblCOA[AccountNo],tblCOA[AccountName],"Unmapped")</f>
        <v>Accounts Receivable</v>
      </c>
      <c r="H110" t="str">
        <f>_xlfn.XLOOKUP(C110,tblCOA[AccountNo],tblCOA[Category],"Unmapped")</f>
        <v>Assets</v>
      </c>
      <c r="I110" s="4">
        <f t="shared" si="3"/>
        <v>27457.45</v>
      </c>
      <c r="J110">
        <f t="shared" si="4"/>
        <v>2023</v>
      </c>
      <c r="K110" s="5">
        <f t="shared" si="5"/>
        <v>44986</v>
      </c>
    </row>
    <row r="111" spans="1:11" x14ac:dyDescent="0.25">
      <c r="A111" t="s">
        <v>1860</v>
      </c>
      <c r="B111" s="3">
        <v>45000</v>
      </c>
      <c r="C111">
        <v>4010</v>
      </c>
      <c r="D111" s="1">
        <v>0</v>
      </c>
      <c r="E111" s="1">
        <v>27457.45</v>
      </c>
      <c r="F111" t="s">
        <v>1861</v>
      </c>
      <c r="G111" t="str">
        <f>_xlfn.XLOOKUP(C111,tblCOA[AccountNo],tblCOA[AccountName],"Unmapped")</f>
        <v>Product Sales</v>
      </c>
      <c r="H111" t="str">
        <f>_xlfn.XLOOKUP(C111,tblCOA[AccountNo],tblCOA[Category],"Unmapped")</f>
        <v>Revenue</v>
      </c>
      <c r="I111" s="4">
        <f t="shared" si="3"/>
        <v>-27457.45</v>
      </c>
      <c r="J111">
        <f t="shared" si="4"/>
        <v>2023</v>
      </c>
      <c r="K111" s="5">
        <f t="shared" si="5"/>
        <v>44986</v>
      </c>
    </row>
    <row r="112" spans="1:11" x14ac:dyDescent="0.25">
      <c r="A112" t="s">
        <v>1222</v>
      </c>
      <c r="B112" s="3">
        <v>45002</v>
      </c>
      <c r="C112">
        <v>5010</v>
      </c>
      <c r="D112" s="1">
        <v>18278.060000000001</v>
      </c>
      <c r="E112" s="1">
        <v>0</v>
      </c>
      <c r="F112" t="s">
        <v>1223</v>
      </c>
      <c r="G112" t="str">
        <f>_xlfn.XLOOKUP(C112,tblCOA[AccountNo],tblCOA[AccountName],"Unmapped")</f>
        <v>Cost of Goods Sold</v>
      </c>
      <c r="H112" t="str">
        <f>_xlfn.XLOOKUP(C112,tblCOA[AccountNo],tblCOA[Category],"Unmapped")</f>
        <v>Expenses</v>
      </c>
      <c r="I112" s="4">
        <f t="shared" si="3"/>
        <v>18278.060000000001</v>
      </c>
      <c r="J112">
        <f t="shared" si="4"/>
        <v>2023</v>
      </c>
      <c r="K112" s="5">
        <f t="shared" si="5"/>
        <v>44986</v>
      </c>
    </row>
    <row r="113" spans="1:11" x14ac:dyDescent="0.25">
      <c r="A113" t="s">
        <v>1224</v>
      </c>
      <c r="B113" s="3">
        <v>45002</v>
      </c>
      <c r="C113">
        <v>2010</v>
      </c>
      <c r="D113" s="1">
        <v>0</v>
      </c>
      <c r="E113" s="1">
        <v>18278.060000000001</v>
      </c>
      <c r="F113" t="s">
        <v>1225</v>
      </c>
      <c r="G113" t="str">
        <f>_xlfn.XLOOKUP(C113,tblCOA[AccountNo],tblCOA[AccountName],"Unmapped")</f>
        <v>Accounts Payable</v>
      </c>
      <c r="H113" t="str">
        <f>_xlfn.XLOOKUP(C113,tblCOA[AccountNo],tblCOA[Category],"Unmapped")</f>
        <v>Liabilities</v>
      </c>
      <c r="I113" s="4">
        <f t="shared" si="3"/>
        <v>-18278.060000000001</v>
      </c>
      <c r="J113">
        <f t="shared" si="4"/>
        <v>2023</v>
      </c>
      <c r="K113" s="5">
        <f t="shared" si="5"/>
        <v>44986</v>
      </c>
    </row>
    <row r="114" spans="1:11" x14ac:dyDescent="0.25">
      <c r="A114" t="s">
        <v>1826</v>
      </c>
      <c r="B114" s="3">
        <v>45003</v>
      </c>
      <c r="C114">
        <v>1200</v>
      </c>
      <c r="D114" s="1">
        <v>17196.240000000002</v>
      </c>
      <c r="E114" s="1">
        <v>0</v>
      </c>
      <c r="F114" t="s">
        <v>1827</v>
      </c>
      <c r="G114" t="str">
        <f>_xlfn.XLOOKUP(C114,tblCOA[AccountNo],tblCOA[AccountName],"Unmapped")</f>
        <v>Accounts Receivable</v>
      </c>
      <c r="H114" t="str">
        <f>_xlfn.XLOOKUP(C114,tblCOA[AccountNo],tblCOA[Category],"Unmapped")</f>
        <v>Assets</v>
      </c>
      <c r="I114" s="4">
        <f t="shared" si="3"/>
        <v>17196.240000000002</v>
      </c>
      <c r="J114">
        <f t="shared" si="4"/>
        <v>2023</v>
      </c>
      <c r="K114" s="5">
        <f t="shared" si="5"/>
        <v>44986</v>
      </c>
    </row>
    <row r="115" spans="1:11" x14ac:dyDescent="0.25">
      <c r="A115" t="s">
        <v>1828</v>
      </c>
      <c r="B115" s="3">
        <v>45003</v>
      </c>
      <c r="C115">
        <v>4010</v>
      </c>
      <c r="D115" s="1">
        <v>0</v>
      </c>
      <c r="E115" s="1">
        <v>17196.240000000002</v>
      </c>
      <c r="F115" t="s">
        <v>1829</v>
      </c>
      <c r="G115" t="str">
        <f>_xlfn.XLOOKUP(C115,tblCOA[AccountNo],tblCOA[AccountName],"Unmapped")</f>
        <v>Product Sales</v>
      </c>
      <c r="H115" t="str">
        <f>_xlfn.XLOOKUP(C115,tblCOA[AccountNo],tblCOA[Category],"Unmapped")</f>
        <v>Revenue</v>
      </c>
      <c r="I115" s="4">
        <f t="shared" si="3"/>
        <v>-17196.240000000002</v>
      </c>
      <c r="J115">
        <f t="shared" si="4"/>
        <v>2023</v>
      </c>
      <c r="K115" s="5">
        <f t="shared" si="5"/>
        <v>44986</v>
      </c>
    </row>
    <row r="116" spans="1:11" x14ac:dyDescent="0.25">
      <c r="A116" t="s">
        <v>2354</v>
      </c>
      <c r="B116" s="3">
        <v>45007</v>
      </c>
      <c r="C116">
        <v>1200</v>
      </c>
      <c r="D116" s="1">
        <v>8473.19</v>
      </c>
      <c r="E116" s="1">
        <v>0</v>
      </c>
      <c r="F116" t="s">
        <v>2355</v>
      </c>
      <c r="G116" t="str">
        <f>_xlfn.XLOOKUP(C116,tblCOA[AccountNo],tblCOA[AccountName],"Unmapped")</f>
        <v>Accounts Receivable</v>
      </c>
      <c r="H116" t="str">
        <f>_xlfn.XLOOKUP(C116,tblCOA[AccountNo],tblCOA[Category],"Unmapped")</f>
        <v>Assets</v>
      </c>
      <c r="I116" s="4">
        <f t="shared" si="3"/>
        <v>8473.19</v>
      </c>
      <c r="J116">
        <f t="shared" si="4"/>
        <v>2023</v>
      </c>
      <c r="K116" s="5">
        <f t="shared" si="5"/>
        <v>44986</v>
      </c>
    </row>
    <row r="117" spans="1:11" x14ac:dyDescent="0.25">
      <c r="A117" t="s">
        <v>2356</v>
      </c>
      <c r="B117" s="3">
        <v>45007</v>
      </c>
      <c r="C117">
        <v>4010</v>
      </c>
      <c r="D117" s="1">
        <v>0</v>
      </c>
      <c r="E117" s="1">
        <v>8473.19</v>
      </c>
      <c r="F117" t="s">
        <v>2357</v>
      </c>
      <c r="G117" t="str">
        <f>_xlfn.XLOOKUP(C117,tblCOA[AccountNo],tblCOA[AccountName],"Unmapped")</f>
        <v>Product Sales</v>
      </c>
      <c r="H117" t="str">
        <f>_xlfn.XLOOKUP(C117,tblCOA[AccountNo],tblCOA[Category],"Unmapped")</f>
        <v>Revenue</v>
      </c>
      <c r="I117" s="4">
        <f t="shared" si="3"/>
        <v>-8473.19</v>
      </c>
      <c r="J117">
        <f t="shared" si="4"/>
        <v>2023</v>
      </c>
      <c r="K117" s="5">
        <f t="shared" si="5"/>
        <v>44986</v>
      </c>
    </row>
    <row r="118" spans="1:11" x14ac:dyDescent="0.25">
      <c r="A118" t="s">
        <v>2374</v>
      </c>
      <c r="B118" s="3">
        <v>45009</v>
      </c>
      <c r="C118">
        <v>5010</v>
      </c>
      <c r="D118" s="1">
        <v>14014.98</v>
      </c>
      <c r="E118" s="1">
        <v>0</v>
      </c>
      <c r="F118" t="s">
        <v>2375</v>
      </c>
      <c r="G118" t="str">
        <f>_xlfn.XLOOKUP(C118,tblCOA[AccountNo],tblCOA[AccountName],"Unmapped")</f>
        <v>Cost of Goods Sold</v>
      </c>
      <c r="H118" t="str">
        <f>_xlfn.XLOOKUP(C118,tblCOA[AccountNo],tblCOA[Category],"Unmapped")</f>
        <v>Expenses</v>
      </c>
      <c r="I118" s="4">
        <f t="shared" si="3"/>
        <v>14014.98</v>
      </c>
      <c r="J118">
        <f t="shared" si="4"/>
        <v>2023</v>
      </c>
      <c r="K118" s="5">
        <f t="shared" si="5"/>
        <v>44986</v>
      </c>
    </row>
    <row r="119" spans="1:11" x14ac:dyDescent="0.25">
      <c r="A119" t="s">
        <v>2376</v>
      </c>
      <c r="B119" s="3">
        <v>45009</v>
      </c>
      <c r="C119">
        <v>2010</v>
      </c>
      <c r="D119" s="1">
        <v>0</v>
      </c>
      <c r="E119" s="1">
        <v>14014.98</v>
      </c>
      <c r="F119" t="s">
        <v>2377</v>
      </c>
      <c r="G119" t="str">
        <f>_xlfn.XLOOKUP(C119,tblCOA[AccountNo],tblCOA[AccountName],"Unmapped")</f>
        <v>Accounts Payable</v>
      </c>
      <c r="H119" t="str">
        <f>_xlfn.XLOOKUP(C119,tblCOA[AccountNo],tblCOA[Category],"Unmapped")</f>
        <v>Liabilities</v>
      </c>
      <c r="I119" s="4">
        <f t="shared" si="3"/>
        <v>-14014.98</v>
      </c>
      <c r="J119">
        <f t="shared" si="4"/>
        <v>2023</v>
      </c>
      <c r="K119" s="5">
        <f t="shared" si="5"/>
        <v>44986</v>
      </c>
    </row>
    <row r="120" spans="1:11" x14ac:dyDescent="0.25">
      <c r="A120" t="s">
        <v>2098</v>
      </c>
      <c r="B120" s="3">
        <v>45011</v>
      </c>
      <c r="C120">
        <v>1200</v>
      </c>
      <c r="D120" s="1">
        <v>44130.22</v>
      </c>
      <c r="E120" s="1">
        <v>0</v>
      </c>
      <c r="F120" t="s">
        <v>2099</v>
      </c>
      <c r="G120" t="str">
        <f>_xlfn.XLOOKUP(C120,tblCOA[AccountNo],tblCOA[AccountName],"Unmapped")</f>
        <v>Accounts Receivable</v>
      </c>
      <c r="H120" t="str">
        <f>_xlfn.XLOOKUP(C120,tblCOA[AccountNo],tblCOA[Category],"Unmapped")</f>
        <v>Assets</v>
      </c>
      <c r="I120" s="4">
        <f t="shared" si="3"/>
        <v>44130.22</v>
      </c>
      <c r="J120">
        <f t="shared" si="4"/>
        <v>2023</v>
      </c>
      <c r="K120" s="5">
        <f t="shared" si="5"/>
        <v>44986</v>
      </c>
    </row>
    <row r="121" spans="1:11" x14ac:dyDescent="0.25">
      <c r="A121" t="s">
        <v>2100</v>
      </c>
      <c r="B121" s="3">
        <v>45011</v>
      </c>
      <c r="C121">
        <v>4010</v>
      </c>
      <c r="D121" s="1">
        <v>0</v>
      </c>
      <c r="E121" s="1">
        <v>44130.22</v>
      </c>
      <c r="F121" t="s">
        <v>2101</v>
      </c>
      <c r="G121" t="str">
        <f>_xlfn.XLOOKUP(C121,tblCOA[AccountNo],tblCOA[AccountName],"Unmapped")</f>
        <v>Product Sales</v>
      </c>
      <c r="H121" t="str">
        <f>_xlfn.XLOOKUP(C121,tblCOA[AccountNo],tblCOA[Category],"Unmapped")</f>
        <v>Revenue</v>
      </c>
      <c r="I121" s="4">
        <f t="shared" si="3"/>
        <v>-44130.22</v>
      </c>
      <c r="J121">
        <f t="shared" si="4"/>
        <v>2023</v>
      </c>
      <c r="K121" s="5">
        <f t="shared" si="5"/>
        <v>44986</v>
      </c>
    </row>
    <row r="122" spans="1:11" x14ac:dyDescent="0.25">
      <c r="A122" t="s">
        <v>1478</v>
      </c>
      <c r="B122" s="3">
        <v>45011</v>
      </c>
      <c r="C122">
        <v>5010</v>
      </c>
      <c r="D122" s="1">
        <v>10568.05</v>
      </c>
      <c r="E122" s="1">
        <v>0</v>
      </c>
      <c r="F122" t="s">
        <v>1479</v>
      </c>
      <c r="G122" t="str">
        <f>_xlfn.XLOOKUP(C122,tblCOA[AccountNo],tblCOA[AccountName],"Unmapped")</f>
        <v>Cost of Goods Sold</v>
      </c>
      <c r="H122" t="str">
        <f>_xlfn.XLOOKUP(C122,tblCOA[AccountNo],tblCOA[Category],"Unmapped")</f>
        <v>Expenses</v>
      </c>
      <c r="I122" s="4">
        <f t="shared" si="3"/>
        <v>10568.05</v>
      </c>
      <c r="J122">
        <f t="shared" si="4"/>
        <v>2023</v>
      </c>
      <c r="K122" s="5">
        <f t="shared" si="5"/>
        <v>44986</v>
      </c>
    </row>
    <row r="123" spans="1:11" x14ac:dyDescent="0.25">
      <c r="A123" t="s">
        <v>1480</v>
      </c>
      <c r="B123" s="3">
        <v>45011</v>
      </c>
      <c r="C123">
        <v>2010</v>
      </c>
      <c r="D123" s="1">
        <v>0</v>
      </c>
      <c r="E123" s="1">
        <v>10568.05</v>
      </c>
      <c r="F123" t="s">
        <v>1481</v>
      </c>
      <c r="G123" t="str">
        <f>_xlfn.XLOOKUP(C123,tblCOA[AccountNo],tblCOA[AccountName],"Unmapped")</f>
        <v>Accounts Payable</v>
      </c>
      <c r="H123" t="str">
        <f>_xlfn.XLOOKUP(C123,tblCOA[AccountNo],tblCOA[Category],"Unmapped")</f>
        <v>Liabilities</v>
      </c>
      <c r="I123" s="4">
        <f t="shared" si="3"/>
        <v>-10568.05</v>
      </c>
      <c r="J123">
        <f t="shared" si="4"/>
        <v>2023</v>
      </c>
      <c r="K123" s="5">
        <f t="shared" si="5"/>
        <v>44986</v>
      </c>
    </row>
    <row r="124" spans="1:11" x14ac:dyDescent="0.25">
      <c r="A124" t="s">
        <v>2486</v>
      </c>
      <c r="B124" s="3">
        <v>45013</v>
      </c>
      <c r="C124">
        <v>5010</v>
      </c>
      <c r="D124" s="1">
        <v>4781.04</v>
      </c>
      <c r="E124" s="1">
        <v>0</v>
      </c>
      <c r="F124" t="s">
        <v>2487</v>
      </c>
      <c r="G124" t="str">
        <f>_xlfn.XLOOKUP(C124,tblCOA[AccountNo],tblCOA[AccountName],"Unmapped")</f>
        <v>Cost of Goods Sold</v>
      </c>
      <c r="H124" t="str">
        <f>_xlfn.XLOOKUP(C124,tblCOA[AccountNo],tblCOA[Category],"Unmapped")</f>
        <v>Expenses</v>
      </c>
      <c r="I124" s="4">
        <f t="shared" si="3"/>
        <v>4781.04</v>
      </c>
      <c r="J124">
        <f t="shared" si="4"/>
        <v>2023</v>
      </c>
      <c r="K124" s="5">
        <f t="shared" si="5"/>
        <v>44986</v>
      </c>
    </row>
    <row r="125" spans="1:11" x14ac:dyDescent="0.25">
      <c r="A125" t="s">
        <v>2488</v>
      </c>
      <c r="B125" s="3">
        <v>45013</v>
      </c>
      <c r="C125">
        <v>2010</v>
      </c>
      <c r="D125" s="1">
        <v>0</v>
      </c>
      <c r="E125" s="1">
        <v>4781.04</v>
      </c>
      <c r="F125" t="s">
        <v>2489</v>
      </c>
      <c r="G125" t="str">
        <f>_xlfn.XLOOKUP(C125,tblCOA[AccountNo],tblCOA[AccountName],"Unmapped")</f>
        <v>Accounts Payable</v>
      </c>
      <c r="H125" t="str">
        <f>_xlfn.XLOOKUP(C125,tblCOA[AccountNo],tblCOA[Category],"Unmapped")</f>
        <v>Liabilities</v>
      </c>
      <c r="I125" s="4">
        <f t="shared" si="3"/>
        <v>-4781.04</v>
      </c>
      <c r="J125">
        <f t="shared" si="4"/>
        <v>2023</v>
      </c>
      <c r="K125" s="5">
        <f t="shared" si="5"/>
        <v>44986</v>
      </c>
    </row>
    <row r="126" spans="1:11" x14ac:dyDescent="0.25">
      <c r="A126" t="s">
        <v>2650</v>
      </c>
      <c r="B126" s="3">
        <v>45014</v>
      </c>
      <c r="C126">
        <v>1200</v>
      </c>
      <c r="D126" s="1">
        <v>23642.79</v>
      </c>
      <c r="E126" s="1">
        <v>0</v>
      </c>
      <c r="F126" t="s">
        <v>2651</v>
      </c>
      <c r="G126" t="str">
        <f>_xlfn.XLOOKUP(C126,tblCOA[AccountNo],tblCOA[AccountName],"Unmapped")</f>
        <v>Accounts Receivable</v>
      </c>
      <c r="H126" t="str">
        <f>_xlfn.XLOOKUP(C126,tblCOA[AccountNo],tblCOA[Category],"Unmapped")</f>
        <v>Assets</v>
      </c>
      <c r="I126" s="4">
        <f t="shared" si="3"/>
        <v>23642.79</v>
      </c>
      <c r="J126">
        <f t="shared" si="4"/>
        <v>2023</v>
      </c>
      <c r="K126" s="5">
        <f t="shared" si="5"/>
        <v>44986</v>
      </c>
    </row>
    <row r="127" spans="1:11" x14ac:dyDescent="0.25">
      <c r="A127" t="s">
        <v>2652</v>
      </c>
      <c r="B127" s="3">
        <v>45014</v>
      </c>
      <c r="C127">
        <v>4010</v>
      </c>
      <c r="D127" s="1">
        <v>0</v>
      </c>
      <c r="E127" s="1">
        <v>23642.79</v>
      </c>
      <c r="F127" t="s">
        <v>2653</v>
      </c>
      <c r="G127" t="str">
        <f>_xlfn.XLOOKUP(C127,tblCOA[AccountNo],tblCOA[AccountName],"Unmapped")</f>
        <v>Product Sales</v>
      </c>
      <c r="H127" t="str">
        <f>_xlfn.XLOOKUP(C127,tblCOA[AccountNo],tblCOA[Category],"Unmapped")</f>
        <v>Revenue</v>
      </c>
      <c r="I127" s="4">
        <f t="shared" si="3"/>
        <v>-23642.79</v>
      </c>
      <c r="J127">
        <f t="shared" si="4"/>
        <v>2023</v>
      </c>
      <c r="K127" s="5">
        <f t="shared" si="5"/>
        <v>44986</v>
      </c>
    </row>
    <row r="128" spans="1:11" x14ac:dyDescent="0.25">
      <c r="A128" t="s">
        <v>1226</v>
      </c>
      <c r="B128" s="3">
        <v>45014</v>
      </c>
      <c r="C128">
        <v>1200</v>
      </c>
      <c r="D128" s="1">
        <v>44717.3</v>
      </c>
      <c r="E128" s="1">
        <v>0</v>
      </c>
      <c r="F128" t="s">
        <v>1227</v>
      </c>
      <c r="G128" t="str">
        <f>_xlfn.XLOOKUP(C128,tblCOA[AccountNo],tblCOA[AccountName],"Unmapped")</f>
        <v>Accounts Receivable</v>
      </c>
      <c r="H128" t="str">
        <f>_xlfn.XLOOKUP(C128,tblCOA[AccountNo],tblCOA[Category],"Unmapped")</f>
        <v>Assets</v>
      </c>
      <c r="I128" s="4">
        <f t="shared" si="3"/>
        <v>44717.3</v>
      </c>
      <c r="J128">
        <f t="shared" si="4"/>
        <v>2023</v>
      </c>
      <c r="K128" s="5">
        <f t="shared" si="5"/>
        <v>44986</v>
      </c>
    </row>
    <row r="129" spans="1:11" x14ac:dyDescent="0.25">
      <c r="A129" t="s">
        <v>1228</v>
      </c>
      <c r="B129" s="3">
        <v>45014</v>
      </c>
      <c r="C129">
        <v>4010</v>
      </c>
      <c r="D129" s="1">
        <v>0</v>
      </c>
      <c r="E129" s="1">
        <v>44717.3</v>
      </c>
      <c r="F129" t="s">
        <v>1229</v>
      </c>
      <c r="G129" t="str">
        <f>_xlfn.XLOOKUP(C129,tblCOA[AccountNo],tblCOA[AccountName],"Unmapped")</f>
        <v>Product Sales</v>
      </c>
      <c r="H129" t="str">
        <f>_xlfn.XLOOKUP(C129,tblCOA[AccountNo],tblCOA[Category],"Unmapped")</f>
        <v>Revenue</v>
      </c>
      <c r="I129" s="4">
        <f t="shared" si="3"/>
        <v>-44717.3</v>
      </c>
      <c r="J129">
        <f t="shared" si="4"/>
        <v>2023</v>
      </c>
      <c r="K129" s="5">
        <f t="shared" si="5"/>
        <v>44986</v>
      </c>
    </row>
    <row r="130" spans="1:11" x14ac:dyDescent="0.25">
      <c r="A130" t="s">
        <v>1258</v>
      </c>
      <c r="B130" s="3">
        <v>45014</v>
      </c>
      <c r="C130">
        <v>1200</v>
      </c>
      <c r="D130" s="1">
        <v>30466.240000000002</v>
      </c>
      <c r="E130" s="1">
        <v>0</v>
      </c>
      <c r="F130" t="s">
        <v>1259</v>
      </c>
      <c r="G130" t="str">
        <f>_xlfn.XLOOKUP(C130,tblCOA[AccountNo],tblCOA[AccountName],"Unmapped")</f>
        <v>Accounts Receivable</v>
      </c>
      <c r="H130" t="str">
        <f>_xlfn.XLOOKUP(C130,tblCOA[AccountNo],tblCOA[Category],"Unmapped")</f>
        <v>Assets</v>
      </c>
      <c r="I130" s="4">
        <f t="shared" ref="I130:I193" si="6">D130-E130</f>
        <v>30466.240000000002</v>
      </c>
      <c r="J130">
        <f t="shared" ref="J130:J193" si="7">YEAR(B130)</f>
        <v>2023</v>
      </c>
      <c r="K130" s="5">
        <f t="shared" ref="K130:K193" si="8">DATE(YEAR(B130),MONTH(B130),1)</f>
        <v>44986</v>
      </c>
    </row>
    <row r="131" spans="1:11" x14ac:dyDescent="0.25">
      <c r="A131" t="s">
        <v>1260</v>
      </c>
      <c r="B131" s="3">
        <v>45014</v>
      </c>
      <c r="C131">
        <v>4010</v>
      </c>
      <c r="D131" s="1">
        <v>0</v>
      </c>
      <c r="E131" s="1">
        <v>30466.240000000002</v>
      </c>
      <c r="F131" t="s">
        <v>1261</v>
      </c>
      <c r="G131" t="str">
        <f>_xlfn.XLOOKUP(C131,tblCOA[AccountNo],tblCOA[AccountName],"Unmapped")</f>
        <v>Product Sales</v>
      </c>
      <c r="H131" t="str">
        <f>_xlfn.XLOOKUP(C131,tblCOA[AccountNo],tblCOA[Category],"Unmapped")</f>
        <v>Revenue</v>
      </c>
      <c r="I131" s="4">
        <f t="shared" si="6"/>
        <v>-30466.240000000002</v>
      </c>
      <c r="J131">
        <f t="shared" si="7"/>
        <v>2023</v>
      </c>
      <c r="K131" s="5">
        <f t="shared" si="8"/>
        <v>44986</v>
      </c>
    </row>
    <row r="132" spans="1:11" x14ac:dyDescent="0.25">
      <c r="A132" t="s">
        <v>1570</v>
      </c>
      <c r="B132" s="3">
        <v>45014</v>
      </c>
      <c r="C132">
        <v>1200</v>
      </c>
      <c r="D132" s="1">
        <v>49427.8</v>
      </c>
      <c r="E132" s="1">
        <v>0</v>
      </c>
      <c r="F132" t="s">
        <v>1571</v>
      </c>
      <c r="G132" t="str">
        <f>_xlfn.XLOOKUP(C132,tblCOA[AccountNo],tblCOA[AccountName],"Unmapped")</f>
        <v>Accounts Receivable</v>
      </c>
      <c r="H132" t="str">
        <f>_xlfn.XLOOKUP(C132,tblCOA[AccountNo],tblCOA[Category],"Unmapped")</f>
        <v>Assets</v>
      </c>
      <c r="I132" s="4">
        <f t="shared" si="6"/>
        <v>49427.8</v>
      </c>
      <c r="J132">
        <f t="shared" si="7"/>
        <v>2023</v>
      </c>
      <c r="K132" s="5">
        <f t="shared" si="8"/>
        <v>44986</v>
      </c>
    </row>
    <row r="133" spans="1:11" x14ac:dyDescent="0.25">
      <c r="A133" t="s">
        <v>1572</v>
      </c>
      <c r="B133" s="3">
        <v>45014</v>
      </c>
      <c r="C133">
        <v>4010</v>
      </c>
      <c r="D133" s="1">
        <v>0</v>
      </c>
      <c r="E133" s="1">
        <v>49427.8</v>
      </c>
      <c r="F133" t="s">
        <v>1573</v>
      </c>
      <c r="G133" t="str">
        <f>_xlfn.XLOOKUP(C133,tblCOA[AccountNo],tblCOA[AccountName],"Unmapped")</f>
        <v>Product Sales</v>
      </c>
      <c r="H133" t="str">
        <f>_xlfn.XLOOKUP(C133,tblCOA[AccountNo],tblCOA[Category],"Unmapped")</f>
        <v>Revenue</v>
      </c>
      <c r="I133" s="4">
        <f t="shared" si="6"/>
        <v>-49427.8</v>
      </c>
      <c r="J133">
        <f t="shared" si="7"/>
        <v>2023</v>
      </c>
      <c r="K133" s="5">
        <f t="shared" si="8"/>
        <v>44986</v>
      </c>
    </row>
    <row r="134" spans="1:11" x14ac:dyDescent="0.25">
      <c r="A134" t="s">
        <v>810</v>
      </c>
      <c r="B134" s="3">
        <v>45018</v>
      </c>
      <c r="C134">
        <v>1200</v>
      </c>
      <c r="D134" s="1">
        <v>11444.83</v>
      </c>
      <c r="E134" s="1">
        <v>0</v>
      </c>
      <c r="F134" t="s">
        <v>811</v>
      </c>
      <c r="G134" t="str">
        <f>_xlfn.XLOOKUP(C134,tblCOA[AccountNo],tblCOA[AccountName],"Unmapped")</f>
        <v>Accounts Receivable</v>
      </c>
      <c r="H134" t="str">
        <f>_xlfn.XLOOKUP(C134,tblCOA[AccountNo],tblCOA[Category],"Unmapped")</f>
        <v>Assets</v>
      </c>
      <c r="I134" s="4">
        <f t="shared" si="6"/>
        <v>11444.83</v>
      </c>
      <c r="J134">
        <f t="shared" si="7"/>
        <v>2023</v>
      </c>
      <c r="K134" s="5">
        <f t="shared" si="8"/>
        <v>45017</v>
      </c>
    </row>
    <row r="135" spans="1:11" x14ac:dyDescent="0.25">
      <c r="A135" t="s">
        <v>812</v>
      </c>
      <c r="B135" s="3">
        <v>45018</v>
      </c>
      <c r="C135">
        <v>4010</v>
      </c>
      <c r="D135" s="1">
        <v>0</v>
      </c>
      <c r="E135" s="1">
        <v>11444.83</v>
      </c>
      <c r="F135" t="s">
        <v>813</v>
      </c>
      <c r="G135" t="str">
        <f>_xlfn.XLOOKUP(C135,tblCOA[AccountNo],tblCOA[AccountName],"Unmapped")</f>
        <v>Product Sales</v>
      </c>
      <c r="H135" t="str">
        <f>_xlfn.XLOOKUP(C135,tblCOA[AccountNo],tblCOA[Category],"Unmapped")</f>
        <v>Revenue</v>
      </c>
      <c r="I135" s="4">
        <f t="shared" si="6"/>
        <v>-11444.83</v>
      </c>
      <c r="J135">
        <f t="shared" si="7"/>
        <v>2023</v>
      </c>
      <c r="K135" s="5">
        <f t="shared" si="8"/>
        <v>45017</v>
      </c>
    </row>
    <row r="136" spans="1:11" x14ac:dyDescent="0.25">
      <c r="A136" t="s">
        <v>306</v>
      </c>
      <c r="B136" s="3">
        <v>45023</v>
      </c>
      <c r="C136">
        <v>1200</v>
      </c>
      <c r="D136" s="1">
        <v>35570.080000000002</v>
      </c>
      <c r="E136" s="1">
        <v>0</v>
      </c>
      <c r="F136" t="s">
        <v>307</v>
      </c>
      <c r="G136" t="str">
        <f>_xlfn.XLOOKUP(C136,tblCOA[AccountNo],tblCOA[AccountName],"Unmapped")</f>
        <v>Accounts Receivable</v>
      </c>
      <c r="H136" t="str">
        <f>_xlfn.XLOOKUP(C136,tblCOA[AccountNo],tblCOA[Category],"Unmapped")</f>
        <v>Assets</v>
      </c>
      <c r="I136" s="4">
        <f t="shared" si="6"/>
        <v>35570.080000000002</v>
      </c>
      <c r="J136">
        <f t="shared" si="7"/>
        <v>2023</v>
      </c>
      <c r="K136" s="5">
        <f t="shared" si="8"/>
        <v>45017</v>
      </c>
    </row>
    <row r="137" spans="1:11" x14ac:dyDescent="0.25">
      <c r="A137" t="s">
        <v>308</v>
      </c>
      <c r="B137" s="3">
        <v>45023</v>
      </c>
      <c r="C137">
        <v>4010</v>
      </c>
      <c r="D137" s="1">
        <v>0</v>
      </c>
      <c r="E137" s="1">
        <v>35570.080000000002</v>
      </c>
      <c r="F137" t="s">
        <v>309</v>
      </c>
      <c r="G137" t="str">
        <f>_xlfn.XLOOKUP(C137,tblCOA[AccountNo],tblCOA[AccountName],"Unmapped")</f>
        <v>Product Sales</v>
      </c>
      <c r="H137" t="str">
        <f>_xlfn.XLOOKUP(C137,tblCOA[AccountNo],tblCOA[Category],"Unmapped")</f>
        <v>Revenue</v>
      </c>
      <c r="I137" s="4">
        <f t="shared" si="6"/>
        <v>-35570.080000000002</v>
      </c>
      <c r="J137">
        <f t="shared" si="7"/>
        <v>2023</v>
      </c>
      <c r="K137" s="5">
        <f t="shared" si="8"/>
        <v>45017</v>
      </c>
    </row>
    <row r="138" spans="1:11" x14ac:dyDescent="0.25">
      <c r="A138" t="s">
        <v>3682</v>
      </c>
      <c r="B138" s="3">
        <v>45024</v>
      </c>
      <c r="C138">
        <v>1200</v>
      </c>
      <c r="D138" s="1">
        <v>5485.81</v>
      </c>
      <c r="E138" s="1">
        <v>0</v>
      </c>
      <c r="F138" t="s">
        <v>3683</v>
      </c>
      <c r="G138" t="str">
        <f>_xlfn.XLOOKUP(C138,tblCOA[AccountNo],tblCOA[AccountName],"Unmapped")</f>
        <v>Accounts Receivable</v>
      </c>
      <c r="H138" t="str">
        <f>_xlfn.XLOOKUP(C138,tblCOA[AccountNo],tblCOA[Category],"Unmapped")</f>
        <v>Assets</v>
      </c>
      <c r="I138" s="4">
        <f t="shared" si="6"/>
        <v>5485.81</v>
      </c>
      <c r="J138">
        <f t="shared" si="7"/>
        <v>2023</v>
      </c>
      <c r="K138" s="5">
        <f t="shared" si="8"/>
        <v>45017</v>
      </c>
    </row>
    <row r="139" spans="1:11" x14ac:dyDescent="0.25">
      <c r="A139" t="s">
        <v>3684</v>
      </c>
      <c r="B139" s="3">
        <v>45024</v>
      </c>
      <c r="C139">
        <v>4010</v>
      </c>
      <c r="D139" s="1">
        <v>0</v>
      </c>
      <c r="E139" s="1">
        <v>5485.81</v>
      </c>
      <c r="F139" t="s">
        <v>3685</v>
      </c>
      <c r="G139" t="str">
        <f>_xlfn.XLOOKUP(C139,tblCOA[AccountNo],tblCOA[AccountName],"Unmapped")</f>
        <v>Product Sales</v>
      </c>
      <c r="H139" t="str">
        <f>_xlfn.XLOOKUP(C139,tblCOA[AccountNo],tblCOA[Category],"Unmapped")</f>
        <v>Revenue</v>
      </c>
      <c r="I139" s="4">
        <f t="shared" si="6"/>
        <v>-5485.81</v>
      </c>
      <c r="J139">
        <f t="shared" si="7"/>
        <v>2023</v>
      </c>
      <c r="K139" s="5">
        <f t="shared" si="8"/>
        <v>45017</v>
      </c>
    </row>
    <row r="140" spans="1:11" x14ac:dyDescent="0.25">
      <c r="A140" t="s">
        <v>2242</v>
      </c>
      <c r="B140" s="3">
        <v>45026</v>
      </c>
      <c r="C140">
        <v>1200</v>
      </c>
      <c r="D140" s="1">
        <v>49913.63</v>
      </c>
      <c r="E140" s="1">
        <v>0</v>
      </c>
      <c r="F140" t="s">
        <v>2243</v>
      </c>
      <c r="G140" t="str">
        <f>_xlfn.XLOOKUP(C140,tblCOA[AccountNo],tblCOA[AccountName],"Unmapped")</f>
        <v>Accounts Receivable</v>
      </c>
      <c r="H140" t="str">
        <f>_xlfn.XLOOKUP(C140,tblCOA[AccountNo],tblCOA[Category],"Unmapped")</f>
        <v>Assets</v>
      </c>
      <c r="I140" s="4">
        <f t="shared" si="6"/>
        <v>49913.63</v>
      </c>
      <c r="J140">
        <f t="shared" si="7"/>
        <v>2023</v>
      </c>
      <c r="K140" s="5">
        <f t="shared" si="8"/>
        <v>45017</v>
      </c>
    </row>
    <row r="141" spans="1:11" x14ac:dyDescent="0.25">
      <c r="A141" t="s">
        <v>2244</v>
      </c>
      <c r="B141" s="3">
        <v>45026</v>
      </c>
      <c r="C141">
        <v>4010</v>
      </c>
      <c r="D141" s="1">
        <v>0</v>
      </c>
      <c r="E141" s="1">
        <v>49913.63</v>
      </c>
      <c r="F141" t="s">
        <v>2245</v>
      </c>
      <c r="G141" t="str">
        <f>_xlfn.XLOOKUP(C141,tblCOA[AccountNo],tblCOA[AccountName],"Unmapped")</f>
        <v>Product Sales</v>
      </c>
      <c r="H141" t="str">
        <f>_xlfn.XLOOKUP(C141,tblCOA[AccountNo],tblCOA[Category],"Unmapped")</f>
        <v>Revenue</v>
      </c>
      <c r="I141" s="4">
        <f t="shared" si="6"/>
        <v>-49913.63</v>
      </c>
      <c r="J141">
        <f t="shared" si="7"/>
        <v>2023</v>
      </c>
      <c r="K141" s="5">
        <f t="shared" si="8"/>
        <v>45017</v>
      </c>
    </row>
    <row r="142" spans="1:11" x14ac:dyDescent="0.25">
      <c r="A142" t="s">
        <v>3994</v>
      </c>
      <c r="B142" s="3">
        <v>45026</v>
      </c>
      <c r="C142">
        <v>1200</v>
      </c>
      <c r="D142" s="1">
        <v>6997.88</v>
      </c>
      <c r="E142" s="1">
        <v>0</v>
      </c>
      <c r="F142" t="s">
        <v>3995</v>
      </c>
      <c r="G142" t="str">
        <f>_xlfn.XLOOKUP(C142,tblCOA[AccountNo],tblCOA[AccountName],"Unmapped")</f>
        <v>Accounts Receivable</v>
      </c>
      <c r="H142" t="str">
        <f>_xlfn.XLOOKUP(C142,tblCOA[AccountNo],tblCOA[Category],"Unmapped")</f>
        <v>Assets</v>
      </c>
      <c r="I142" s="4">
        <f t="shared" si="6"/>
        <v>6997.88</v>
      </c>
      <c r="J142">
        <f t="shared" si="7"/>
        <v>2023</v>
      </c>
      <c r="K142" s="5">
        <f t="shared" si="8"/>
        <v>45017</v>
      </c>
    </row>
    <row r="143" spans="1:11" x14ac:dyDescent="0.25">
      <c r="A143" t="s">
        <v>3996</v>
      </c>
      <c r="B143" s="3">
        <v>45026</v>
      </c>
      <c r="C143">
        <v>4010</v>
      </c>
      <c r="D143" s="1">
        <v>0</v>
      </c>
      <c r="E143" s="1">
        <v>6997.88</v>
      </c>
      <c r="F143" t="s">
        <v>3997</v>
      </c>
      <c r="G143" t="str">
        <f>_xlfn.XLOOKUP(C143,tblCOA[AccountNo],tblCOA[AccountName],"Unmapped")</f>
        <v>Product Sales</v>
      </c>
      <c r="H143" t="str">
        <f>_xlfn.XLOOKUP(C143,tblCOA[AccountNo],tblCOA[Category],"Unmapped")</f>
        <v>Revenue</v>
      </c>
      <c r="I143" s="4">
        <f t="shared" si="6"/>
        <v>-6997.88</v>
      </c>
      <c r="J143">
        <f t="shared" si="7"/>
        <v>2023</v>
      </c>
      <c r="K143" s="5">
        <f t="shared" si="8"/>
        <v>45017</v>
      </c>
    </row>
    <row r="144" spans="1:11" x14ac:dyDescent="0.25">
      <c r="A144" t="s">
        <v>238</v>
      </c>
      <c r="B144" s="3">
        <v>45027</v>
      </c>
      <c r="C144">
        <v>5010</v>
      </c>
      <c r="D144" s="1">
        <v>5871.32</v>
      </c>
      <c r="E144" s="1">
        <v>0</v>
      </c>
      <c r="F144" t="s">
        <v>239</v>
      </c>
      <c r="G144" t="str">
        <f>_xlfn.XLOOKUP(C144,tblCOA[AccountNo],tblCOA[AccountName],"Unmapped")</f>
        <v>Cost of Goods Sold</v>
      </c>
      <c r="H144" t="str">
        <f>_xlfn.XLOOKUP(C144,tblCOA[AccountNo],tblCOA[Category],"Unmapped")</f>
        <v>Expenses</v>
      </c>
      <c r="I144" s="4">
        <f t="shared" si="6"/>
        <v>5871.32</v>
      </c>
      <c r="J144">
        <f t="shared" si="7"/>
        <v>2023</v>
      </c>
      <c r="K144" s="5">
        <f t="shared" si="8"/>
        <v>45017</v>
      </c>
    </row>
    <row r="145" spans="1:11" x14ac:dyDescent="0.25">
      <c r="A145" t="s">
        <v>240</v>
      </c>
      <c r="B145" s="3">
        <v>45027</v>
      </c>
      <c r="C145">
        <v>2010</v>
      </c>
      <c r="D145" s="1">
        <v>0</v>
      </c>
      <c r="E145" s="1">
        <v>5871.32</v>
      </c>
      <c r="F145" t="s">
        <v>241</v>
      </c>
      <c r="G145" t="str">
        <f>_xlfn.XLOOKUP(C145,tblCOA[AccountNo],tblCOA[AccountName],"Unmapped")</f>
        <v>Accounts Payable</v>
      </c>
      <c r="H145" t="str">
        <f>_xlfn.XLOOKUP(C145,tblCOA[AccountNo],tblCOA[Category],"Unmapped")</f>
        <v>Liabilities</v>
      </c>
      <c r="I145" s="4">
        <f t="shared" si="6"/>
        <v>-5871.32</v>
      </c>
      <c r="J145">
        <f t="shared" si="7"/>
        <v>2023</v>
      </c>
      <c r="K145" s="5">
        <f t="shared" si="8"/>
        <v>45017</v>
      </c>
    </row>
    <row r="146" spans="1:11" x14ac:dyDescent="0.25">
      <c r="A146" t="s">
        <v>2630</v>
      </c>
      <c r="B146" s="3">
        <v>45027</v>
      </c>
      <c r="C146">
        <v>5010</v>
      </c>
      <c r="D146" s="1">
        <v>16567.59</v>
      </c>
      <c r="E146" s="1">
        <v>0</v>
      </c>
      <c r="F146" t="s">
        <v>2631</v>
      </c>
      <c r="G146" t="str">
        <f>_xlfn.XLOOKUP(C146,tblCOA[AccountNo],tblCOA[AccountName],"Unmapped")</f>
        <v>Cost of Goods Sold</v>
      </c>
      <c r="H146" t="str">
        <f>_xlfn.XLOOKUP(C146,tblCOA[AccountNo],tblCOA[Category],"Unmapped")</f>
        <v>Expenses</v>
      </c>
      <c r="I146" s="4">
        <f t="shared" si="6"/>
        <v>16567.59</v>
      </c>
      <c r="J146">
        <f t="shared" si="7"/>
        <v>2023</v>
      </c>
      <c r="K146" s="5">
        <f t="shared" si="8"/>
        <v>45017</v>
      </c>
    </row>
    <row r="147" spans="1:11" x14ac:dyDescent="0.25">
      <c r="A147" t="s">
        <v>2632</v>
      </c>
      <c r="B147" s="3">
        <v>45027</v>
      </c>
      <c r="C147">
        <v>2010</v>
      </c>
      <c r="D147" s="1">
        <v>0</v>
      </c>
      <c r="E147" s="1">
        <v>16567.59</v>
      </c>
      <c r="F147" t="s">
        <v>2633</v>
      </c>
      <c r="G147" t="str">
        <f>_xlfn.XLOOKUP(C147,tblCOA[AccountNo],tblCOA[AccountName],"Unmapped")</f>
        <v>Accounts Payable</v>
      </c>
      <c r="H147" t="str">
        <f>_xlfn.XLOOKUP(C147,tblCOA[AccountNo],tblCOA[Category],"Unmapped")</f>
        <v>Liabilities</v>
      </c>
      <c r="I147" s="4">
        <f t="shared" si="6"/>
        <v>-16567.59</v>
      </c>
      <c r="J147">
        <f t="shared" si="7"/>
        <v>2023</v>
      </c>
      <c r="K147" s="5">
        <f t="shared" si="8"/>
        <v>45017</v>
      </c>
    </row>
    <row r="148" spans="1:11" x14ac:dyDescent="0.25">
      <c r="A148" t="s">
        <v>3358</v>
      </c>
      <c r="B148" s="3">
        <v>45028</v>
      </c>
      <c r="C148">
        <v>5010</v>
      </c>
      <c r="D148" s="1">
        <v>18119.16</v>
      </c>
      <c r="E148" s="1">
        <v>0</v>
      </c>
      <c r="F148" t="s">
        <v>3359</v>
      </c>
      <c r="G148" t="str">
        <f>_xlfn.XLOOKUP(C148,tblCOA[AccountNo],tblCOA[AccountName],"Unmapped")</f>
        <v>Cost of Goods Sold</v>
      </c>
      <c r="H148" t="str">
        <f>_xlfn.XLOOKUP(C148,tblCOA[AccountNo],tblCOA[Category],"Unmapped")</f>
        <v>Expenses</v>
      </c>
      <c r="I148" s="4">
        <f t="shared" si="6"/>
        <v>18119.16</v>
      </c>
      <c r="J148">
        <f t="shared" si="7"/>
        <v>2023</v>
      </c>
      <c r="K148" s="5">
        <f t="shared" si="8"/>
        <v>45017</v>
      </c>
    </row>
    <row r="149" spans="1:11" x14ac:dyDescent="0.25">
      <c r="A149" t="s">
        <v>3360</v>
      </c>
      <c r="B149" s="3">
        <v>45028</v>
      </c>
      <c r="C149">
        <v>2010</v>
      </c>
      <c r="D149" s="1">
        <v>0</v>
      </c>
      <c r="E149" s="1">
        <v>18119.16</v>
      </c>
      <c r="F149" t="s">
        <v>3361</v>
      </c>
      <c r="G149" t="str">
        <f>_xlfn.XLOOKUP(C149,tblCOA[AccountNo],tblCOA[AccountName],"Unmapped")</f>
        <v>Accounts Payable</v>
      </c>
      <c r="H149" t="str">
        <f>_xlfn.XLOOKUP(C149,tblCOA[AccountNo],tblCOA[Category],"Unmapped")</f>
        <v>Liabilities</v>
      </c>
      <c r="I149" s="4">
        <f t="shared" si="6"/>
        <v>-18119.16</v>
      </c>
      <c r="J149">
        <f t="shared" si="7"/>
        <v>2023</v>
      </c>
      <c r="K149" s="5">
        <f t="shared" si="8"/>
        <v>45017</v>
      </c>
    </row>
    <row r="150" spans="1:11" x14ac:dyDescent="0.25">
      <c r="A150" t="s">
        <v>3574</v>
      </c>
      <c r="B150" s="3">
        <v>45029</v>
      </c>
      <c r="C150">
        <v>5010</v>
      </c>
      <c r="D150" s="1">
        <v>11656.27</v>
      </c>
      <c r="E150" s="1">
        <v>0</v>
      </c>
      <c r="F150" t="s">
        <v>3575</v>
      </c>
      <c r="G150" t="str">
        <f>_xlfn.XLOOKUP(C150,tblCOA[AccountNo],tblCOA[AccountName],"Unmapped")</f>
        <v>Cost of Goods Sold</v>
      </c>
      <c r="H150" t="str">
        <f>_xlfn.XLOOKUP(C150,tblCOA[AccountNo],tblCOA[Category],"Unmapped")</f>
        <v>Expenses</v>
      </c>
      <c r="I150" s="4">
        <f t="shared" si="6"/>
        <v>11656.27</v>
      </c>
      <c r="J150">
        <f t="shared" si="7"/>
        <v>2023</v>
      </c>
      <c r="K150" s="5">
        <f t="shared" si="8"/>
        <v>45017</v>
      </c>
    </row>
    <row r="151" spans="1:11" x14ac:dyDescent="0.25">
      <c r="A151" t="s">
        <v>3576</v>
      </c>
      <c r="B151" s="3">
        <v>45029</v>
      </c>
      <c r="C151">
        <v>2010</v>
      </c>
      <c r="D151" s="1">
        <v>0</v>
      </c>
      <c r="E151" s="1">
        <v>11656.27</v>
      </c>
      <c r="F151" t="s">
        <v>3577</v>
      </c>
      <c r="G151" t="str">
        <f>_xlfn.XLOOKUP(C151,tblCOA[AccountNo],tblCOA[AccountName],"Unmapped")</f>
        <v>Accounts Payable</v>
      </c>
      <c r="H151" t="str">
        <f>_xlfn.XLOOKUP(C151,tblCOA[AccountNo],tblCOA[Category],"Unmapped")</f>
        <v>Liabilities</v>
      </c>
      <c r="I151" s="4">
        <f t="shared" si="6"/>
        <v>-11656.27</v>
      </c>
      <c r="J151">
        <f t="shared" si="7"/>
        <v>2023</v>
      </c>
      <c r="K151" s="5">
        <f t="shared" si="8"/>
        <v>45017</v>
      </c>
    </row>
    <row r="152" spans="1:11" x14ac:dyDescent="0.25">
      <c r="A152" t="s">
        <v>182</v>
      </c>
      <c r="B152" s="3">
        <v>45030</v>
      </c>
      <c r="C152">
        <v>5010</v>
      </c>
      <c r="D152" s="1">
        <v>3953.04</v>
      </c>
      <c r="E152" s="1">
        <v>0</v>
      </c>
      <c r="F152" t="s">
        <v>183</v>
      </c>
      <c r="G152" t="str">
        <f>_xlfn.XLOOKUP(C152,tblCOA[AccountNo],tblCOA[AccountName],"Unmapped")</f>
        <v>Cost of Goods Sold</v>
      </c>
      <c r="H152" t="str">
        <f>_xlfn.XLOOKUP(C152,tblCOA[AccountNo],tblCOA[Category],"Unmapped")</f>
        <v>Expenses</v>
      </c>
      <c r="I152" s="4">
        <f t="shared" si="6"/>
        <v>3953.04</v>
      </c>
      <c r="J152">
        <f t="shared" si="7"/>
        <v>2023</v>
      </c>
      <c r="K152" s="5">
        <f t="shared" si="8"/>
        <v>45017</v>
      </c>
    </row>
    <row r="153" spans="1:11" x14ac:dyDescent="0.25">
      <c r="A153" t="s">
        <v>184</v>
      </c>
      <c r="B153" s="3">
        <v>45030</v>
      </c>
      <c r="C153">
        <v>2010</v>
      </c>
      <c r="D153" s="1">
        <v>0</v>
      </c>
      <c r="E153" s="1">
        <v>3953.04</v>
      </c>
      <c r="F153" t="s">
        <v>185</v>
      </c>
      <c r="G153" t="str">
        <f>_xlfn.XLOOKUP(C153,tblCOA[AccountNo],tblCOA[AccountName],"Unmapped")</f>
        <v>Accounts Payable</v>
      </c>
      <c r="H153" t="str">
        <f>_xlfn.XLOOKUP(C153,tblCOA[AccountNo],tblCOA[Category],"Unmapped")</f>
        <v>Liabilities</v>
      </c>
      <c r="I153" s="4">
        <f t="shared" si="6"/>
        <v>-3953.04</v>
      </c>
      <c r="J153">
        <f t="shared" si="7"/>
        <v>2023</v>
      </c>
      <c r="K153" s="5">
        <f t="shared" si="8"/>
        <v>45017</v>
      </c>
    </row>
    <row r="154" spans="1:11" x14ac:dyDescent="0.25">
      <c r="A154" t="s">
        <v>3934</v>
      </c>
      <c r="B154" s="3">
        <v>45032</v>
      </c>
      <c r="C154">
        <v>5010</v>
      </c>
      <c r="D154" s="1">
        <v>13521.73</v>
      </c>
      <c r="E154" s="1">
        <v>0</v>
      </c>
      <c r="F154" t="s">
        <v>3935</v>
      </c>
      <c r="G154" t="str">
        <f>_xlfn.XLOOKUP(C154,tblCOA[AccountNo],tblCOA[AccountName],"Unmapped")</f>
        <v>Cost of Goods Sold</v>
      </c>
      <c r="H154" t="str">
        <f>_xlfn.XLOOKUP(C154,tblCOA[AccountNo],tblCOA[Category],"Unmapped")</f>
        <v>Expenses</v>
      </c>
      <c r="I154" s="4">
        <f t="shared" si="6"/>
        <v>13521.73</v>
      </c>
      <c r="J154">
        <f t="shared" si="7"/>
        <v>2023</v>
      </c>
      <c r="K154" s="5">
        <f t="shared" si="8"/>
        <v>45017</v>
      </c>
    </row>
    <row r="155" spans="1:11" x14ac:dyDescent="0.25">
      <c r="A155" t="s">
        <v>3936</v>
      </c>
      <c r="B155" s="3">
        <v>45032</v>
      </c>
      <c r="C155">
        <v>2010</v>
      </c>
      <c r="D155" s="1">
        <v>0</v>
      </c>
      <c r="E155" s="1">
        <v>13521.73</v>
      </c>
      <c r="F155" t="s">
        <v>3937</v>
      </c>
      <c r="G155" t="str">
        <f>_xlfn.XLOOKUP(C155,tblCOA[AccountNo],tblCOA[AccountName],"Unmapped")</f>
        <v>Accounts Payable</v>
      </c>
      <c r="H155" t="str">
        <f>_xlfn.XLOOKUP(C155,tblCOA[AccountNo],tblCOA[Category],"Unmapped")</f>
        <v>Liabilities</v>
      </c>
      <c r="I155" s="4">
        <f t="shared" si="6"/>
        <v>-13521.73</v>
      </c>
      <c r="J155">
        <f t="shared" si="7"/>
        <v>2023</v>
      </c>
      <c r="K155" s="5">
        <f t="shared" si="8"/>
        <v>45017</v>
      </c>
    </row>
    <row r="156" spans="1:11" x14ac:dyDescent="0.25">
      <c r="A156" t="s">
        <v>890</v>
      </c>
      <c r="B156" s="3">
        <v>45035</v>
      </c>
      <c r="C156">
        <v>1200</v>
      </c>
      <c r="D156" s="1">
        <v>21490.33</v>
      </c>
      <c r="E156" s="1">
        <v>0</v>
      </c>
      <c r="F156" t="s">
        <v>891</v>
      </c>
      <c r="G156" t="str">
        <f>_xlfn.XLOOKUP(C156,tblCOA[AccountNo],tblCOA[AccountName],"Unmapped")</f>
        <v>Accounts Receivable</v>
      </c>
      <c r="H156" t="str">
        <f>_xlfn.XLOOKUP(C156,tblCOA[AccountNo],tblCOA[Category],"Unmapped")</f>
        <v>Assets</v>
      </c>
      <c r="I156" s="4">
        <f t="shared" si="6"/>
        <v>21490.33</v>
      </c>
      <c r="J156">
        <f t="shared" si="7"/>
        <v>2023</v>
      </c>
      <c r="K156" s="5">
        <f t="shared" si="8"/>
        <v>45017</v>
      </c>
    </row>
    <row r="157" spans="1:11" x14ac:dyDescent="0.25">
      <c r="A157" t="s">
        <v>892</v>
      </c>
      <c r="B157" s="3">
        <v>45035</v>
      </c>
      <c r="C157">
        <v>4010</v>
      </c>
      <c r="D157" s="1">
        <v>0</v>
      </c>
      <c r="E157" s="1">
        <v>21490.33</v>
      </c>
      <c r="F157" t="s">
        <v>893</v>
      </c>
      <c r="G157" t="str">
        <f>_xlfn.XLOOKUP(C157,tblCOA[AccountNo],tblCOA[AccountName],"Unmapped")</f>
        <v>Product Sales</v>
      </c>
      <c r="H157" t="str">
        <f>_xlfn.XLOOKUP(C157,tblCOA[AccountNo],tblCOA[Category],"Unmapped")</f>
        <v>Revenue</v>
      </c>
      <c r="I157" s="4">
        <f t="shared" si="6"/>
        <v>-21490.33</v>
      </c>
      <c r="J157">
        <f t="shared" si="7"/>
        <v>2023</v>
      </c>
      <c r="K157" s="5">
        <f t="shared" si="8"/>
        <v>45017</v>
      </c>
    </row>
    <row r="158" spans="1:11" x14ac:dyDescent="0.25">
      <c r="A158" t="s">
        <v>914</v>
      </c>
      <c r="B158" s="3">
        <v>45035</v>
      </c>
      <c r="C158">
        <v>1200</v>
      </c>
      <c r="D158" s="1">
        <v>32663.05</v>
      </c>
      <c r="E158" s="1">
        <v>0</v>
      </c>
      <c r="F158" t="s">
        <v>915</v>
      </c>
      <c r="G158" t="str">
        <f>_xlfn.XLOOKUP(C158,tblCOA[AccountNo],tblCOA[AccountName],"Unmapped")</f>
        <v>Accounts Receivable</v>
      </c>
      <c r="H158" t="str">
        <f>_xlfn.XLOOKUP(C158,tblCOA[AccountNo],tblCOA[Category],"Unmapped")</f>
        <v>Assets</v>
      </c>
      <c r="I158" s="4">
        <f t="shared" si="6"/>
        <v>32663.05</v>
      </c>
      <c r="J158">
        <f t="shared" si="7"/>
        <v>2023</v>
      </c>
      <c r="K158" s="5">
        <f t="shared" si="8"/>
        <v>45017</v>
      </c>
    </row>
    <row r="159" spans="1:11" x14ac:dyDescent="0.25">
      <c r="A159" t="s">
        <v>916</v>
      </c>
      <c r="B159" s="3">
        <v>45035</v>
      </c>
      <c r="C159">
        <v>4010</v>
      </c>
      <c r="D159" s="1">
        <v>0</v>
      </c>
      <c r="E159" s="1">
        <v>32663.05</v>
      </c>
      <c r="F159" t="s">
        <v>917</v>
      </c>
      <c r="G159" t="str">
        <f>_xlfn.XLOOKUP(C159,tblCOA[AccountNo],tblCOA[AccountName],"Unmapped")</f>
        <v>Product Sales</v>
      </c>
      <c r="H159" t="str">
        <f>_xlfn.XLOOKUP(C159,tblCOA[AccountNo],tblCOA[Category],"Unmapped")</f>
        <v>Revenue</v>
      </c>
      <c r="I159" s="4">
        <f t="shared" si="6"/>
        <v>-32663.05</v>
      </c>
      <c r="J159">
        <f t="shared" si="7"/>
        <v>2023</v>
      </c>
      <c r="K159" s="5">
        <f t="shared" si="8"/>
        <v>45017</v>
      </c>
    </row>
    <row r="160" spans="1:11" x14ac:dyDescent="0.25">
      <c r="A160" t="s">
        <v>374</v>
      </c>
      <c r="B160" s="3">
        <v>45038</v>
      </c>
      <c r="C160">
        <v>5010</v>
      </c>
      <c r="D160" s="1">
        <v>11330.47</v>
      </c>
      <c r="E160" s="1">
        <v>0</v>
      </c>
      <c r="F160" t="s">
        <v>375</v>
      </c>
      <c r="G160" t="str">
        <f>_xlfn.XLOOKUP(C160,tblCOA[AccountNo],tblCOA[AccountName],"Unmapped")</f>
        <v>Cost of Goods Sold</v>
      </c>
      <c r="H160" t="str">
        <f>_xlfn.XLOOKUP(C160,tblCOA[AccountNo],tblCOA[Category],"Unmapped")</f>
        <v>Expenses</v>
      </c>
      <c r="I160" s="4">
        <f t="shared" si="6"/>
        <v>11330.47</v>
      </c>
      <c r="J160">
        <f t="shared" si="7"/>
        <v>2023</v>
      </c>
      <c r="K160" s="5">
        <f t="shared" si="8"/>
        <v>45017</v>
      </c>
    </row>
    <row r="161" spans="1:11" x14ac:dyDescent="0.25">
      <c r="A161" t="s">
        <v>376</v>
      </c>
      <c r="B161" s="3">
        <v>45038</v>
      </c>
      <c r="C161">
        <v>2010</v>
      </c>
      <c r="D161" s="1">
        <v>0</v>
      </c>
      <c r="E161" s="1">
        <v>11330.47</v>
      </c>
      <c r="F161" t="s">
        <v>377</v>
      </c>
      <c r="G161" t="str">
        <f>_xlfn.XLOOKUP(C161,tblCOA[AccountNo],tblCOA[AccountName],"Unmapped")</f>
        <v>Accounts Payable</v>
      </c>
      <c r="H161" t="str">
        <f>_xlfn.XLOOKUP(C161,tblCOA[AccountNo],tblCOA[Category],"Unmapped")</f>
        <v>Liabilities</v>
      </c>
      <c r="I161" s="4">
        <f t="shared" si="6"/>
        <v>-11330.47</v>
      </c>
      <c r="J161">
        <f t="shared" si="7"/>
        <v>2023</v>
      </c>
      <c r="K161" s="5">
        <f t="shared" si="8"/>
        <v>45017</v>
      </c>
    </row>
    <row r="162" spans="1:11" x14ac:dyDescent="0.25">
      <c r="A162" t="s">
        <v>522</v>
      </c>
      <c r="B162" s="3">
        <v>45039</v>
      </c>
      <c r="C162">
        <v>1200</v>
      </c>
      <c r="D162" s="1">
        <v>44143.97</v>
      </c>
      <c r="E162" s="1">
        <v>0</v>
      </c>
      <c r="F162" t="s">
        <v>523</v>
      </c>
      <c r="G162" t="str">
        <f>_xlfn.XLOOKUP(C162,tblCOA[AccountNo],tblCOA[AccountName],"Unmapped")</f>
        <v>Accounts Receivable</v>
      </c>
      <c r="H162" t="str">
        <f>_xlfn.XLOOKUP(C162,tblCOA[AccountNo],tblCOA[Category],"Unmapped")</f>
        <v>Assets</v>
      </c>
      <c r="I162" s="4">
        <f t="shared" si="6"/>
        <v>44143.97</v>
      </c>
      <c r="J162">
        <f t="shared" si="7"/>
        <v>2023</v>
      </c>
      <c r="K162" s="5">
        <f t="shared" si="8"/>
        <v>45017</v>
      </c>
    </row>
    <row r="163" spans="1:11" x14ac:dyDescent="0.25">
      <c r="A163" t="s">
        <v>524</v>
      </c>
      <c r="B163" s="3">
        <v>45039</v>
      </c>
      <c r="C163">
        <v>4010</v>
      </c>
      <c r="D163" s="1">
        <v>0</v>
      </c>
      <c r="E163" s="1">
        <v>44143.97</v>
      </c>
      <c r="F163" t="s">
        <v>525</v>
      </c>
      <c r="G163" t="str">
        <f>_xlfn.XLOOKUP(C163,tblCOA[AccountNo],tblCOA[AccountName],"Unmapped")</f>
        <v>Product Sales</v>
      </c>
      <c r="H163" t="str">
        <f>_xlfn.XLOOKUP(C163,tblCOA[AccountNo],tblCOA[Category],"Unmapped")</f>
        <v>Revenue</v>
      </c>
      <c r="I163" s="4">
        <f t="shared" si="6"/>
        <v>-44143.97</v>
      </c>
      <c r="J163">
        <f t="shared" si="7"/>
        <v>2023</v>
      </c>
      <c r="K163" s="5">
        <f t="shared" si="8"/>
        <v>45017</v>
      </c>
    </row>
    <row r="164" spans="1:11" x14ac:dyDescent="0.25">
      <c r="A164" t="s">
        <v>1342</v>
      </c>
      <c r="B164" s="3">
        <v>45040</v>
      </c>
      <c r="C164">
        <v>5010</v>
      </c>
      <c r="D164" s="1">
        <v>14367.67</v>
      </c>
      <c r="E164" s="1">
        <v>0</v>
      </c>
      <c r="F164" t="s">
        <v>1343</v>
      </c>
      <c r="G164" t="str">
        <f>_xlfn.XLOOKUP(C164,tblCOA[AccountNo],tblCOA[AccountName],"Unmapped")</f>
        <v>Cost of Goods Sold</v>
      </c>
      <c r="H164" t="str">
        <f>_xlfn.XLOOKUP(C164,tblCOA[AccountNo],tblCOA[Category],"Unmapped")</f>
        <v>Expenses</v>
      </c>
      <c r="I164" s="4">
        <f t="shared" si="6"/>
        <v>14367.67</v>
      </c>
      <c r="J164">
        <f t="shared" si="7"/>
        <v>2023</v>
      </c>
      <c r="K164" s="5">
        <f t="shared" si="8"/>
        <v>45017</v>
      </c>
    </row>
    <row r="165" spans="1:11" x14ac:dyDescent="0.25">
      <c r="A165" t="s">
        <v>1344</v>
      </c>
      <c r="B165" s="3">
        <v>45040</v>
      </c>
      <c r="C165">
        <v>2010</v>
      </c>
      <c r="D165" s="1">
        <v>0</v>
      </c>
      <c r="E165" s="1">
        <v>14367.67</v>
      </c>
      <c r="F165" t="s">
        <v>1345</v>
      </c>
      <c r="G165" t="str">
        <f>_xlfn.XLOOKUP(C165,tblCOA[AccountNo],tblCOA[AccountName],"Unmapped")</f>
        <v>Accounts Payable</v>
      </c>
      <c r="H165" t="str">
        <f>_xlfn.XLOOKUP(C165,tblCOA[AccountNo],tblCOA[Category],"Unmapped")</f>
        <v>Liabilities</v>
      </c>
      <c r="I165" s="4">
        <f t="shared" si="6"/>
        <v>-14367.67</v>
      </c>
      <c r="J165">
        <f t="shared" si="7"/>
        <v>2023</v>
      </c>
      <c r="K165" s="5">
        <f t="shared" si="8"/>
        <v>45017</v>
      </c>
    </row>
    <row r="166" spans="1:11" x14ac:dyDescent="0.25">
      <c r="A166" t="s">
        <v>1918</v>
      </c>
      <c r="B166" s="3">
        <v>45040</v>
      </c>
      <c r="C166">
        <v>5010</v>
      </c>
      <c r="D166" s="1">
        <v>7954.67</v>
      </c>
      <c r="E166" s="1">
        <v>0</v>
      </c>
      <c r="F166" t="s">
        <v>1919</v>
      </c>
      <c r="G166" t="str">
        <f>_xlfn.XLOOKUP(C166,tblCOA[AccountNo],tblCOA[AccountName],"Unmapped")</f>
        <v>Cost of Goods Sold</v>
      </c>
      <c r="H166" t="str">
        <f>_xlfn.XLOOKUP(C166,tblCOA[AccountNo],tblCOA[Category],"Unmapped")</f>
        <v>Expenses</v>
      </c>
      <c r="I166" s="4">
        <f t="shared" si="6"/>
        <v>7954.67</v>
      </c>
      <c r="J166">
        <f t="shared" si="7"/>
        <v>2023</v>
      </c>
      <c r="K166" s="5">
        <f t="shared" si="8"/>
        <v>45017</v>
      </c>
    </row>
    <row r="167" spans="1:11" x14ac:dyDescent="0.25">
      <c r="A167" t="s">
        <v>1920</v>
      </c>
      <c r="B167" s="3">
        <v>45040</v>
      </c>
      <c r="C167">
        <v>2010</v>
      </c>
      <c r="D167" s="1">
        <v>0</v>
      </c>
      <c r="E167" s="1">
        <v>7954.67</v>
      </c>
      <c r="F167" t="s">
        <v>1921</v>
      </c>
      <c r="G167" t="str">
        <f>_xlfn.XLOOKUP(C167,tblCOA[AccountNo],tblCOA[AccountName],"Unmapped")</f>
        <v>Accounts Payable</v>
      </c>
      <c r="H167" t="str">
        <f>_xlfn.XLOOKUP(C167,tblCOA[AccountNo],tblCOA[Category],"Unmapped")</f>
        <v>Liabilities</v>
      </c>
      <c r="I167" s="4">
        <f t="shared" si="6"/>
        <v>-7954.67</v>
      </c>
      <c r="J167">
        <f t="shared" si="7"/>
        <v>2023</v>
      </c>
      <c r="K167" s="5">
        <f t="shared" si="8"/>
        <v>45017</v>
      </c>
    </row>
    <row r="168" spans="1:11" x14ac:dyDescent="0.25">
      <c r="A168" t="s">
        <v>2962</v>
      </c>
      <c r="B168" s="3">
        <v>45041</v>
      </c>
      <c r="C168">
        <v>1200</v>
      </c>
      <c r="D168" s="1">
        <v>16248.82</v>
      </c>
      <c r="E168" s="1">
        <v>0</v>
      </c>
      <c r="F168" t="s">
        <v>2963</v>
      </c>
      <c r="G168" t="str">
        <f>_xlfn.XLOOKUP(C168,tblCOA[AccountNo],tblCOA[AccountName],"Unmapped")</f>
        <v>Accounts Receivable</v>
      </c>
      <c r="H168" t="str">
        <f>_xlfn.XLOOKUP(C168,tblCOA[AccountNo],tblCOA[Category],"Unmapped")</f>
        <v>Assets</v>
      </c>
      <c r="I168" s="4">
        <f t="shared" si="6"/>
        <v>16248.82</v>
      </c>
      <c r="J168">
        <f t="shared" si="7"/>
        <v>2023</v>
      </c>
      <c r="K168" s="5">
        <f t="shared" si="8"/>
        <v>45017</v>
      </c>
    </row>
    <row r="169" spans="1:11" x14ac:dyDescent="0.25">
      <c r="A169" t="s">
        <v>2964</v>
      </c>
      <c r="B169" s="3">
        <v>45041</v>
      </c>
      <c r="C169">
        <v>4010</v>
      </c>
      <c r="D169" s="1">
        <v>0</v>
      </c>
      <c r="E169" s="1">
        <v>16248.82</v>
      </c>
      <c r="F169" t="s">
        <v>2965</v>
      </c>
      <c r="G169" t="str">
        <f>_xlfn.XLOOKUP(C169,tblCOA[AccountNo],tblCOA[AccountName],"Unmapped")</f>
        <v>Product Sales</v>
      </c>
      <c r="H169" t="str">
        <f>_xlfn.XLOOKUP(C169,tblCOA[AccountNo],tblCOA[Category],"Unmapped")</f>
        <v>Revenue</v>
      </c>
      <c r="I169" s="4">
        <f t="shared" si="6"/>
        <v>-16248.82</v>
      </c>
      <c r="J169">
        <f t="shared" si="7"/>
        <v>2023</v>
      </c>
      <c r="K169" s="5">
        <f t="shared" si="8"/>
        <v>45017</v>
      </c>
    </row>
    <row r="170" spans="1:11" x14ac:dyDescent="0.25">
      <c r="A170" t="s">
        <v>490</v>
      </c>
      <c r="B170" s="3">
        <v>45042</v>
      </c>
      <c r="C170">
        <v>1200</v>
      </c>
      <c r="D170" s="1">
        <v>23705.17</v>
      </c>
      <c r="E170" s="1">
        <v>0</v>
      </c>
      <c r="F170" t="s">
        <v>491</v>
      </c>
      <c r="G170" t="str">
        <f>_xlfn.XLOOKUP(C170,tblCOA[AccountNo],tblCOA[AccountName],"Unmapped")</f>
        <v>Accounts Receivable</v>
      </c>
      <c r="H170" t="str">
        <f>_xlfn.XLOOKUP(C170,tblCOA[AccountNo],tblCOA[Category],"Unmapped")</f>
        <v>Assets</v>
      </c>
      <c r="I170" s="4">
        <f t="shared" si="6"/>
        <v>23705.17</v>
      </c>
      <c r="J170">
        <f t="shared" si="7"/>
        <v>2023</v>
      </c>
      <c r="K170" s="5">
        <f t="shared" si="8"/>
        <v>45017</v>
      </c>
    </row>
    <row r="171" spans="1:11" x14ac:dyDescent="0.25">
      <c r="A171" t="s">
        <v>492</v>
      </c>
      <c r="B171" s="3">
        <v>45042</v>
      </c>
      <c r="C171">
        <v>4010</v>
      </c>
      <c r="D171" s="1">
        <v>0</v>
      </c>
      <c r="E171" s="1">
        <v>23705.17</v>
      </c>
      <c r="F171" t="s">
        <v>493</v>
      </c>
      <c r="G171" t="str">
        <f>_xlfn.XLOOKUP(C171,tblCOA[AccountNo],tblCOA[AccountName],"Unmapped")</f>
        <v>Product Sales</v>
      </c>
      <c r="H171" t="str">
        <f>_xlfn.XLOOKUP(C171,tblCOA[AccountNo],tblCOA[Category],"Unmapped")</f>
        <v>Revenue</v>
      </c>
      <c r="I171" s="4">
        <f t="shared" si="6"/>
        <v>-23705.17</v>
      </c>
      <c r="J171">
        <f t="shared" si="7"/>
        <v>2023</v>
      </c>
      <c r="K171" s="5">
        <f t="shared" si="8"/>
        <v>45017</v>
      </c>
    </row>
    <row r="172" spans="1:11" x14ac:dyDescent="0.25">
      <c r="A172" t="s">
        <v>866</v>
      </c>
      <c r="B172" s="3">
        <v>45044</v>
      </c>
      <c r="C172">
        <v>1200</v>
      </c>
      <c r="D172" s="1">
        <v>49419.46</v>
      </c>
      <c r="E172" s="1">
        <v>0</v>
      </c>
      <c r="F172" t="s">
        <v>867</v>
      </c>
      <c r="G172" t="str">
        <f>_xlfn.XLOOKUP(C172,tblCOA[AccountNo],tblCOA[AccountName],"Unmapped")</f>
        <v>Accounts Receivable</v>
      </c>
      <c r="H172" t="str">
        <f>_xlfn.XLOOKUP(C172,tblCOA[AccountNo],tblCOA[Category],"Unmapped")</f>
        <v>Assets</v>
      </c>
      <c r="I172" s="4">
        <f t="shared" si="6"/>
        <v>49419.46</v>
      </c>
      <c r="J172">
        <f t="shared" si="7"/>
        <v>2023</v>
      </c>
      <c r="K172" s="5">
        <f t="shared" si="8"/>
        <v>45017</v>
      </c>
    </row>
    <row r="173" spans="1:11" x14ac:dyDescent="0.25">
      <c r="A173" t="s">
        <v>868</v>
      </c>
      <c r="B173" s="3">
        <v>45044</v>
      </c>
      <c r="C173">
        <v>4010</v>
      </c>
      <c r="D173" s="1">
        <v>0</v>
      </c>
      <c r="E173" s="1">
        <v>49419.46</v>
      </c>
      <c r="F173" t="s">
        <v>869</v>
      </c>
      <c r="G173" t="str">
        <f>_xlfn.XLOOKUP(C173,tblCOA[AccountNo],tblCOA[AccountName],"Unmapped")</f>
        <v>Product Sales</v>
      </c>
      <c r="H173" t="str">
        <f>_xlfn.XLOOKUP(C173,tblCOA[AccountNo],tblCOA[Category],"Unmapped")</f>
        <v>Revenue</v>
      </c>
      <c r="I173" s="4">
        <f t="shared" si="6"/>
        <v>-49419.46</v>
      </c>
      <c r="J173">
        <f t="shared" si="7"/>
        <v>2023</v>
      </c>
      <c r="K173" s="5">
        <f t="shared" si="8"/>
        <v>45017</v>
      </c>
    </row>
    <row r="174" spans="1:11" x14ac:dyDescent="0.25">
      <c r="A174" t="s">
        <v>2122</v>
      </c>
      <c r="B174" s="3">
        <v>45049</v>
      </c>
      <c r="C174">
        <v>1200</v>
      </c>
      <c r="D174" s="1">
        <v>21989.21</v>
      </c>
      <c r="E174" s="1">
        <v>0</v>
      </c>
      <c r="F174" t="s">
        <v>2123</v>
      </c>
      <c r="G174" t="str">
        <f>_xlfn.XLOOKUP(C174,tblCOA[AccountNo],tblCOA[AccountName],"Unmapped")</f>
        <v>Accounts Receivable</v>
      </c>
      <c r="H174" t="str">
        <f>_xlfn.XLOOKUP(C174,tblCOA[AccountNo],tblCOA[Category],"Unmapped")</f>
        <v>Assets</v>
      </c>
      <c r="I174" s="4">
        <f t="shared" si="6"/>
        <v>21989.21</v>
      </c>
      <c r="J174">
        <f t="shared" si="7"/>
        <v>2023</v>
      </c>
      <c r="K174" s="5">
        <f t="shared" si="8"/>
        <v>45047</v>
      </c>
    </row>
    <row r="175" spans="1:11" x14ac:dyDescent="0.25">
      <c r="A175" t="s">
        <v>2124</v>
      </c>
      <c r="B175" s="3">
        <v>45049</v>
      </c>
      <c r="C175">
        <v>4010</v>
      </c>
      <c r="D175" s="1">
        <v>0</v>
      </c>
      <c r="E175" s="1">
        <v>21989.21</v>
      </c>
      <c r="F175" t="s">
        <v>2125</v>
      </c>
      <c r="G175" t="str">
        <f>_xlfn.XLOOKUP(C175,tblCOA[AccountNo],tblCOA[AccountName],"Unmapped")</f>
        <v>Product Sales</v>
      </c>
      <c r="H175" t="str">
        <f>_xlfn.XLOOKUP(C175,tblCOA[AccountNo],tblCOA[Category],"Unmapped")</f>
        <v>Revenue</v>
      </c>
      <c r="I175" s="4">
        <f t="shared" si="6"/>
        <v>-21989.21</v>
      </c>
      <c r="J175">
        <f t="shared" si="7"/>
        <v>2023</v>
      </c>
      <c r="K175" s="5">
        <f t="shared" si="8"/>
        <v>45047</v>
      </c>
    </row>
    <row r="176" spans="1:11" x14ac:dyDescent="0.25">
      <c r="A176" t="s">
        <v>3322</v>
      </c>
      <c r="B176" s="3">
        <v>45050</v>
      </c>
      <c r="C176">
        <v>1200</v>
      </c>
      <c r="D176" s="1">
        <v>4244.24</v>
      </c>
      <c r="E176" s="1">
        <v>0</v>
      </c>
      <c r="F176" t="s">
        <v>3323</v>
      </c>
      <c r="G176" t="str">
        <f>_xlfn.XLOOKUP(C176,tblCOA[AccountNo],tblCOA[AccountName],"Unmapped")</f>
        <v>Accounts Receivable</v>
      </c>
      <c r="H176" t="str">
        <f>_xlfn.XLOOKUP(C176,tblCOA[AccountNo],tblCOA[Category],"Unmapped")</f>
        <v>Assets</v>
      </c>
      <c r="I176" s="4">
        <f t="shared" si="6"/>
        <v>4244.24</v>
      </c>
      <c r="J176">
        <f t="shared" si="7"/>
        <v>2023</v>
      </c>
      <c r="K176" s="5">
        <f t="shared" si="8"/>
        <v>45047</v>
      </c>
    </row>
    <row r="177" spans="1:11" x14ac:dyDescent="0.25">
      <c r="A177" t="s">
        <v>3324</v>
      </c>
      <c r="B177" s="3">
        <v>45050</v>
      </c>
      <c r="C177">
        <v>4010</v>
      </c>
      <c r="D177" s="1">
        <v>0</v>
      </c>
      <c r="E177" s="1">
        <v>4244.24</v>
      </c>
      <c r="F177" t="s">
        <v>3325</v>
      </c>
      <c r="G177" t="str">
        <f>_xlfn.XLOOKUP(C177,tblCOA[AccountNo],tblCOA[AccountName],"Unmapped")</f>
        <v>Product Sales</v>
      </c>
      <c r="H177" t="str">
        <f>_xlfn.XLOOKUP(C177,tblCOA[AccountNo],tblCOA[Category],"Unmapped")</f>
        <v>Revenue</v>
      </c>
      <c r="I177" s="4">
        <f t="shared" si="6"/>
        <v>-4244.24</v>
      </c>
      <c r="J177">
        <f t="shared" si="7"/>
        <v>2023</v>
      </c>
      <c r="K177" s="5">
        <f t="shared" si="8"/>
        <v>45047</v>
      </c>
    </row>
    <row r="178" spans="1:11" x14ac:dyDescent="0.25">
      <c r="A178" t="s">
        <v>1638</v>
      </c>
      <c r="B178" s="3">
        <v>45050</v>
      </c>
      <c r="C178">
        <v>5010</v>
      </c>
      <c r="D178" s="1">
        <v>4390.21</v>
      </c>
      <c r="E178" s="1">
        <v>0</v>
      </c>
      <c r="F178" t="s">
        <v>1639</v>
      </c>
      <c r="G178" t="str">
        <f>_xlfn.XLOOKUP(C178,tblCOA[AccountNo],tblCOA[AccountName],"Unmapped")</f>
        <v>Cost of Goods Sold</v>
      </c>
      <c r="H178" t="str">
        <f>_xlfn.XLOOKUP(C178,tblCOA[AccountNo],tblCOA[Category],"Unmapped")</f>
        <v>Expenses</v>
      </c>
      <c r="I178" s="4">
        <f t="shared" si="6"/>
        <v>4390.21</v>
      </c>
      <c r="J178">
        <f t="shared" si="7"/>
        <v>2023</v>
      </c>
      <c r="K178" s="5">
        <f t="shared" si="8"/>
        <v>45047</v>
      </c>
    </row>
    <row r="179" spans="1:11" x14ac:dyDescent="0.25">
      <c r="A179" t="s">
        <v>1640</v>
      </c>
      <c r="B179" s="3">
        <v>45050</v>
      </c>
      <c r="C179">
        <v>2010</v>
      </c>
      <c r="D179" s="1">
        <v>0</v>
      </c>
      <c r="E179" s="1">
        <v>4390.21</v>
      </c>
      <c r="F179" t="s">
        <v>1641</v>
      </c>
      <c r="G179" t="str">
        <f>_xlfn.XLOOKUP(C179,tblCOA[AccountNo],tblCOA[AccountName],"Unmapped")</f>
        <v>Accounts Payable</v>
      </c>
      <c r="H179" t="str">
        <f>_xlfn.XLOOKUP(C179,tblCOA[AccountNo],tblCOA[Category],"Unmapped")</f>
        <v>Liabilities</v>
      </c>
      <c r="I179" s="4">
        <f t="shared" si="6"/>
        <v>-4390.21</v>
      </c>
      <c r="J179">
        <f t="shared" si="7"/>
        <v>2023</v>
      </c>
      <c r="K179" s="5">
        <f t="shared" si="8"/>
        <v>45047</v>
      </c>
    </row>
    <row r="180" spans="1:11" x14ac:dyDescent="0.25">
      <c r="A180" t="s">
        <v>3778</v>
      </c>
      <c r="B180" s="3">
        <v>45055</v>
      </c>
      <c r="C180">
        <v>1200</v>
      </c>
      <c r="D180" s="1">
        <v>44155.08</v>
      </c>
      <c r="E180" s="1">
        <v>0</v>
      </c>
      <c r="F180" t="s">
        <v>3779</v>
      </c>
      <c r="G180" t="str">
        <f>_xlfn.XLOOKUP(C180,tblCOA[AccountNo],tblCOA[AccountName],"Unmapped")</f>
        <v>Accounts Receivable</v>
      </c>
      <c r="H180" t="str">
        <f>_xlfn.XLOOKUP(C180,tblCOA[AccountNo],tblCOA[Category],"Unmapped")</f>
        <v>Assets</v>
      </c>
      <c r="I180" s="4">
        <f t="shared" si="6"/>
        <v>44155.08</v>
      </c>
      <c r="J180">
        <f t="shared" si="7"/>
        <v>2023</v>
      </c>
      <c r="K180" s="5">
        <f t="shared" si="8"/>
        <v>45047</v>
      </c>
    </row>
    <row r="181" spans="1:11" x14ac:dyDescent="0.25">
      <c r="A181" t="s">
        <v>3780</v>
      </c>
      <c r="B181" s="3">
        <v>45055</v>
      </c>
      <c r="C181">
        <v>4010</v>
      </c>
      <c r="D181" s="1">
        <v>0</v>
      </c>
      <c r="E181" s="1">
        <v>44155.08</v>
      </c>
      <c r="F181" t="s">
        <v>3781</v>
      </c>
      <c r="G181" t="str">
        <f>_xlfn.XLOOKUP(C181,tblCOA[AccountNo],tblCOA[AccountName],"Unmapped")</f>
        <v>Product Sales</v>
      </c>
      <c r="H181" t="str">
        <f>_xlfn.XLOOKUP(C181,tblCOA[AccountNo],tblCOA[Category],"Unmapped")</f>
        <v>Revenue</v>
      </c>
      <c r="I181" s="4">
        <f t="shared" si="6"/>
        <v>-44155.08</v>
      </c>
      <c r="J181">
        <f t="shared" si="7"/>
        <v>2023</v>
      </c>
      <c r="K181" s="5">
        <f t="shared" si="8"/>
        <v>45047</v>
      </c>
    </row>
    <row r="182" spans="1:11" x14ac:dyDescent="0.25">
      <c r="A182" t="s">
        <v>1694</v>
      </c>
      <c r="B182" s="3">
        <v>45058</v>
      </c>
      <c r="C182">
        <v>5010</v>
      </c>
      <c r="D182" s="1">
        <v>15491.55</v>
      </c>
      <c r="E182" s="1">
        <v>0</v>
      </c>
      <c r="F182" t="s">
        <v>1695</v>
      </c>
      <c r="G182" t="str">
        <f>_xlfn.XLOOKUP(C182,tblCOA[AccountNo],tblCOA[AccountName],"Unmapped")</f>
        <v>Cost of Goods Sold</v>
      </c>
      <c r="H182" t="str">
        <f>_xlfn.XLOOKUP(C182,tblCOA[AccountNo],tblCOA[Category],"Unmapped")</f>
        <v>Expenses</v>
      </c>
      <c r="I182" s="4">
        <f t="shared" si="6"/>
        <v>15491.55</v>
      </c>
      <c r="J182">
        <f t="shared" si="7"/>
        <v>2023</v>
      </c>
      <c r="K182" s="5">
        <f t="shared" si="8"/>
        <v>45047</v>
      </c>
    </row>
    <row r="183" spans="1:11" x14ac:dyDescent="0.25">
      <c r="A183" t="s">
        <v>1696</v>
      </c>
      <c r="B183" s="3">
        <v>45058</v>
      </c>
      <c r="C183">
        <v>2010</v>
      </c>
      <c r="D183" s="1">
        <v>0</v>
      </c>
      <c r="E183" s="1">
        <v>15491.55</v>
      </c>
      <c r="F183" t="s">
        <v>1697</v>
      </c>
      <c r="G183" t="str">
        <f>_xlfn.XLOOKUP(C183,tblCOA[AccountNo],tblCOA[AccountName],"Unmapped")</f>
        <v>Accounts Payable</v>
      </c>
      <c r="H183" t="str">
        <f>_xlfn.XLOOKUP(C183,tblCOA[AccountNo],tblCOA[Category],"Unmapped")</f>
        <v>Liabilities</v>
      </c>
      <c r="I183" s="4">
        <f t="shared" si="6"/>
        <v>-15491.55</v>
      </c>
      <c r="J183">
        <f t="shared" si="7"/>
        <v>2023</v>
      </c>
      <c r="K183" s="5">
        <f t="shared" si="8"/>
        <v>45047</v>
      </c>
    </row>
    <row r="184" spans="1:11" x14ac:dyDescent="0.25">
      <c r="A184" t="s">
        <v>2710</v>
      </c>
      <c r="B184" s="3">
        <v>45061</v>
      </c>
      <c r="C184">
        <v>5010</v>
      </c>
      <c r="D184" s="1">
        <v>2529.31</v>
      </c>
      <c r="E184" s="1">
        <v>0</v>
      </c>
      <c r="F184" t="s">
        <v>2711</v>
      </c>
      <c r="G184" t="str">
        <f>_xlfn.XLOOKUP(C184,tblCOA[AccountNo],tblCOA[AccountName],"Unmapped")</f>
        <v>Cost of Goods Sold</v>
      </c>
      <c r="H184" t="str">
        <f>_xlfn.XLOOKUP(C184,tblCOA[AccountNo],tblCOA[Category],"Unmapped")</f>
        <v>Expenses</v>
      </c>
      <c r="I184" s="4">
        <f t="shared" si="6"/>
        <v>2529.31</v>
      </c>
      <c r="J184">
        <f t="shared" si="7"/>
        <v>2023</v>
      </c>
      <c r="K184" s="5">
        <f t="shared" si="8"/>
        <v>45047</v>
      </c>
    </row>
    <row r="185" spans="1:11" x14ac:dyDescent="0.25">
      <c r="A185" t="s">
        <v>2712</v>
      </c>
      <c r="B185" s="3">
        <v>45061</v>
      </c>
      <c r="C185">
        <v>2010</v>
      </c>
      <c r="D185" s="1">
        <v>0</v>
      </c>
      <c r="E185" s="1">
        <v>2529.31</v>
      </c>
      <c r="F185" t="s">
        <v>2713</v>
      </c>
      <c r="G185" t="str">
        <f>_xlfn.XLOOKUP(C185,tblCOA[AccountNo],tblCOA[AccountName],"Unmapped")</f>
        <v>Accounts Payable</v>
      </c>
      <c r="H185" t="str">
        <f>_xlfn.XLOOKUP(C185,tblCOA[AccountNo],tblCOA[Category],"Unmapped")</f>
        <v>Liabilities</v>
      </c>
      <c r="I185" s="4">
        <f t="shared" si="6"/>
        <v>-2529.31</v>
      </c>
      <c r="J185">
        <f t="shared" si="7"/>
        <v>2023</v>
      </c>
      <c r="K185" s="5">
        <f t="shared" si="8"/>
        <v>45047</v>
      </c>
    </row>
    <row r="186" spans="1:11" x14ac:dyDescent="0.25">
      <c r="A186" t="s">
        <v>190</v>
      </c>
      <c r="B186" s="3">
        <v>45062</v>
      </c>
      <c r="C186">
        <v>5010</v>
      </c>
      <c r="D186" s="1">
        <v>10464.27</v>
      </c>
      <c r="E186" s="1">
        <v>0</v>
      </c>
      <c r="F186" t="s">
        <v>191</v>
      </c>
      <c r="G186" t="str">
        <f>_xlfn.XLOOKUP(C186,tblCOA[AccountNo],tblCOA[AccountName],"Unmapped")</f>
        <v>Cost of Goods Sold</v>
      </c>
      <c r="H186" t="str">
        <f>_xlfn.XLOOKUP(C186,tblCOA[AccountNo],tblCOA[Category],"Unmapped")</f>
        <v>Expenses</v>
      </c>
      <c r="I186" s="4">
        <f t="shared" si="6"/>
        <v>10464.27</v>
      </c>
      <c r="J186">
        <f t="shared" si="7"/>
        <v>2023</v>
      </c>
      <c r="K186" s="5">
        <f t="shared" si="8"/>
        <v>45047</v>
      </c>
    </row>
    <row r="187" spans="1:11" x14ac:dyDescent="0.25">
      <c r="A187" t="s">
        <v>192</v>
      </c>
      <c r="B187" s="3">
        <v>45062</v>
      </c>
      <c r="C187">
        <v>2010</v>
      </c>
      <c r="D187" s="1">
        <v>0</v>
      </c>
      <c r="E187" s="1">
        <v>10464.27</v>
      </c>
      <c r="F187" t="s">
        <v>193</v>
      </c>
      <c r="G187" t="str">
        <f>_xlfn.XLOOKUP(C187,tblCOA[AccountNo],tblCOA[AccountName],"Unmapped")</f>
        <v>Accounts Payable</v>
      </c>
      <c r="H187" t="str">
        <f>_xlfn.XLOOKUP(C187,tblCOA[AccountNo],tblCOA[Category],"Unmapped")</f>
        <v>Liabilities</v>
      </c>
      <c r="I187" s="4">
        <f t="shared" si="6"/>
        <v>-10464.27</v>
      </c>
      <c r="J187">
        <f t="shared" si="7"/>
        <v>2023</v>
      </c>
      <c r="K187" s="5">
        <f t="shared" si="8"/>
        <v>45047</v>
      </c>
    </row>
    <row r="188" spans="1:11" x14ac:dyDescent="0.25">
      <c r="A188" t="s">
        <v>3166</v>
      </c>
      <c r="B188" s="3">
        <v>45063</v>
      </c>
      <c r="C188">
        <v>5010</v>
      </c>
      <c r="D188" s="1">
        <v>12529.47</v>
      </c>
      <c r="E188" s="1">
        <v>0</v>
      </c>
      <c r="F188" t="s">
        <v>3167</v>
      </c>
      <c r="G188" t="str">
        <f>_xlfn.XLOOKUP(C188,tblCOA[AccountNo],tblCOA[AccountName],"Unmapped")</f>
        <v>Cost of Goods Sold</v>
      </c>
      <c r="H188" t="str">
        <f>_xlfn.XLOOKUP(C188,tblCOA[AccountNo],tblCOA[Category],"Unmapped")</f>
        <v>Expenses</v>
      </c>
      <c r="I188" s="4">
        <f t="shared" si="6"/>
        <v>12529.47</v>
      </c>
      <c r="J188">
        <f t="shared" si="7"/>
        <v>2023</v>
      </c>
      <c r="K188" s="5">
        <f t="shared" si="8"/>
        <v>45047</v>
      </c>
    </row>
    <row r="189" spans="1:11" x14ac:dyDescent="0.25">
      <c r="A189" t="s">
        <v>3168</v>
      </c>
      <c r="B189" s="3">
        <v>45063</v>
      </c>
      <c r="C189">
        <v>2010</v>
      </c>
      <c r="D189" s="1">
        <v>0</v>
      </c>
      <c r="E189" s="1">
        <v>12529.47</v>
      </c>
      <c r="F189" t="s">
        <v>3169</v>
      </c>
      <c r="G189" t="str">
        <f>_xlfn.XLOOKUP(C189,tblCOA[AccountNo],tblCOA[AccountName],"Unmapped")</f>
        <v>Accounts Payable</v>
      </c>
      <c r="H189" t="str">
        <f>_xlfn.XLOOKUP(C189,tblCOA[AccountNo],tblCOA[Category],"Unmapped")</f>
        <v>Liabilities</v>
      </c>
      <c r="I189" s="4">
        <f t="shared" si="6"/>
        <v>-12529.47</v>
      </c>
      <c r="J189">
        <f t="shared" si="7"/>
        <v>2023</v>
      </c>
      <c r="K189" s="5">
        <f t="shared" si="8"/>
        <v>45047</v>
      </c>
    </row>
    <row r="190" spans="1:11" x14ac:dyDescent="0.25">
      <c r="A190" t="s">
        <v>2294</v>
      </c>
      <c r="B190" s="3">
        <v>45065</v>
      </c>
      <c r="C190">
        <v>5010</v>
      </c>
      <c r="D190" s="1">
        <v>19283.080000000002</v>
      </c>
      <c r="E190" s="1">
        <v>0</v>
      </c>
      <c r="F190" t="s">
        <v>2295</v>
      </c>
      <c r="G190" t="str">
        <f>_xlfn.XLOOKUP(C190,tblCOA[AccountNo],tblCOA[AccountName],"Unmapped")</f>
        <v>Cost of Goods Sold</v>
      </c>
      <c r="H190" t="str">
        <f>_xlfn.XLOOKUP(C190,tblCOA[AccountNo],tblCOA[Category],"Unmapped")</f>
        <v>Expenses</v>
      </c>
      <c r="I190" s="4">
        <f t="shared" si="6"/>
        <v>19283.080000000002</v>
      </c>
      <c r="J190">
        <f t="shared" si="7"/>
        <v>2023</v>
      </c>
      <c r="K190" s="5">
        <f t="shared" si="8"/>
        <v>45047</v>
      </c>
    </row>
    <row r="191" spans="1:11" x14ac:dyDescent="0.25">
      <c r="A191" t="s">
        <v>2296</v>
      </c>
      <c r="B191" s="3">
        <v>45065</v>
      </c>
      <c r="C191">
        <v>2010</v>
      </c>
      <c r="D191" s="1">
        <v>0</v>
      </c>
      <c r="E191" s="1">
        <v>19283.080000000002</v>
      </c>
      <c r="F191" t="s">
        <v>2297</v>
      </c>
      <c r="G191" t="str">
        <f>_xlfn.XLOOKUP(C191,tblCOA[AccountNo],tblCOA[AccountName],"Unmapped")</f>
        <v>Accounts Payable</v>
      </c>
      <c r="H191" t="str">
        <f>_xlfn.XLOOKUP(C191,tblCOA[AccountNo],tblCOA[Category],"Unmapped")</f>
        <v>Liabilities</v>
      </c>
      <c r="I191" s="4">
        <f t="shared" si="6"/>
        <v>-19283.080000000002</v>
      </c>
      <c r="J191">
        <f t="shared" si="7"/>
        <v>2023</v>
      </c>
      <c r="K191" s="5">
        <f t="shared" si="8"/>
        <v>45047</v>
      </c>
    </row>
    <row r="192" spans="1:11" x14ac:dyDescent="0.25">
      <c r="A192" t="s">
        <v>3706</v>
      </c>
      <c r="B192" s="3">
        <v>45066</v>
      </c>
      <c r="C192">
        <v>1200</v>
      </c>
      <c r="D192" s="1">
        <v>2187.13</v>
      </c>
      <c r="E192" s="1">
        <v>0</v>
      </c>
      <c r="F192" t="s">
        <v>3707</v>
      </c>
      <c r="G192" t="str">
        <f>_xlfn.XLOOKUP(C192,tblCOA[AccountNo],tblCOA[AccountName],"Unmapped")</f>
        <v>Accounts Receivable</v>
      </c>
      <c r="H192" t="str">
        <f>_xlfn.XLOOKUP(C192,tblCOA[AccountNo],tblCOA[Category],"Unmapped")</f>
        <v>Assets</v>
      </c>
      <c r="I192" s="4">
        <f t="shared" si="6"/>
        <v>2187.13</v>
      </c>
      <c r="J192">
        <f t="shared" si="7"/>
        <v>2023</v>
      </c>
      <c r="K192" s="5">
        <f t="shared" si="8"/>
        <v>45047</v>
      </c>
    </row>
    <row r="193" spans="1:11" x14ac:dyDescent="0.25">
      <c r="A193" t="s">
        <v>3708</v>
      </c>
      <c r="B193" s="3">
        <v>45066</v>
      </c>
      <c r="C193">
        <v>4010</v>
      </c>
      <c r="D193" s="1">
        <v>0</v>
      </c>
      <c r="E193" s="1">
        <v>2187.13</v>
      </c>
      <c r="F193" t="s">
        <v>3709</v>
      </c>
      <c r="G193" t="str">
        <f>_xlfn.XLOOKUP(C193,tblCOA[AccountNo],tblCOA[AccountName],"Unmapped")</f>
        <v>Product Sales</v>
      </c>
      <c r="H193" t="str">
        <f>_xlfn.XLOOKUP(C193,tblCOA[AccountNo],tblCOA[Category],"Unmapped")</f>
        <v>Revenue</v>
      </c>
      <c r="I193" s="4">
        <f t="shared" si="6"/>
        <v>-2187.13</v>
      </c>
      <c r="J193">
        <f t="shared" si="7"/>
        <v>2023</v>
      </c>
      <c r="K193" s="5">
        <f t="shared" si="8"/>
        <v>45047</v>
      </c>
    </row>
    <row r="194" spans="1:11" x14ac:dyDescent="0.25">
      <c r="A194" t="s">
        <v>3662</v>
      </c>
      <c r="B194" s="3">
        <v>45067</v>
      </c>
      <c r="C194">
        <v>5010</v>
      </c>
      <c r="D194" s="1">
        <v>7947.47</v>
      </c>
      <c r="E194" s="1">
        <v>0</v>
      </c>
      <c r="F194" t="s">
        <v>3663</v>
      </c>
      <c r="G194" t="str">
        <f>_xlfn.XLOOKUP(C194,tblCOA[AccountNo],tblCOA[AccountName],"Unmapped")</f>
        <v>Cost of Goods Sold</v>
      </c>
      <c r="H194" t="str">
        <f>_xlfn.XLOOKUP(C194,tblCOA[AccountNo],tblCOA[Category],"Unmapped")</f>
        <v>Expenses</v>
      </c>
      <c r="I194" s="4">
        <f t="shared" ref="I194:I257" si="9">D194-E194</f>
        <v>7947.47</v>
      </c>
      <c r="J194">
        <f t="shared" ref="J194:J257" si="10">YEAR(B194)</f>
        <v>2023</v>
      </c>
      <c r="K194" s="5">
        <f t="shared" ref="K194:K257" si="11">DATE(YEAR(B194),MONTH(B194),1)</f>
        <v>45047</v>
      </c>
    </row>
    <row r="195" spans="1:11" x14ac:dyDescent="0.25">
      <c r="A195" t="s">
        <v>3664</v>
      </c>
      <c r="B195" s="3">
        <v>45067</v>
      </c>
      <c r="C195">
        <v>2010</v>
      </c>
      <c r="D195" s="1">
        <v>0</v>
      </c>
      <c r="E195" s="1">
        <v>7947.47</v>
      </c>
      <c r="F195" t="s">
        <v>3665</v>
      </c>
      <c r="G195" t="str">
        <f>_xlfn.XLOOKUP(C195,tblCOA[AccountNo],tblCOA[AccountName],"Unmapped")</f>
        <v>Accounts Payable</v>
      </c>
      <c r="H195" t="str">
        <f>_xlfn.XLOOKUP(C195,tblCOA[AccountNo],tblCOA[Category],"Unmapped")</f>
        <v>Liabilities</v>
      </c>
      <c r="I195" s="4">
        <f t="shared" si="9"/>
        <v>-7947.47</v>
      </c>
      <c r="J195">
        <f t="shared" si="10"/>
        <v>2023</v>
      </c>
      <c r="K195" s="5">
        <f t="shared" si="11"/>
        <v>45047</v>
      </c>
    </row>
    <row r="196" spans="1:11" x14ac:dyDescent="0.25">
      <c r="A196" t="s">
        <v>930</v>
      </c>
      <c r="B196" s="3">
        <v>45068</v>
      </c>
      <c r="C196">
        <v>1200</v>
      </c>
      <c r="D196" s="1">
        <v>34285.81</v>
      </c>
      <c r="E196" s="1">
        <v>0</v>
      </c>
      <c r="F196" t="s">
        <v>931</v>
      </c>
      <c r="G196" t="str">
        <f>_xlfn.XLOOKUP(C196,tblCOA[AccountNo],tblCOA[AccountName],"Unmapped")</f>
        <v>Accounts Receivable</v>
      </c>
      <c r="H196" t="str">
        <f>_xlfn.XLOOKUP(C196,tblCOA[AccountNo],tblCOA[Category],"Unmapped")</f>
        <v>Assets</v>
      </c>
      <c r="I196" s="4">
        <f t="shared" si="9"/>
        <v>34285.81</v>
      </c>
      <c r="J196">
        <f t="shared" si="10"/>
        <v>2023</v>
      </c>
      <c r="K196" s="5">
        <f t="shared" si="11"/>
        <v>45047</v>
      </c>
    </row>
    <row r="197" spans="1:11" x14ac:dyDescent="0.25">
      <c r="A197" t="s">
        <v>932</v>
      </c>
      <c r="B197" s="3">
        <v>45068</v>
      </c>
      <c r="C197">
        <v>4010</v>
      </c>
      <c r="D197" s="1">
        <v>0</v>
      </c>
      <c r="E197" s="1">
        <v>34285.81</v>
      </c>
      <c r="F197" t="s">
        <v>933</v>
      </c>
      <c r="G197" t="str">
        <f>_xlfn.XLOOKUP(C197,tblCOA[AccountNo],tblCOA[AccountName],"Unmapped")</f>
        <v>Product Sales</v>
      </c>
      <c r="H197" t="str">
        <f>_xlfn.XLOOKUP(C197,tblCOA[AccountNo],tblCOA[Category],"Unmapped")</f>
        <v>Revenue</v>
      </c>
      <c r="I197" s="4">
        <f t="shared" si="9"/>
        <v>-34285.81</v>
      </c>
      <c r="J197">
        <f t="shared" si="10"/>
        <v>2023</v>
      </c>
      <c r="K197" s="5">
        <f t="shared" si="11"/>
        <v>45047</v>
      </c>
    </row>
    <row r="198" spans="1:11" x14ac:dyDescent="0.25">
      <c r="A198" t="s">
        <v>2762</v>
      </c>
      <c r="B198" s="3">
        <v>45069</v>
      </c>
      <c r="C198">
        <v>1200</v>
      </c>
      <c r="D198" s="1">
        <v>36452.82</v>
      </c>
      <c r="E198" s="1">
        <v>0</v>
      </c>
      <c r="F198" t="s">
        <v>2763</v>
      </c>
      <c r="G198" t="str">
        <f>_xlfn.XLOOKUP(C198,tblCOA[AccountNo],tblCOA[AccountName],"Unmapped")</f>
        <v>Accounts Receivable</v>
      </c>
      <c r="H198" t="str">
        <f>_xlfn.XLOOKUP(C198,tblCOA[AccountNo],tblCOA[Category],"Unmapped")</f>
        <v>Assets</v>
      </c>
      <c r="I198" s="4">
        <f t="shared" si="9"/>
        <v>36452.82</v>
      </c>
      <c r="J198">
        <f t="shared" si="10"/>
        <v>2023</v>
      </c>
      <c r="K198" s="5">
        <f t="shared" si="11"/>
        <v>45047</v>
      </c>
    </row>
    <row r="199" spans="1:11" x14ac:dyDescent="0.25">
      <c r="A199" t="s">
        <v>2764</v>
      </c>
      <c r="B199" s="3">
        <v>45069</v>
      </c>
      <c r="C199">
        <v>4010</v>
      </c>
      <c r="D199" s="1">
        <v>0</v>
      </c>
      <c r="E199" s="1">
        <v>36452.82</v>
      </c>
      <c r="F199" t="s">
        <v>2765</v>
      </c>
      <c r="G199" t="str">
        <f>_xlfn.XLOOKUP(C199,tblCOA[AccountNo],tblCOA[AccountName],"Unmapped")</f>
        <v>Product Sales</v>
      </c>
      <c r="H199" t="str">
        <f>_xlfn.XLOOKUP(C199,tblCOA[AccountNo],tblCOA[Category],"Unmapped")</f>
        <v>Revenue</v>
      </c>
      <c r="I199" s="4">
        <f t="shared" si="9"/>
        <v>-36452.82</v>
      </c>
      <c r="J199">
        <f t="shared" si="10"/>
        <v>2023</v>
      </c>
      <c r="K199" s="5">
        <f t="shared" si="11"/>
        <v>45047</v>
      </c>
    </row>
    <row r="200" spans="1:11" x14ac:dyDescent="0.25">
      <c r="A200" t="s">
        <v>2690</v>
      </c>
      <c r="B200" s="3">
        <v>45071</v>
      </c>
      <c r="C200">
        <v>1200</v>
      </c>
      <c r="D200" s="1">
        <v>43439.31</v>
      </c>
      <c r="E200" s="1">
        <v>0</v>
      </c>
      <c r="F200" t="s">
        <v>2691</v>
      </c>
      <c r="G200" t="str">
        <f>_xlfn.XLOOKUP(C200,tblCOA[AccountNo],tblCOA[AccountName],"Unmapped")</f>
        <v>Accounts Receivable</v>
      </c>
      <c r="H200" t="str">
        <f>_xlfn.XLOOKUP(C200,tblCOA[AccountNo],tblCOA[Category],"Unmapped")</f>
        <v>Assets</v>
      </c>
      <c r="I200" s="4">
        <f t="shared" si="9"/>
        <v>43439.31</v>
      </c>
      <c r="J200">
        <f t="shared" si="10"/>
        <v>2023</v>
      </c>
      <c r="K200" s="5">
        <f t="shared" si="11"/>
        <v>45047</v>
      </c>
    </row>
    <row r="201" spans="1:11" x14ac:dyDescent="0.25">
      <c r="A201" t="s">
        <v>2692</v>
      </c>
      <c r="B201" s="3">
        <v>45071</v>
      </c>
      <c r="C201">
        <v>4010</v>
      </c>
      <c r="D201" s="1">
        <v>0</v>
      </c>
      <c r="E201" s="1">
        <v>43439.31</v>
      </c>
      <c r="F201" t="s">
        <v>2693</v>
      </c>
      <c r="G201" t="str">
        <f>_xlfn.XLOOKUP(C201,tblCOA[AccountNo],tblCOA[AccountName],"Unmapped")</f>
        <v>Product Sales</v>
      </c>
      <c r="H201" t="str">
        <f>_xlfn.XLOOKUP(C201,tblCOA[AccountNo],tblCOA[Category],"Unmapped")</f>
        <v>Revenue</v>
      </c>
      <c r="I201" s="4">
        <f t="shared" si="9"/>
        <v>-43439.31</v>
      </c>
      <c r="J201">
        <f t="shared" si="10"/>
        <v>2023</v>
      </c>
      <c r="K201" s="5">
        <f t="shared" si="11"/>
        <v>45047</v>
      </c>
    </row>
    <row r="202" spans="1:11" x14ac:dyDescent="0.25">
      <c r="A202" t="s">
        <v>4002</v>
      </c>
      <c r="B202" s="3">
        <v>45073</v>
      </c>
      <c r="C202">
        <v>1200</v>
      </c>
      <c r="D202" s="1">
        <v>16505.47</v>
      </c>
      <c r="E202" s="1">
        <v>0</v>
      </c>
      <c r="F202" t="s">
        <v>4003</v>
      </c>
      <c r="G202" t="str">
        <f>_xlfn.XLOOKUP(C202,tblCOA[AccountNo],tblCOA[AccountName],"Unmapped")</f>
        <v>Accounts Receivable</v>
      </c>
      <c r="H202" t="str">
        <f>_xlfn.XLOOKUP(C202,tblCOA[AccountNo],tblCOA[Category],"Unmapped")</f>
        <v>Assets</v>
      </c>
      <c r="I202" s="4">
        <f t="shared" si="9"/>
        <v>16505.47</v>
      </c>
      <c r="J202">
        <f t="shared" si="10"/>
        <v>2023</v>
      </c>
      <c r="K202" s="5">
        <f t="shared" si="11"/>
        <v>45047</v>
      </c>
    </row>
    <row r="203" spans="1:11" x14ac:dyDescent="0.25">
      <c r="A203" t="s">
        <v>4004</v>
      </c>
      <c r="B203" s="3">
        <v>45073</v>
      </c>
      <c r="C203">
        <v>4010</v>
      </c>
      <c r="D203" s="1">
        <v>0</v>
      </c>
      <c r="E203" s="1">
        <v>16505.47</v>
      </c>
      <c r="F203" t="s">
        <v>4005</v>
      </c>
      <c r="G203" t="str">
        <f>_xlfn.XLOOKUP(C203,tblCOA[AccountNo],tblCOA[AccountName],"Unmapped")</f>
        <v>Product Sales</v>
      </c>
      <c r="H203" t="str">
        <f>_xlfn.XLOOKUP(C203,tblCOA[AccountNo],tblCOA[Category],"Unmapped")</f>
        <v>Revenue</v>
      </c>
      <c r="I203" s="4">
        <f t="shared" si="9"/>
        <v>-16505.47</v>
      </c>
      <c r="J203">
        <f t="shared" si="10"/>
        <v>2023</v>
      </c>
      <c r="K203" s="5">
        <f t="shared" si="11"/>
        <v>45047</v>
      </c>
    </row>
    <row r="204" spans="1:11" x14ac:dyDescent="0.25">
      <c r="A204" t="s">
        <v>1018</v>
      </c>
      <c r="B204" s="3">
        <v>45075</v>
      </c>
      <c r="C204">
        <v>1200</v>
      </c>
      <c r="D204" s="1">
        <v>43472.82</v>
      </c>
      <c r="E204" s="1">
        <v>0</v>
      </c>
      <c r="F204" t="s">
        <v>1019</v>
      </c>
      <c r="G204" t="str">
        <f>_xlfn.XLOOKUP(C204,tblCOA[AccountNo],tblCOA[AccountName],"Unmapped")</f>
        <v>Accounts Receivable</v>
      </c>
      <c r="H204" t="str">
        <f>_xlfn.XLOOKUP(C204,tblCOA[AccountNo],tblCOA[Category],"Unmapped")</f>
        <v>Assets</v>
      </c>
      <c r="I204" s="4">
        <f t="shared" si="9"/>
        <v>43472.82</v>
      </c>
      <c r="J204">
        <f t="shared" si="10"/>
        <v>2023</v>
      </c>
      <c r="K204" s="5">
        <f t="shared" si="11"/>
        <v>45047</v>
      </c>
    </row>
    <row r="205" spans="1:11" x14ac:dyDescent="0.25">
      <c r="A205" t="s">
        <v>1020</v>
      </c>
      <c r="B205" s="3">
        <v>45075</v>
      </c>
      <c r="C205">
        <v>4010</v>
      </c>
      <c r="D205" s="1">
        <v>0</v>
      </c>
      <c r="E205" s="1">
        <v>43472.82</v>
      </c>
      <c r="F205" t="s">
        <v>1021</v>
      </c>
      <c r="G205" t="str">
        <f>_xlfn.XLOOKUP(C205,tblCOA[AccountNo],tblCOA[AccountName],"Unmapped")</f>
        <v>Product Sales</v>
      </c>
      <c r="H205" t="str">
        <f>_xlfn.XLOOKUP(C205,tblCOA[AccountNo],tblCOA[Category],"Unmapped")</f>
        <v>Revenue</v>
      </c>
      <c r="I205" s="4">
        <f t="shared" si="9"/>
        <v>-43472.82</v>
      </c>
      <c r="J205">
        <f t="shared" si="10"/>
        <v>2023</v>
      </c>
      <c r="K205" s="5">
        <f t="shared" si="11"/>
        <v>45047</v>
      </c>
    </row>
    <row r="206" spans="1:11" x14ac:dyDescent="0.25">
      <c r="A206" t="s">
        <v>874</v>
      </c>
      <c r="B206" s="3">
        <v>45077</v>
      </c>
      <c r="C206">
        <v>1200</v>
      </c>
      <c r="D206" s="1">
        <v>17471.96</v>
      </c>
      <c r="E206" s="1">
        <v>0</v>
      </c>
      <c r="F206" t="s">
        <v>875</v>
      </c>
      <c r="G206" t="str">
        <f>_xlfn.XLOOKUP(C206,tblCOA[AccountNo],tblCOA[AccountName],"Unmapped")</f>
        <v>Accounts Receivable</v>
      </c>
      <c r="H206" t="str">
        <f>_xlfn.XLOOKUP(C206,tblCOA[AccountNo],tblCOA[Category],"Unmapped")</f>
        <v>Assets</v>
      </c>
      <c r="I206" s="4">
        <f t="shared" si="9"/>
        <v>17471.96</v>
      </c>
      <c r="J206">
        <f t="shared" si="10"/>
        <v>2023</v>
      </c>
      <c r="K206" s="5">
        <f t="shared" si="11"/>
        <v>45047</v>
      </c>
    </row>
    <row r="207" spans="1:11" x14ac:dyDescent="0.25">
      <c r="A207" t="s">
        <v>876</v>
      </c>
      <c r="B207" s="3">
        <v>45077</v>
      </c>
      <c r="C207">
        <v>4010</v>
      </c>
      <c r="D207" s="1">
        <v>0</v>
      </c>
      <c r="E207" s="1">
        <v>17471.96</v>
      </c>
      <c r="F207" t="s">
        <v>877</v>
      </c>
      <c r="G207" t="str">
        <f>_xlfn.XLOOKUP(C207,tblCOA[AccountNo],tblCOA[AccountName],"Unmapped")</f>
        <v>Product Sales</v>
      </c>
      <c r="H207" t="str">
        <f>_xlfn.XLOOKUP(C207,tblCOA[AccountNo],tblCOA[Category],"Unmapped")</f>
        <v>Revenue</v>
      </c>
      <c r="I207" s="4">
        <f t="shared" si="9"/>
        <v>-17471.96</v>
      </c>
      <c r="J207">
        <f t="shared" si="10"/>
        <v>2023</v>
      </c>
      <c r="K207" s="5">
        <f t="shared" si="11"/>
        <v>45047</v>
      </c>
    </row>
    <row r="208" spans="1:11" x14ac:dyDescent="0.25">
      <c r="A208" t="s">
        <v>2774</v>
      </c>
      <c r="B208" s="3">
        <v>45079</v>
      </c>
      <c r="C208">
        <v>5010</v>
      </c>
      <c r="D208" s="1">
        <v>3760.66</v>
      </c>
      <c r="E208" s="1">
        <v>0</v>
      </c>
      <c r="F208" t="s">
        <v>2775</v>
      </c>
      <c r="G208" t="str">
        <f>_xlfn.XLOOKUP(C208,tblCOA[AccountNo],tblCOA[AccountName],"Unmapped")</f>
        <v>Cost of Goods Sold</v>
      </c>
      <c r="H208" t="str">
        <f>_xlfn.XLOOKUP(C208,tblCOA[AccountNo],tblCOA[Category],"Unmapped")</f>
        <v>Expenses</v>
      </c>
      <c r="I208" s="4">
        <f t="shared" si="9"/>
        <v>3760.66</v>
      </c>
      <c r="J208">
        <f t="shared" si="10"/>
        <v>2023</v>
      </c>
      <c r="K208" s="5">
        <f t="shared" si="11"/>
        <v>45078</v>
      </c>
    </row>
    <row r="209" spans="1:11" x14ac:dyDescent="0.25">
      <c r="A209" t="s">
        <v>2776</v>
      </c>
      <c r="B209" s="3">
        <v>45079</v>
      </c>
      <c r="C209">
        <v>2010</v>
      </c>
      <c r="D209" s="1">
        <v>0</v>
      </c>
      <c r="E209" s="1">
        <v>3760.66</v>
      </c>
      <c r="F209" t="s">
        <v>2777</v>
      </c>
      <c r="G209" t="str">
        <f>_xlfn.XLOOKUP(C209,tblCOA[AccountNo],tblCOA[AccountName],"Unmapped")</f>
        <v>Accounts Payable</v>
      </c>
      <c r="H209" t="str">
        <f>_xlfn.XLOOKUP(C209,tblCOA[AccountNo],tblCOA[Category],"Unmapped")</f>
        <v>Liabilities</v>
      </c>
      <c r="I209" s="4">
        <f t="shared" si="9"/>
        <v>-3760.66</v>
      </c>
      <c r="J209">
        <f t="shared" si="10"/>
        <v>2023</v>
      </c>
      <c r="K209" s="5">
        <f t="shared" si="11"/>
        <v>45078</v>
      </c>
    </row>
    <row r="210" spans="1:11" x14ac:dyDescent="0.25">
      <c r="A210" t="s">
        <v>3162</v>
      </c>
      <c r="B210" s="3">
        <v>45079</v>
      </c>
      <c r="C210">
        <v>1200</v>
      </c>
      <c r="D210" s="1">
        <v>31069.57</v>
      </c>
      <c r="E210" s="1">
        <v>0</v>
      </c>
      <c r="F210" t="s">
        <v>3163</v>
      </c>
      <c r="G210" t="str">
        <f>_xlfn.XLOOKUP(C210,tblCOA[AccountNo],tblCOA[AccountName],"Unmapped")</f>
        <v>Accounts Receivable</v>
      </c>
      <c r="H210" t="str">
        <f>_xlfn.XLOOKUP(C210,tblCOA[AccountNo],tblCOA[Category],"Unmapped")</f>
        <v>Assets</v>
      </c>
      <c r="I210" s="4">
        <f t="shared" si="9"/>
        <v>31069.57</v>
      </c>
      <c r="J210">
        <f t="shared" si="10"/>
        <v>2023</v>
      </c>
      <c r="K210" s="5">
        <f t="shared" si="11"/>
        <v>45078</v>
      </c>
    </row>
    <row r="211" spans="1:11" x14ac:dyDescent="0.25">
      <c r="A211" t="s">
        <v>3164</v>
      </c>
      <c r="B211" s="3">
        <v>45079</v>
      </c>
      <c r="C211">
        <v>4010</v>
      </c>
      <c r="D211" s="1">
        <v>0</v>
      </c>
      <c r="E211" s="1">
        <v>31069.57</v>
      </c>
      <c r="F211" t="s">
        <v>3165</v>
      </c>
      <c r="G211" t="str">
        <f>_xlfn.XLOOKUP(C211,tblCOA[AccountNo],tblCOA[AccountName],"Unmapped")</f>
        <v>Product Sales</v>
      </c>
      <c r="H211" t="str">
        <f>_xlfn.XLOOKUP(C211,tblCOA[AccountNo],tblCOA[Category],"Unmapped")</f>
        <v>Revenue</v>
      </c>
      <c r="I211" s="4">
        <f t="shared" si="9"/>
        <v>-31069.57</v>
      </c>
      <c r="J211">
        <f t="shared" si="10"/>
        <v>2023</v>
      </c>
      <c r="K211" s="5">
        <f t="shared" si="11"/>
        <v>45078</v>
      </c>
    </row>
    <row r="212" spans="1:11" x14ac:dyDescent="0.25">
      <c r="A212" t="s">
        <v>3602</v>
      </c>
      <c r="B212" s="3">
        <v>45080</v>
      </c>
      <c r="C212">
        <v>1200</v>
      </c>
      <c r="D212" s="1">
        <v>21343.87</v>
      </c>
      <c r="E212" s="1">
        <v>0</v>
      </c>
      <c r="F212" t="s">
        <v>3603</v>
      </c>
      <c r="G212" t="str">
        <f>_xlfn.XLOOKUP(C212,tblCOA[AccountNo],tblCOA[AccountName],"Unmapped")</f>
        <v>Accounts Receivable</v>
      </c>
      <c r="H212" t="str">
        <f>_xlfn.XLOOKUP(C212,tblCOA[AccountNo],tblCOA[Category],"Unmapped")</f>
        <v>Assets</v>
      </c>
      <c r="I212" s="4">
        <f t="shared" si="9"/>
        <v>21343.87</v>
      </c>
      <c r="J212">
        <f t="shared" si="10"/>
        <v>2023</v>
      </c>
      <c r="K212" s="5">
        <f t="shared" si="11"/>
        <v>45078</v>
      </c>
    </row>
    <row r="213" spans="1:11" x14ac:dyDescent="0.25">
      <c r="A213" t="s">
        <v>3604</v>
      </c>
      <c r="B213" s="3">
        <v>45080</v>
      </c>
      <c r="C213">
        <v>4010</v>
      </c>
      <c r="D213" s="1">
        <v>0</v>
      </c>
      <c r="E213" s="1">
        <v>21343.87</v>
      </c>
      <c r="F213" t="s">
        <v>3605</v>
      </c>
      <c r="G213" t="str">
        <f>_xlfn.XLOOKUP(C213,tblCOA[AccountNo],tblCOA[AccountName],"Unmapped")</f>
        <v>Product Sales</v>
      </c>
      <c r="H213" t="str">
        <f>_xlfn.XLOOKUP(C213,tblCOA[AccountNo],tblCOA[Category],"Unmapped")</f>
        <v>Revenue</v>
      </c>
      <c r="I213" s="4">
        <f t="shared" si="9"/>
        <v>-21343.87</v>
      </c>
      <c r="J213">
        <f t="shared" si="10"/>
        <v>2023</v>
      </c>
      <c r="K213" s="5">
        <f t="shared" si="11"/>
        <v>45078</v>
      </c>
    </row>
    <row r="214" spans="1:11" x14ac:dyDescent="0.25">
      <c r="A214" t="s">
        <v>3510</v>
      </c>
      <c r="B214" s="3">
        <v>45081</v>
      </c>
      <c r="C214">
        <v>5010</v>
      </c>
      <c r="D214" s="1">
        <v>3065.58</v>
      </c>
      <c r="E214" s="1">
        <v>0</v>
      </c>
      <c r="F214" t="s">
        <v>3511</v>
      </c>
      <c r="G214" t="str">
        <f>_xlfn.XLOOKUP(C214,tblCOA[AccountNo],tblCOA[AccountName],"Unmapped")</f>
        <v>Cost of Goods Sold</v>
      </c>
      <c r="H214" t="str">
        <f>_xlfn.XLOOKUP(C214,tblCOA[AccountNo],tblCOA[Category],"Unmapped")</f>
        <v>Expenses</v>
      </c>
      <c r="I214" s="4">
        <f t="shared" si="9"/>
        <v>3065.58</v>
      </c>
      <c r="J214">
        <f t="shared" si="10"/>
        <v>2023</v>
      </c>
      <c r="K214" s="5">
        <f t="shared" si="11"/>
        <v>45078</v>
      </c>
    </row>
    <row r="215" spans="1:11" x14ac:dyDescent="0.25">
      <c r="A215" t="s">
        <v>3512</v>
      </c>
      <c r="B215" s="3">
        <v>45081</v>
      </c>
      <c r="C215">
        <v>2010</v>
      </c>
      <c r="D215" s="1">
        <v>0</v>
      </c>
      <c r="E215" s="1">
        <v>3065.58</v>
      </c>
      <c r="F215" t="s">
        <v>3513</v>
      </c>
      <c r="G215" t="str">
        <f>_xlfn.XLOOKUP(C215,tblCOA[AccountNo],tblCOA[AccountName],"Unmapped")</f>
        <v>Accounts Payable</v>
      </c>
      <c r="H215" t="str">
        <f>_xlfn.XLOOKUP(C215,tblCOA[AccountNo],tblCOA[Category],"Unmapped")</f>
        <v>Liabilities</v>
      </c>
      <c r="I215" s="4">
        <f t="shared" si="9"/>
        <v>-3065.58</v>
      </c>
      <c r="J215">
        <f t="shared" si="10"/>
        <v>2023</v>
      </c>
      <c r="K215" s="5">
        <f t="shared" si="11"/>
        <v>45078</v>
      </c>
    </row>
    <row r="216" spans="1:11" x14ac:dyDescent="0.25">
      <c r="A216" t="s">
        <v>1982</v>
      </c>
      <c r="B216" s="3">
        <v>45082</v>
      </c>
      <c r="C216">
        <v>5010</v>
      </c>
      <c r="D216" s="1">
        <v>17233.37</v>
      </c>
      <c r="E216" s="1">
        <v>0</v>
      </c>
      <c r="F216" t="s">
        <v>1983</v>
      </c>
      <c r="G216" t="str">
        <f>_xlfn.XLOOKUP(C216,tblCOA[AccountNo],tblCOA[AccountName],"Unmapped")</f>
        <v>Cost of Goods Sold</v>
      </c>
      <c r="H216" t="str">
        <f>_xlfn.XLOOKUP(C216,tblCOA[AccountNo],tblCOA[Category],"Unmapped")</f>
        <v>Expenses</v>
      </c>
      <c r="I216" s="4">
        <f t="shared" si="9"/>
        <v>17233.37</v>
      </c>
      <c r="J216">
        <f t="shared" si="10"/>
        <v>2023</v>
      </c>
      <c r="K216" s="5">
        <f t="shared" si="11"/>
        <v>45078</v>
      </c>
    </row>
    <row r="217" spans="1:11" x14ac:dyDescent="0.25">
      <c r="A217" t="s">
        <v>1984</v>
      </c>
      <c r="B217" s="3">
        <v>45082</v>
      </c>
      <c r="C217">
        <v>2010</v>
      </c>
      <c r="D217" s="1">
        <v>0</v>
      </c>
      <c r="E217" s="1">
        <v>17233.37</v>
      </c>
      <c r="F217" t="s">
        <v>1985</v>
      </c>
      <c r="G217" t="str">
        <f>_xlfn.XLOOKUP(C217,tblCOA[AccountNo],tblCOA[AccountName],"Unmapped")</f>
        <v>Accounts Payable</v>
      </c>
      <c r="H217" t="str">
        <f>_xlfn.XLOOKUP(C217,tblCOA[AccountNo],tblCOA[Category],"Unmapped")</f>
        <v>Liabilities</v>
      </c>
      <c r="I217" s="4">
        <f t="shared" si="9"/>
        <v>-17233.37</v>
      </c>
      <c r="J217">
        <f t="shared" si="10"/>
        <v>2023</v>
      </c>
      <c r="K217" s="5">
        <f t="shared" si="11"/>
        <v>45078</v>
      </c>
    </row>
    <row r="218" spans="1:11" x14ac:dyDescent="0.25">
      <c r="A218" t="s">
        <v>2638</v>
      </c>
      <c r="B218" s="3">
        <v>45087</v>
      </c>
      <c r="C218">
        <v>5010</v>
      </c>
      <c r="D218" s="1">
        <v>17474.580000000002</v>
      </c>
      <c r="E218" s="1">
        <v>0</v>
      </c>
      <c r="F218" t="s">
        <v>2639</v>
      </c>
      <c r="G218" t="str">
        <f>_xlfn.XLOOKUP(C218,tblCOA[AccountNo],tblCOA[AccountName],"Unmapped")</f>
        <v>Cost of Goods Sold</v>
      </c>
      <c r="H218" t="str">
        <f>_xlfn.XLOOKUP(C218,tblCOA[AccountNo],tblCOA[Category],"Unmapped")</f>
        <v>Expenses</v>
      </c>
      <c r="I218" s="4">
        <f t="shared" si="9"/>
        <v>17474.580000000002</v>
      </c>
      <c r="J218">
        <f t="shared" si="10"/>
        <v>2023</v>
      </c>
      <c r="K218" s="5">
        <f t="shared" si="11"/>
        <v>45078</v>
      </c>
    </row>
    <row r="219" spans="1:11" x14ac:dyDescent="0.25">
      <c r="A219" t="s">
        <v>2640</v>
      </c>
      <c r="B219" s="3">
        <v>45087</v>
      </c>
      <c r="C219">
        <v>2010</v>
      </c>
      <c r="D219" s="1">
        <v>0</v>
      </c>
      <c r="E219" s="1">
        <v>17474.580000000002</v>
      </c>
      <c r="F219" t="s">
        <v>2641</v>
      </c>
      <c r="G219" t="str">
        <f>_xlfn.XLOOKUP(C219,tblCOA[AccountNo],tblCOA[AccountName],"Unmapped")</f>
        <v>Accounts Payable</v>
      </c>
      <c r="H219" t="str">
        <f>_xlfn.XLOOKUP(C219,tblCOA[AccountNo],tblCOA[Category],"Unmapped")</f>
        <v>Liabilities</v>
      </c>
      <c r="I219" s="4">
        <f t="shared" si="9"/>
        <v>-17474.580000000002</v>
      </c>
      <c r="J219">
        <f t="shared" si="10"/>
        <v>2023</v>
      </c>
      <c r="K219" s="5">
        <f t="shared" si="11"/>
        <v>45078</v>
      </c>
    </row>
    <row r="220" spans="1:11" x14ac:dyDescent="0.25">
      <c r="A220" t="s">
        <v>482</v>
      </c>
      <c r="B220" s="3">
        <v>45089</v>
      </c>
      <c r="C220">
        <v>1200</v>
      </c>
      <c r="D220" s="1">
        <v>20272.490000000002</v>
      </c>
      <c r="E220" s="1">
        <v>0</v>
      </c>
      <c r="F220" t="s">
        <v>483</v>
      </c>
      <c r="G220" t="str">
        <f>_xlfn.XLOOKUP(C220,tblCOA[AccountNo],tblCOA[AccountName],"Unmapped")</f>
        <v>Accounts Receivable</v>
      </c>
      <c r="H220" t="str">
        <f>_xlfn.XLOOKUP(C220,tblCOA[AccountNo],tblCOA[Category],"Unmapped")</f>
        <v>Assets</v>
      </c>
      <c r="I220" s="4">
        <f t="shared" si="9"/>
        <v>20272.490000000002</v>
      </c>
      <c r="J220">
        <f t="shared" si="10"/>
        <v>2023</v>
      </c>
      <c r="K220" s="5">
        <f t="shared" si="11"/>
        <v>45078</v>
      </c>
    </row>
    <row r="221" spans="1:11" x14ac:dyDescent="0.25">
      <c r="A221" t="s">
        <v>484</v>
      </c>
      <c r="B221" s="3">
        <v>45089</v>
      </c>
      <c r="C221">
        <v>4010</v>
      </c>
      <c r="D221" s="1">
        <v>0</v>
      </c>
      <c r="E221" s="1">
        <v>20272.490000000002</v>
      </c>
      <c r="F221" t="s">
        <v>485</v>
      </c>
      <c r="G221" t="str">
        <f>_xlfn.XLOOKUP(C221,tblCOA[AccountNo],tblCOA[AccountName],"Unmapped")</f>
        <v>Product Sales</v>
      </c>
      <c r="H221" t="str">
        <f>_xlfn.XLOOKUP(C221,tblCOA[AccountNo],tblCOA[Category],"Unmapped")</f>
        <v>Revenue</v>
      </c>
      <c r="I221" s="4">
        <f t="shared" si="9"/>
        <v>-20272.490000000002</v>
      </c>
      <c r="J221">
        <f t="shared" si="10"/>
        <v>2023</v>
      </c>
      <c r="K221" s="5">
        <f t="shared" si="11"/>
        <v>45078</v>
      </c>
    </row>
    <row r="222" spans="1:11" x14ac:dyDescent="0.25">
      <c r="A222" t="s">
        <v>2718</v>
      </c>
      <c r="B222" s="3">
        <v>45090</v>
      </c>
      <c r="C222">
        <v>5010</v>
      </c>
      <c r="D222" s="1">
        <v>723.05</v>
      </c>
      <c r="E222" s="1">
        <v>0</v>
      </c>
      <c r="F222" t="s">
        <v>2719</v>
      </c>
      <c r="G222" t="str">
        <f>_xlfn.XLOOKUP(C222,tblCOA[AccountNo],tblCOA[AccountName],"Unmapped")</f>
        <v>Cost of Goods Sold</v>
      </c>
      <c r="H222" t="str">
        <f>_xlfn.XLOOKUP(C222,tblCOA[AccountNo],tblCOA[Category],"Unmapped")</f>
        <v>Expenses</v>
      </c>
      <c r="I222" s="4">
        <f t="shared" si="9"/>
        <v>723.05</v>
      </c>
      <c r="J222">
        <f t="shared" si="10"/>
        <v>2023</v>
      </c>
      <c r="K222" s="5">
        <f t="shared" si="11"/>
        <v>45078</v>
      </c>
    </row>
    <row r="223" spans="1:11" x14ac:dyDescent="0.25">
      <c r="A223" t="s">
        <v>2720</v>
      </c>
      <c r="B223" s="3">
        <v>45090</v>
      </c>
      <c r="C223">
        <v>2010</v>
      </c>
      <c r="D223" s="1">
        <v>0</v>
      </c>
      <c r="E223" s="1">
        <v>723.05</v>
      </c>
      <c r="F223" t="s">
        <v>2721</v>
      </c>
      <c r="G223" t="str">
        <f>_xlfn.XLOOKUP(C223,tblCOA[AccountNo],tblCOA[AccountName],"Unmapped")</f>
        <v>Accounts Payable</v>
      </c>
      <c r="H223" t="str">
        <f>_xlfn.XLOOKUP(C223,tblCOA[AccountNo],tblCOA[Category],"Unmapped")</f>
        <v>Liabilities</v>
      </c>
      <c r="I223" s="4">
        <f t="shared" si="9"/>
        <v>-723.05</v>
      </c>
      <c r="J223">
        <f t="shared" si="10"/>
        <v>2023</v>
      </c>
      <c r="K223" s="5">
        <f t="shared" si="11"/>
        <v>45078</v>
      </c>
    </row>
    <row r="224" spans="1:11" x14ac:dyDescent="0.25">
      <c r="A224" t="s">
        <v>3914</v>
      </c>
      <c r="B224" s="3">
        <v>45092</v>
      </c>
      <c r="C224">
        <v>1200</v>
      </c>
      <c r="D224" s="1">
        <v>3895.22</v>
      </c>
      <c r="E224" s="1">
        <v>0</v>
      </c>
      <c r="F224" t="s">
        <v>3915</v>
      </c>
      <c r="G224" t="str">
        <f>_xlfn.XLOOKUP(C224,tblCOA[AccountNo],tblCOA[AccountName],"Unmapped")</f>
        <v>Accounts Receivable</v>
      </c>
      <c r="H224" t="str">
        <f>_xlfn.XLOOKUP(C224,tblCOA[AccountNo],tblCOA[Category],"Unmapped")</f>
        <v>Assets</v>
      </c>
      <c r="I224" s="4">
        <f t="shared" si="9"/>
        <v>3895.22</v>
      </c>
      <c r="J224">
        <f t="shared" si="10"/>
        <v>2023</v>
      </c>
      <c r="K224" s="5">
        <f t="shared" si="11"/>
        <v>45078</v>
      </c>
    </row>
    <row r="225" spans="1:11" x14ac:dyDescent="0.25">
      <c r="A225" t="s">
        <v>3916</v>
      </c>
      <c r="B225" s="3">
        <v>45092</v>
      </c>
      <c r="C225">
        <v>4010</v>
      </c>
      <c r="D225" s="1">
        <v>0</v>
      </c>
      <c r="E225" s="1">
        <v>3895.22</v>
      </c>
      <c r="F225" t="s">
        <v>3917</v>
      </c>
      <c r="G225" t="str">
        <f>_xlfn.XLOOKUP(C225,tblCOA[AccountNo],tblCOA[AccountName],"Unmapped")</f>
        <v>Product Sales</v>
      </c>
      <c r="H225" t="str">
        <f>_xlfn.XLOOKUP(C225,tblCOA[AccountNo],tblCOA[Category],"Unmapped")</f>
        <v>Revenue</v>
      </c>
      <c r="I225" s="4">
        <f t="shared" si="9"/>
        <v>-3895.22</v>
      </c>
      <c r="J225">
        <f t="shared" si="10"/>
        <v>2023</v>
      </c>
      <c r="K225" s="5">
        <f t="shared" si="11"/>
        <v>45078</v>
      </c>
    </row>
    <row r="226" spans="1:11" x14ac:dyDescent="0.25">
      <c r="A226" t="s">
        <v>1054</v>
      </c>
      <c r="B226" s="3">
        <v>45092</v>
      </c>
      <c r="C226">
        <v>5010</v>
      </c>
      <c r="D226" s="1">
        <v>2799.76</v>
      </c>
      <c r="E226" s="1">
        <v>0</v>
      </c>
      <c r="F226" t="s">
        <v>1055</v>
      </c>
      <c r="G226" t="str">
        <f>_xlfn.XLOOKUP(C226,tblCOA[AccountNo],tblCOA[AccountName],"Unmapped")</f>
        <v>Cost of Goods Sold</v>
      </c>
      <c r="H226" t="str">
        <f>_xlfn.XLOOKUP(C226,tblCOA[AccountNo],tblCOA[Category],"Unmapped")</f>
        <v>Expenses</v>
      </c>
      <c r="I226" s="4">
        <f t="shared" si="9"/>
        <v>2799.76</v>
      </c>
      <c r="J226">
        <f t="shared" si="10"/>
        <v>2023</v>
      </c>
      <c r="K226" s="5">
        <f t="shared" si="11"/>
        <v>45078</v>
      </c>
    </row>
    <row r="227" spans="1:11" x14ac:dyDescent="0.25">
      <c r="A227" t="s">
        <v>1056</v>
      </c>
      <c r="B227" s="3">
        <v>45092</v>
      </c>
      <c r="C227">
        <v>2010</v>
      </c>
      <c r="D227" s="1">
        <v>0</v>
      </c>
      <c r="E227" s="1">
        <v>2799.76</v>
      </c>
      <c r="F227" t="s">
        <v>1057</v>
      </c>
      <c r="G227" t="str">
        <f>_xlfn.XLOOKUP(C227,tblCOA[AccountNo],tblCOA[AccountName],"Unmapped")</f>
        <v>Accounts Payable</v>
      </c>
      <c r="H227" t="str">
        <f>_xlfn.XLOOKUP(C227,tblCOA[AccountNo],tblCOA[Category],"Unmapped")</f>
        <v>Liabilities</v>
      </c>
      <c r="I227" s="4">
        <f t="shared" si="9"/>
        <v>-2799.76</v>
      </c>
      <c r="J227">
        <f t="shared" si="10"/>
        <v>2023</v>
      </c>
      <c r="K227" s="5">
        <f t="shared" si="11"/>
        <v>45078</v>
      </c>
    </row>
    <row r="228" spans="1:11" x14ac:dyDescent="0.25">
      <c r="A228" t="s">
        <v>1210</v>
      </c>
      <c r="B228" s="3">
        <v>45092</v>
      </c>
      <c r="C228">
        <v>1200</v>
      </c>
      <c r="D228" s="1">
        <v>46629.33</v>
      </c>
      <c r="E228" s="1">
        <v>0</v>
      </c>
      <c r="F228" t="s">
        <v>1211</v>
      </c>
      <c r="G228" t="str">
        <f>_xlfn.XLOOKUP(C228,tblCOA[AccountNo],tblCOA[AccountName],"Unmapped")</f>
        <v>Accounts Receivable</v>
      </c>
      <c r="H228" t="str">
        <f>_xlfn.XLOOKUP(C228,tblCOA[AccountNo],tblCOA[Category],"Unmapped")</f>
        <v>Assets</v>
      </c>
      <c r="I228" s="4">
        <f t="shared" si="9"/>
        <v>46629.33</v>
      </c>
      <c r="J228">
        <f t="shared" si="10"/>
        <v>2023</v>
      </c>
      <c r="K228" s="5">
        <f t="shared" si="11"/>
        <v>45078</v>
      </c>
    </row>
    <row r="229" spans="1:11" x14ac:dyDescent="0.25">
      <c r="A229" t="s">
        <v>1212</v>
      </c>
      <c r="B229" s="3">
        <v>45092</v>
      </c>
      <c r="C229">
        <v>4010</v>
      </c>
      <c r="D229" s="1">
        <v>0</v>
      </c>
      <c r="E229" s="1">
        <v>46629.33</v>
      </c>
      <c r="F229" t="s">
        <v>1213</v>
      </c>
      <c r="G229" t="str">
        <f>_xlfn.XLOOKUP(C229,tblCOA[AccountNo],tblCOA[AccountName],"Unmapped")</f>
        <v>Product Sales</v>
      </c>
      <c r="H229" t="str">
        <f>_xlfn.XLOOKUP(C229,tblCOA[AccountNo],tblCOA[Category],"Unmapped")</f>
        <v>Revenue</v>
      </c>
      <c r="I229" s="4">
        <f t="shared" si="9"/>
        <v>-46629.33</v>
      </c>
      <c r="J229">
        <f t="shared" si="10"/>
        <v>2023</v>
      </c>
      <c r="K229" s="5">
        <f t="shared" si="11"/>
        <v>45078</v>
      </c>
    </row>
    <row r="230" spans="1:11" x14ac:dyDescent="0.25">
      <c r="A230" t="s">
        <v>1470</v>
      </c>
      <c r="B230" s="3">
        <v>45092</v>
      </c>
      <c r="C230">
        <v>5010</v>
      </c>
      <c r="D230" s="1">
        <v>3336.27</v>
      </c>
      <c r="E230" s="1">
        <v>0</v>
      </c>
      <c r="F230" t="s">
        <v>1471</v>
      </c>
      <c r="G230" t="str">
        <f>_xlfn.XLOOKUP(C230,tblCOA[AccountNo],tblCOA[AccountName],"Unmapped")</f>
        <v>Cost of Goods Sold</v>
      </c>
      <c r="H230" t="str">
        <f>_xlfn.XLOOKUP(C230,tblCOA[AccountNo],tblCOA[Category],"Unmapped")</f>
        <v>Expenses</v>
      </c>
      <c r="I230" s="4">
        <f t="shared" si="9"/>
        <v>3336.27</v>
      </c>
      <c r="J230">
        <f t="shared" si="10"/>
        <v>2023</v>
      </c>
      <c r="K230" s="5">
        <f t="shared" si="11"/>
        <v>45078</v>
      </c>
    </row>
    <row r="231" spans="1:11" x14ac:dyDescent="0.25">
      <c r="A231" t="s">
        <v>1472</v>
      </c>
      <c r="B231" s="3">
        <v>45092</v>
      </c>
      <c r="C231">
        <v>2010</v>
      </c>
      <c r="D231" s="1">
        <v>0</v>
      </c>
      <c r="E231" s="1">
        <v>3336.27</v>
      </c>
      <c r="F231" t="s">
        <v>1473</v>
      </c>
      <c r="G231" t="str">
        <f>_xlfn.XLOOKUP(C231,tblCOA[AccountNo],tblCOA[AccountName],"Unmapped")</f>
        <v>Accounts Payable</v>
      </c>
      <c r="H231" t="str">
        <f>_xlfn.XLOOKUP(C231,tblCOA[AccountNo],tblCOA[Category],"Unmapped")</f>
        <v>Liabilities</v>
      </c>
      <c r="I231" s="4">
        <f t="shared" si="9"/>
        <v>-3336.27</v>
      </c>
      <c r="J231">
        <f t="shared" si="10"/>
        <v>2023</v>
      </c>
      <c r="K231" s="5">
        <f t="shared" si="11"/>
        <v>45078</v>
      </c>
    </row>
    <row r="232" spans="1:11" x14ac:dyDescent="0.25">
      <c r="A232" t="s">
        <v>1730</v>
      </c>
      <c r="B232" s="3">
        <v>45093</v>
      </c>
      <c r="C232">
        <v>1200</v>
      </c>
      <c r="D232" s="1">
        <v>2630.91</v>
      </c>
      <c r="E232" s="1">
        <v>0</v>
      </c>
      <c r="F232" t="s">
        <v>1731</v>
      </c>
      <c r="G232" t="str">
        <f>_xlfn.XLOOKUP(C232,tblCOA[AccountNo],tblCOA[AccountName],"Unmapped")</f>
        <v>Accounts Receivable</v>
      </c>
      <c r="H232" t="str">
        <f>_xlfn.XLOOKUP(C232,tblCOA[AccountNo],tblCOA[Category],"Unmapped")</f>
        <v>Assets</v>
      </c>
      <c r="I232" s="4">
        <f t="shared" si="9"/>
        <v>2630.91</v>
      </c>
      <c r="J232">
        <f t="shared" si="10"/>
        <v>2023</v>
      </c>
      <c r="K232" s="5">
        <f t="shared" si="11"/>
        <v>45078</v>
      </c>
    </row>
    <row r="233" spans="1:11" x14ac:dyDescent="0.25">
      <c r="A233" t="s">
        <v>1732</v>
      </c>
      <c r="B233" s="3">
        <v>45093</v>
      </c>
      <c r="C233">
        <v>4010</v>
      </c>
      <c r="D233" s="1">
        <v>0</v>
      </c>
      <c r="E233" s="1">
        <v>2630.91</v>
      </c>
      <c r="F233" t="s">
        <v>1733</v>
      </c>
      <c r="G233" t="str">
        <f>_xlfn.XLOOKUP(C233,tblCOA[AccountNo],tblCOA[AccountName],"Unmapped")</f>
        <v>Product Sales</v>
      </c>
      <c r="H233" t="str">
        <f>_xlfn.XLOOKUP(C233,tblCOA[AccountNo],tblCOA[Category],"Unmapped")</f>
        <v>Revenue</v>
      </c>
      <c r="I233" s="4">
        <f t="shared" si="9"/>
        <v>-2630.91</v>
      </c>
      <c r="J233">
        <f t="shared" si="10"/>
        <v>2023</v>
      </c>
      <c r="K233" s="5">
        <f t="shared" si="11"/>
        <v>45078</v>
      </c>
    </row>
    <row r="234" spans="1:11" x14ac:dyDescent="0.25">
      <c r="A234" t="s">
        <v>878</v>
      </c>
      <c r="B234" s="3">
        <v>45094</v>
      </c>
      <c r="C234">
        <v>5010</v>
      </c>
      <c r="D234" s="1">
        <v>18265.12</v>
      </c>
      <c r="E234" s="1">
        <v>0</v>
      </c>
      <c r="F234" t="s">
        <v>879</v>
      </c>
      <c r="G234" t="str">
        <f>_xlfn.XLOOKUP(C234,tblCOA[AccountNo],tblCOA[AccountName],"Unmapped")</f>
        <v>Cost of Goods Sold</v>
      </c>
      <c r="H234" t="str">
        <f>_xlfn.XLOOKUP(C234,tblCOA[AccountNo],tblCOA[Category],"Unmapped")</f>
        <v>Expenses</v>
      </c>
      <c r="I234" s="4">
        <f t="shared" si="9"/>
        <v>18265.12</v>
      </c>
      <c r="J234">
        <f t="shared" si="10"/>
        <v>2023</v>
      </c>
      <c r="K234" s="5">
        <f t="shared" si="11"/>
        <v>45078</v>
      </c>
    </row>
    <row r="235" spans="1:11" x14ac:dyDescent="0.25">
      <c r="A235" t="s">
        <v>880</v>
      </c>
      <c r="B235" s="3">
        <v>45094</v>
      </c>
      <c r="C235">
        <v>2010</v>
      </c>
      <c r="D235" s="1">
        <v>0</v>
      </c>
      <c r="E235" s="1">
        <v>18265.12</v>
      </c>
      <c r="F235" t="s">
        <v>881</v>
      </c>
      <c r="G235" t="str">
        <f>_xlfn.XLOOKUP(C235,tblCOA[AccountNo],tblCOA[AccountName],"Unmapped")</f>
        <v>Accounts Payable</v>
      </c>
      <c r="H235" t="str">
        <f>_xlfn.XLOOKUP(C235,tblCOA[AccountNo],tblCOA[Category],"Unmapped")</f>
        <v>Liabilities</v>
      </c>
      <c r="I235" s="4">
        <f t="shared" si="9"/>
        <v>-18265.12</v>
      </c>
      <c r="J235">
        <f t="shared" si="10"/>
        <v>2023</v>
      </c>
      <c r="K235" s="5">
        <f t="shared" si="11"/>
        <v>45078</v>
      </c>
    </row>
    <row r="236" spans="1:11" x14ac:dyDescent="0.25">
      <c r="A236" t="s">
        <v>2546</v>
      </c>
      <c r="B236" s="3">
        <v>45097</v>
      </c>
      <c r="C236">
        <v>1200</v>
      </c>
      <c r="D236" s="1">
        <v>3381.35</v>
      </c>
      <c r="E236" s="1">
        <v>0</v>
      </c>
      <c r="F236" t="s">
        <v>2547</v>
      </c>
      <c r="G236" t="str">
        <f>_xlfn.XLOOKUP(C236,tblCOA[AccountNo],tblCOA[AccountName],"Unmapped")</f>
        <v>Accounts Receivable</v>
      </c>
      <c r="H236" t="str">
        <f>_xlfn.XLOOKUP(C236,tblCOA[AccountNo],tblCOA[Category],"Unmapped")</f>
        <v>Assets</v>
      </c>
      <c r="I236" s="4">
        <f t="shared" si="9"/>
        <v>3381.35</v>
      </c>
      <c r="J236">
        <f t="shared" si="10"/>
        <v>2023</v>
      </c>
      <c r="K236" s="5">
        <f t="shared" si="11"/>
        <v>45078</v>
      </c>
    </row>
    <row r="237" spans="1:11" x14ac:dyDescent="0.25">
      <c r="A237" t="s">
        <v>2548</v>
      </c>
      <c r="B237" s="3">
        <v>45097</v>
      </c>
      <c r="C237">
        <v>4010</v>
      </c>
      <c r="D237" s="1">
        <v>0</v>
      </c>
      <c r="E237" s="1">
        <v>3381.35</v>
      </c>
      <c r="F237" t="s">
        <v>2549</v>
      </c>
      <c r="G237" t="str">
        <f>_xlfn.XLOOKUP(C237,tblCOA[AccountNo],tblCOA[AccountName],"Unmapped")</f>
        <v>Product Sales</v>
      </c>
      <c r="H237" t="str">
        <f>_xlfn.XLOOKUP(C237,tblCOA[AccountNo],tblCOA[Category],"Unmapped")</f>
        <v>Revenue</v>
      </c>
      <c r="I237" s="4">
        <f t="shared" si="9"/>
        <v>-3381.35</v>
      </c>
      <c r="J237">
        <f t="shared" si="10"/>
        <v>2023</v>
      </c>
      <c r="K237" s="5">
        <f t="shared" si="11"/>
        <v>45078</v>
      </c>
    </row>
    <row r="238" spans="1:11" x14ac:dyDescent="0.25">
      <c r="A238" t="s">
        <v>3750</v>
      </c>
      <c r="B238" s="3">
        <v>45097</v>
      </c>
      <c r="C238">
        <v>5010</v>
      </c>
      <c r="D238" s="1">
        <v>12861.7</v>
      </c>
      <c r="E238" s="1">
        <v>0</v>
      </c>
      <c r="F238" t="s">
        <v>3751</v>
      </c>
      <c r="G238" t="str">
        <f>_xlfn.XLOOKUP(C238,tblCOA[AccountNo],tblCOA[AccountName],"Unmapped")</f>
        <v>Cost of Goods Sold</v>
      </c>
      <c r="H238" t="str">
        <f>_xlfn.XLOOKUP(C238,tblCOA[AccountNo],tblCOA[Category],"Unmapped")</f>
        <v>Expenses</v>
      </c>
      <c r="I238" s="4">
        <f t="shared" si="9"/>
        <v>12861.7</v>
      </c>
      <c r="J238">
        <f t="shared" si="10"/>
        <v>2023</v>
      </c>
      <c r="K238" s="5">
        <f t="shared" si="11"/>
        <v>45078</v>
      </c>
    </row>
    <row r="239" spans="1:11" x14ac:dyDescent="0.25">
      <c r="A239" t="s">
        <v>3752</v>
      </c>
      <c r="B239" s="3">
        <v>45097</v>
      </c>
      <c r="C239">
        <v>2010</v>
      </c>
      <c r="D239" s="1">
        <v>0</v>
      </c>
      <c r="E239" s="1">
        <v>12861.7</v>
      </c>
      <c r="F239" t="s">
        <v>3753</v>
      </c>
      <c r="G239" t="str">
        <f>_xlfn.XLOOKUP(C239,tblCOA[AccountNo],tblCOA[AccountName],"Unmapped")</f>
        <v>Accounts Payable</v>
      </c>
      <c r="H239" t="str">
        <f>_xlfn.XLOOKUP(C239,tblCOA[AccountNo],tblCOA[Category],"Unmapped")</f>
        <v>Liabilities</v>
      </c>
      <c r="I239" s="4">
        <f t="shared" si="9"/>
        <v>-12861.7</v>
      </c>
      <c r="J239">
        <f t="shared" si="10"/>
        <v>2023</v>
      </c>
      <c r="K239" s="5">
        <f t="shared" si="11"/>
        <v>45078</v>
      </c>
    </row>
    <row r="240" spans="1:11" x14ac:dyDescent="0.25">
      <c r="A240" t="s">
        <v>3398</v>
      </c>
      <c r="B240" s="3">
        <v>45101</v>
      </c>
      <c r="C240">
        <v>5010</v>
      </c>
      <c r="D240" s="1">
        <v>10762.73</v>
      </c>
      <c r="E240" s="1">
        <v>0</v>
      </c>
      <c r="F240" t="s">
        <v>3399</v>
      </c>
      <c r="G240" t="str">
        <f>_xlfn.XLOOKUP(C240,tblCOA[AccountNo],tblCOA[AccountName],"Unmapped")</f>
        <v>Cost of Goods Sold</v>
      </c>
      <c r="H240" t="str">
        <f>_xlfn.XLOOKUP(C240,tblCOA[AccountNo],tblCOA[Category],"Unmapped")</f>
        <v>Expenses</v>
      </c>
      <c r="I240" s="4">
        <f t="shared" si="9"/>
        <v>10762.73</v>
      </c>
      <c r="J240">
        <f t="shared" si="10"/>
        <v>2023</v>
      </c>
      <c r="K240" s="5">
        <f t="shared" si="11"/>
        <v>45078</v>
      </c>
    </row>
    <row r="241" spans="1:11" x14ac:dyDescent="0.25">
      <c r="A241" t="s">
        <v>3400</v>
      </c>
      <c r="B241" s="3">
        <v>45101</v>
      </c>
      <c r="C241">
        <v>2010</v>
      </c>
      <c r="D241" s="1">
        <v>0</v>
      </c>
      <c r="E241" s="1">
        <v>10762.73</v>
      </c>
      <c r="F241" t="s">
        <v>3401</v>
      </c>
      <c r="G241" t="str">
        <f>_xlfn.XLOOKUP(C241,tblCOA[AccountNo],tblCOA[AccountName],"Unmapped")</f>
        <v>Accounts Payable</v>
      </c>
      <c r="H241" t="str">
        <f>_xlfn.XLOOKUP(C241,tblCOA[AccountNo],tblCOA[Category],"Unmapped")</f>
        <v>Liabilities</v>
      </c>
      <c r="I241" s="4">
        <f t="shared" si="9"/>
        <v>-10762.73</v>
      </c>
      <c r="J241">
        <f t="shared" si="10"/>
        <v>2023</v>
      </c>
      <c r="K241" s="5">
        <f t="shared" si="11"/>
        <v>45078</v>
      </c>
    </row>
    <row r="242" spans="1:11" x14ac:dyDescent="0.25">
      <c r="A242" t="s">
        <v>1750</v>
      </c>
      <c r="B242" s="3">
        <v>45101</v>
      </c>
      <c r="C242">
        <v>5010</v>
      </c>
      <c r="D242" s="1">
        <v>13206.63</v>
      </c>
      <c r="E242" s="1">
        <v>0</v>
      </c>
      <c r="F242" t="s">
        <v>1751</v>
      </c>
      <c r="G242" t="str">
        <f>_xlfn.XLOOKUP(C242,tblCOA[AccountNo],tblCOA[AccountName],"Unmapped")</f>
        <v>Cost of Goods Sold</v>
      </c>
      <c r="H242" t="str">
        <f>_xlfn.XLOOKUP(C242,tblCOA[AccountNo],tblCOA[Category],"Unmapped")</f>
        <v>Expenses</v>
      </c>
      <c r="I242" s="4">
        <f t="shared" si="9"/>
        <v>13206.63</v>
      </c>
      <c r="J242">
        <f t="shared" si="10"/>
        <v>2023</v>
      </c>
      <c r="K242" s="5">
        <f t="shared" si="11"/>
        <v>45078</v>
      </c>
    </row>
    <row r="243" spans="1:11" x14ac:dyDescent="0.25">
      <c r="A243" t="s">
        <v>1752</v>
      </c>
      <c r="B243" s="3">
        <v>45101</v>
      </c>
      <c r="C243">
        <v>2010</v>
      </c>
      <c r="D243" s="1">
        <v>0</v>
      </c>
      <c r="E243" s="1">
        <v>13206.63</v>
      </c>
      <c r="F243" t="s">
        <v>1753</v>
      </c>
      <c r="G243" t="str">
        <f>_xlfn.XLOOKUP(C243,tblCOA[AccountNo],tblCOA[AccountName],"Unmapped")</f>
        <v>Accounts Payable</v>
      </c>
      <c r="H243" t="str">
        <f>_xlfn.XLOOKUP(C243,tblCOA[AccountNo],tblCOA[Category],"Unmapped")</f>
        <v>Liabilities</v>
      </c>
      <c r="I243" s="4">
        <f t="shared" si="9"/>
        <v>-13206.63</v>
      </c>
      <c r="J243">
        <f t="shared" si="10"/>
        <v>2023</v>
      </c>
      <c r="K243" s="5">
        <f t="shared" si="11"/>
        <v>45078</v>
      </c>
    </row>
    <row r="244" spans="1:11" x14ac:dyDescent="0.25">
      <c r="A244" t="s">
        <v>146</v>
      </c>
      <c r="B244" s="3">
        <v>45103</v>
      </c>
      <c r="C244">
        <v>1200</v>
      </c>
      <c r="D244" s="1">
        <v>13913.03</v>
      </c>
      <c r="E244" s="1">
        <v>0</v>
      </c>
      <c r="F244" t="s">
        <v>147</v>
      </c>
      <c r="G244" t="str">
        <f>_xlfn.XLOOKUP(C244,tblCOA[AccountNo],tblCOA[AccountName],"Unmapped")</f>
        <v>Accounts Receivable</v>
      </c>
      <c r="H244" t="str">
        <f>_xlfn.XLOOKUP(C244,tblCOA[AccountNo],tblCOA[Category],"Unmapped")</f>
        <v>Assets</v>
      </c>
      <c r="I244" s="4">
        <f t="shared" si="9"/>
        <v>13913.03</v>
      </c>
      <c r="J244">
        <f t="shared" si="10"/>
        <v>2023</v>
      </c>
      <c r="K244" s="5">
        <f t="shared" si="11"/>
        <v>45078</v>
      </c>
    </row>
    <row r="245" spans="1:11" x14ac:dyDescent="0.25">
      <c r="A245" t="s">
        <v>148</v>
      </c>
      <c r="B245" s="3">
        <v>45103</v>
      </c>
      <c r="C245">
        <v>4010</v>
      </c>
      <c r="D245" s="1">
        <v>0</v>
      </c>
      <c r="E245" s="1">
        <v>13913.03</v>
      </c>
      <c r="F245" t="s">
        <v>149</v>
      </c>
      <c r="G245" t="str">
        <f>_xlfn.XLOOKUP(C245,tblCOA[AccountNo],tblCOA[AccountName],"Unmapped")</f>
        <v>Product Sales</v>
      </c>
      <c r="H245" t="str">
        <f>_xlfn.XLOOKUP(C245,tblCOA[AccountNo],tblCOA[Category],"Unmapped")</f>
        <v>Revenue</v>
      </c>
      <c r="I245" s="4">
        <f t="shared" si="9"/>
        <v>-13913.03</v>
      </c>
      <c r="J245">
        <f t="shared" si="10"/>
        <v>2023</v>
      </c>
      <c r="K245" s="5">
        <f t="shared" si="11"/>
        <v>45078</v>
      </c>
    </row>
    <row r="246" spans="1:11" x14ac:dyDescent="0.25">
      <c r="A246" t="s">
        <v>3594</v>
      </c>
      <c r="B246" s="3">
        <v>45104</v>
      </c>
      <c r="C246">
        <v>1200</v>
      </c>
      <c r="D246" s="1">
        <v>1552.77</v>
      </c>
      <c r="E246" s="1">
        <v>0</v>
      </c>
      <c r="F246" t="s">
        <v>3595</v>
      </c>
      <c r="G246" t="str">
        <f>_xlfn.XLOOKUP(C246,tblCOA[AccountNo],tblCOA[AccountName],"Unmapped")</f>
        <v>Accounts Receivable</v>
      </c>
      <c r="H246" t="str">
        <f>_xlfn.XLOOKUP(C246,tblCOA[AccountNo],tblCOA[Category],"Unmapped")</f>
        <v>Assets</v>
      </c>
      <c r="I246" s="4">
        <f t="shared" si="9"/>
        <v>1552.77</v>
      </c>
      <c r="J246">
        <f t="shared" si="10"/>
        <v>2023</v>
      </c>
      <c r="K246" s="5">
        <f t="shared" si="11"/>
        <v>45078</v>
      </c>
    </row>
    <row r="247" spans="1:11" x14ac:dyDescent="0.25">
      <c r="A247" t="s">
        <v>3596</v>
      </c>
      <c r="B247" s="3">
        <v>45104</v>
      </c>
      <c r="C247">
        <v>4010</v>
      </c>
      <c r="D247" s="1">
        <v>0</v>
      </c>
      <c r="E247" s="1">
        <v>1552.77</v>
      </c>
      <c r="F247" t="s">
        <v>3597</v>
      </c>
      <c r="G247" t="str">
        <f>_xlfn.XLOOKUP(C247,tblCOA[AccountNo],tblCOA[AccountName],"Unmapped")</f>
        <v>Product Sales</v>
      </c>
      <c r="H247" t="str">
        <f>_xlfn.XLOOKUP(C247,tblCOA[AccountNo],tblCOA[Category],"Unmapped")</f>
        <v>Revenue</v>
      </c>
      <c r="I247" s="4">
        <f t="shared" si="9"/>
        <v>-1552.77</v>
      </c>
      <c r="J247">
        <f t="shared" si="10"/>
        <v>2023</v>
      </c>
      <c r="K247" s="5">
        <f t="shared" si="11"/>
        <v>45078</v>
      </c>
    </row>
    <row r="248" spans="1:11" x14ac:dyDescent="0.25">
      <c r="A248" t="s">
        <v>1114</v>
      </c>
      <c r="B248" s="3">
        <v>45104</v>
      </c>
      <c r="C248">
        <v>1200</v>
      </c>
      <c r="D248" s="1">
        <v>43753.87</v>
      </c>
      <c r="E248" s="1">
        <v>0</v>
      </c>
      <c r="F248" t="s">
        <v>1115</v>
      </c>
      <c r="G248" t="str">
        <f>_xlfn.XLOOKUP(C248,tblCOA[AccountNo],tblCOA[AccountName],"Unmapped")</f>
        <v>Accounts Receivable</v>
      </c>
      <c r="H248" t="str">
        <f>_xlfn.XLOOKUP(C248,tblCOA[AccountNo],tblCOA[Category],"Unmapped")</f>
        <v>Assets</v>
      </c>
      <c r="I248" s="4">
        <f t="shared" si="9"/>
        <v>43753.87</v>
      </c>
      <c r="J248">
        <f t="shared" si="10"/>
        <v>2023</v>
      </c>
      <c r="K248" s="5">
        <f t="shared" si="11"/>
        <v>45078</v>
      </c>
    </row>
    <row r="249" spans="1:11" x14ac:dyDescent="0.25">
      <c r="A249" t="s">
        <v>1116</v>
      </c>
      <c r="B249" s="3">
        <v>45104</v>
      </c>
      <c r="C249">
        <v>4010</v>
      </c>
      <c r="D249" s="1">
        <v>0</v>
      </c>
      <c r="E249" s="1">
        <v>43753.87</v>
      </c>
      <c r="F249" t="s">
        <v>1117</v>
      </c>
      <c r="G249" t="str">
        <f>_xlfn.XLOOKUP(C249,tblCOA[AccountNo],tblCOA[AccountName],"Unmapped")</f>
        <v>Product Sales</v>
      </c>
      <c r="H249" t="str">
        <f>_xlfn.XLOOKUP(C249,tblCOA[AccountNo],tblCOA[Category],"Unmapped")</f>
        <v>Revenue</v>
      </c>
      <c r="I249" s="4">
        <f t="shared" si="9"/>
        <v>-43753.87</v>
      </c>
      <c r="J249">
        <f t="shared" si="10"/>
        <v>2023</v>
      </c>
      <c r="K249" s="5">
        <f t="shared" si="11"/>
        <v>45078</v>
      </c>
    </row>
    <row r="250" spans="1:11" x14ac:dyDescent="0.25">
      <c r="A250" t="s">
        <v>1894</v>
      </c>
      <c r="B250" s="3">
        <v>45104</v>
      </c>
      <c r="C250">
        <v>5010</v>
      </c>
      <c r="D250" s="1">
        <v>2639.7</v>
      </c>
      <c r="E250" s="1">
        <v>0</v>
      </c>
      <c r="F250" t="s">
        <v>1895</v>
      </c>
      <c r="G250" t="str">
        <f>_xlfn.XLOOKUP(C250,tblCOA[AccountNo],tblCOA[AccountName],"Unmapped")</f>
        <v>Cost of Goods Sold</v>
      </c>
      <c r="H250" t="str">
        <f>_xlfn.XLOOKUP(C250,tblCOA[AccountNo],tblCOA[Category],"Unmapped")</f>
        <v>Expenses</v>
      </c>
      <c r="I250" s="4">
        <f t="shared" si="9"/>
        <v>2639.7</v>
      </c>
      <c r="J250">
        <f t="shared" si="10"/>
        <v>2023</v>
      </c>
      <c r="K250" s="5">
        <f t="shared" si="11"/>
        <v>45078</v>
      </c>
    </row>
    <row r="251" spans="1:11" x14ac:dyDescent="0.25">
      <c r="A251" t="s">
        <v>1896</v>
      </c>
      <c r="B251" s="3">
        <v>45104</v>
      </c>
      <c r="C251">
        <v>2010</v>
      </c>
      <c r="D251" s="1">
        <v>0</v>
      </c>
      <c r="E251" s="1">
        <v>2639.7</v>
      </c>
      <c r="F251" t="s">
        <v>1897</v>
      </c>
      <c r="G251" t="str">
        <f>_xlfn.XLOOKUP(C251,tblCOA[AccountNo],tblCOA[AccountName],"Unmapped")</f>
        <v>Accounts Payable</v>
      </c>
      <c r="H251" t="str">
        <f>_xlfn.XLOOKUP(C251,tblCOA[AccountNo],tblCOA[Category],"Unmapped")</f>
        <v>Liabilities</v>
      </c>
      <c r="I251" s="4">
        <f t="shared" si="9"/>
        <v>-2639.7</v>
      </c>
      <c r="J251">
        <f t="shared" si="10"/>
        <v>2023</v>
      </c>
      <c r="K251" s="5">
        <f t="shared" si="11"/>
        <v>45078</v>
      </c>
    </row>
    <row r="252" spans="1:11" x14ac:dyDescent="0.25">
      <c r="A252" t="s">
        <v>2954</v>
      </c>
      <c r="B252" s="3">
        <v>45105</v>
      </c>
      <c r="C252">
        <v>1200</v>
      </c>
      <c r="D252" s="1">
        <v>22247.79</v>
      </c>
      <c r="E252" s="1">
        <v>0</v>
      </c>
      <c r="F252" t="s">
        <v>2955</v>
      </c>
      <c r="G252" t="str">
        <f>_xlfn.XLOOKUP(C252,tblCOA[AccountNo],tblCOA[AccountName],"Unmapped")</f>
        <v>Accounts Receivable</v>
      </c>
      <c r="H252" t="str">
        <f>_xlfn.XLOOKUP(C252,tblCOA[AccountNo],tblCOA[Category],"Unmapped")</f>
        <v>Assets</v>
      </c>
      <c r="I252" s="4">
        <f t="shared" si="9"/>
        <v>22247.79</v>
      </c>
      <c r="J252">
        <f t="shared" si="10"/>
        <v>2023</v>
      </c>
      <c r="K252" s="5">
        <f t="shared" si="11"/>
        <v>45078</v>
      </c>
    </row>
    <row r="253" spans="1:11" x14ac:dyDescent="0.25">
      <c r="A253" t="s">
        <v>2956</v>
      </c>
      <c r="B253" s="3">
        <v>45105</v>
      </c>
      <c r="C253">
        <v>4010</v>
      </c>
      <c r="D253" s="1">
        <v>0</v>
      </c>
      <c r="E253" s="1">
        <v>22247.79</v>
      </c>
      <c r="F253" t="s">
        <v>2957</v>
      </c>
      <c r="G253" t="str">
        <f>_xlfn.XLOOKUP(C253,tblCOA[AccountNo],tblCOA[AccountName],"Unmapped")</f>
        <v>Product Sales</v>
      </c>
      <c r="H253" t="str">
        <f>_xlfn.XLOOKUP(C253,tblCOA[AccountNo],tblCOA[Category],"Unmapped")</f>
        <v>Revenue</v>
      </c>
      <c r="I253" s="4">
        <f t="shared" si="9"/>
        <v>-22247.79</v>
      </c>
      <c r="J253">
        <f t="shared" si="10"/>
        <v>2023</v>
      </c>
      <c r="K253" s="5">
        <f t="shared" si="11"/>
        <v>45078</v>
      </c>
    </row>
    <row r="254" spans="1:11" x14ac:dyDescent="0.25">
      <c r="A254" t="s">
        <v>2206</v>
      </c>
      <c r="B254" s="3">
        <v>45107</v>
      </c>
      <c r="C254">
        <v>5010</v>
      </c>
      <c r="D254" s="1">
        <v>7527.18</v>
      </c>
      <c r="E254" s="1">
        <v>0</v>
      </c>
      <c r="F254" t="s">
        <v>2207</v>
      </c>
      <c r="G254" t="str">
        <f>_xlfn.XLOOKUP(C254,tblCOA[AccountNo],tblCOA[AccountName],"Unmapped")</f>
        <v>Cost of Goods Sold</v>
      </c>
      <c r="H254" t="str">
        <f>_xlfn.XLOOKUP(C254,tblCOA[AccountNo],tblCOA[Category],"Unmapped")</f>
        <v>Expenses</v>
      </c>
      <c r="I254" s="4">
        <f t="shared" si="9"/>
        <v>7527.18</v>
      </c>
      <c r="J254">
        <f t="shared" si="10"/>
        <v>2023</v>
      </c>
      <c r="K254" s="5">
        <f t="shared" si="11"/>
        <v>45078</v>
      </c>
    </row>
    <row r="255" spans="1:11" x14ac:dyDescent="0.25">
      <c r="A255" t="s">
        <v>2208</v>
      </c>
      <c r="B255" s="3">
        <v>45107</v>
      </c>
      <c r="C255">
        <v>2010</v>
      </c>
      <c r="D255" s="1">
        <v>0</v>
      </c>
      <c r="E255" s="1">
        <v>7527.18</v>
      </c>
      <c r="F255" t="s">
        <v>2209</v>
      </c>
      <c r="G255" t="str">
        <f>_xlfn.XLOOKUP(C255,tblCOA[AccountNo],tblCOA[AccountName],"Unmapped")</f>
        <v>Accounts Payable</v>
      </c>
      <c r="H255" t="str">
        <f>_xlfn.XLOOKUP(C255,tblCOA[AccountNo],tblCOA[Category],"Unmapped")</f>
        <v>Liabilities</v>
      </c>
      <c r="I255" s="4">
        <f t="shared" si="9"/>
        <v>-7527.18</v>
      </c>
      <c r="J255">
        <f t="shared" si="10"/>
        <v>2023</v>
      </c>
      <c r="K255" s="5">
        <f t="shared" si="11"/>
        <v>45078</v>
      </c>
    </row>
    <row r="256" spans="1:11" x14ac:dyDescent="0.25">
      <c r="A256" t="s">
        <v>2918</v>
      </c>
      <c r="B256" s="3">
        <v>45107</v>
      </c>
      <c r="C256">
        <v>5010</v>
      </c>
      <c r="D256" s="1">
        <v>4977.2700000000004</v>
      </c>
      <c r="E256" s="1">
        <v>0</v>
      </c>
      <c r="F256" t="s">
        <v>2919</v>
      </c>
      <c r="G256" t="str">
        <f>_xlfn.XLOOKUP(C256,tblCOA[AccountNo],tblCOA[AccountName],"Unmapped")</f>
        <v>Cost of Goods Sold</v>
      </c>
      <c r="H256" t="str">
        <f>_xlfn.XLOOKUP(C256,tblCOA[AccountNo],tblCOA[Category],"Unmapped")</f>
        <v>Expenses</v>
      </c>
      <c r="I256" s="4">
        <f t="shared" si="9"/>
        <v>4977.2700000000004</v>
      </c>
      <c r="J256">
        <f t="shared" si="10"/>
        <v>2023</v>
      </c>
      <c r="K256" s="5">
        <f t="shared" si="11"/>
        <v>45078</v>
      </c>
    </row>
    <row r="257" spans="1:11" x14ac:dyDescent="0.25">
      <c r="A257" t="s">
        <v>2920</v>
      </c>
      <c r="B257" s="3">
        <v>45107</v>
      </c>
      <c r="C257">
        <v>2010</v>
      </c>
      <c r="D257" s="1">
        <v>0</v>
      </c>
      <c r="E257" s="1">
        <v>4977.2700000000004</v>
      </c>
      <c r="F257" t="s">
        <v>2921</v>
      </c>
      <c r="G257" t="str">
        <f>_xlfn.XLOOKUP(C257,tblCOA[AccountNo],tblCOA[AccountName],"Unmapped")</f>
        <v>Accounts Payable</v>
      </c>
      <c r="H257" t="str">
        <f>_xlfn.XLOOKUP(C257,tblCOA[AccountNo],tblCOA[Category],"Unmapped")</f>
        <v>Liabilities</v>
      </c>
      <c r="I257" s="4">
        <f t="shared" si="9"/>
        <v>-4977.2700000000004</v>
      </c>
      <c r="J257">
        <f t="shared" si="10"/>
        <v>2023</v>
      </c>
      <c r="K257" s="5">
        <f t="shared" si="11"/>
        <v>45078</v>
      </c>
    </row>
    <row r="258" spans="1:11" x14ac:dyDescent="0.25">
      <c r="A258" t="s">
        <v>2906</v>
      </c>
      <c r="B258" s="3">
        <v>45111</v>
      </c>
      <c r="C258">
        <v>1200</v>
      </c>
      <c r="D258" s="1">
        <v>25935.33</v>
      </c>
      <c r="E258" s="1">
        <v>0</v>
      </c>
      <c r="F258" t="s">
        <v>2907</v>
      </c>
      <c r="G258" t="str">
        <f>_xlfn.XLOOKUP(C258,tblCOA[AccountNo],tblCOA[AccountName],"Unmapped")</f>
        <v>Accounts Receivable</v>
      </c>
      <c r="H258" t="str">
        <f>_xlfn.XLOOKUP(C258,tblCOA[AccountNo],tblCOA[Category],"Unmapped")</f>
        <v>Assets</v>
      </c>
      <c r="I258" s="4">
        <f t="shared" ref="I258:I321" si="12">D258-E258</f>
        <v>25935.33</v>
      </c>
      <c r="J258">
        <f t="shared" ref="J258:J321" si="13">YEAR(B258)</f>
        <v>2023</v>
      </c>
      <c r="K258" s="5">
        <f t="shared" ref="K258:K321" si="14">DATE(YEAR(B258),MONTH(B258),1)</f>
        <v>45108</v>
      </c>
    </row>
    <row r="259" spans="1:11" x14ac:dyDescent="0.25">
      <c r="A259" t="s">
        <v>2908</v>
      </c>
      <c r="B259" s="3">
        <v>45111</v>
      </c>
      <c r="C259">
        <v>4010</v>
      </c>
      <c r="D259" s="1">
        <v>0</v>
      </c>
      <c r="E259" s="1">
        <v>25935.33</v>
      </c>
      <c r="F259" t="s">
        <v>2909</v>
      </c>
      <c r="G259" t="str">
        <f>_xlfn.XLOOKUP(C259,tblCOA[AccountNo],tblCOA[AccountName],"Unmapped")</f>
        <v>Product Sales</v>
      </c>
      <c r="H259" t="str">
        <f>_xlfn.XLOOKUP(C259,tblCOA[AccountNo],tblCOA[Category],"Unmapped")</f>
        <v>Revenue</v>
      </c>
      <c r="I259" s="4">
        <f t="shared" si="12"/>
        <v>-25935.33</v>
      </c>
      <c r="J259">
        <f t="shared" si="13"/>
        <v>2023</v>
      </c>
      <c r="K259" s="5">
        <f t="shared" si="14"/>
        <v>45108</v>
      </c>
    </row>
    <row r="260" spans="1:11" x14ac:dyDescent="0.25">
      <c r="A260" t="s">
        <v>3038</v>
      </c>
      <c r="B260" s="3">
        <v>45111</v>
      </c>
      <c r="C260">
        <v>5010</v>
      </c>
      <c r="D260" s="1">
        <v>14249.1</v>
      </c>
      <c r="E260" s="1">
        <v>0</v>
      </c>
      <c r="F260" t="s">
        <v>3039</v>
      </c>
      <c r="G260" t="str">
        <f>_xlfn.XLOOKUP(C260,tblCOA[AccountNo],tblCOA[AccountName],"Unmapped")</f>
        <v>Cost of Goods Sold</v>
      </c>
      <c r="H260" t="str">
        <f>_xlfn.XLOOKUP(C260,tblCOA[AccountNo],tblCOA[Category],"Unmapped")</f>
        <v>Expenses</v>
      </c>
      <c r="I260" s="4">
        <f t="shared" si="12"/>
        <v>14249.1</v>
      </c>
      <c r="J260">
        <f t="shared" si="13"/>
        <v>2023</v>
      </c>
      <c r="K260" s="5">
        <f t="shared" si="14"/>
        <v>45108</v>
      </c>
    </row>
    <row r="261" spans="1:11" x14ac:dyDescent="0.25">
      <c r="A261" t="s">
        <v>3040</v>
      </c>
      <c r="B261" s="3">
        <v>45111</v>
      </c>
      <c r="C261">
        <v>2010</v>
      </c>
      <c r="D261" s="1">
        <v>0</v>
      </c>
      <c r="E261" s="1">
        <v>14249.1</v>
      </c>
      <c r="F261" t="s">
        <v>3041</v>
      </c>
      <c r="G261" t="str">
        <f>_xlfn.XLOOKUP(C261,tblCOA[AccountNo],tblCOA[AccountName],"Unmapped")</f>
        <v>Accounts Payable</v>
      </c>
      <c r="H261" t="str">
        <f>_xlfn.XLOOKUP(C261,tblCOA[AccountNo],tblCOA[Category],"Unmapped")</f>
        <v>Liabilities</v>
      </c>
      <c r="I261" s="4">
        <f t="shared" si="12"/>
        <v>-14249.1</v>
      </c>
      <c r="J261">
        <f t="shared" si="13"/>
        <v>2023</v>
      </c>
      <c r="K261" s="5">
        <f t="shared" si="14"/>
        <v>45108</v>
      </c>
    </row>
    <row r="262" spans="1:11" x14ac:dyDescent="0.25">
      <c r="A262" t="s">
        <v>3814</v>
      </c>
      <c r="B262" s="3">
        <v>45111</v>
      </c>
      <c r="C262">
        <v>5010</v>
      </c>
      <c r="D262" s="1">
        <v>17612.78</v>
      </c>
      <c r="E262" s="1">
        <v>0</v>
      </c>
      <c r="F262" t="s">
        <v>3815</v>
      </c>
      <c r="G262" t="str">
        <f>_xlfn.XLOOKUP(C262,tblCOA[AccountNo],tblCOA[AccountName],"Unmapped")</f>
        <v>Cost of Goods Sold</v>
      </c>
      <c r="H262" t="str">
        <f>_xlfn.XLOOKUP(C262,tblCOA[AccountNo],tblCOA[Category],"Unmapped")</f>
        <v>Expenses</v>
      </c>
      <c r="I262" s="4">
        <f t="shared" si="12"/>
        <v>17612.78</v>
      </c>
      <c r="J262">
        <f t="shared" si="13"/>
        <v>2023</v>
      </c>
      <c r="K262" s="5">
        <f t="shared" si="14"/>
        <v>45108</v>
      </c>
    </row>
    <row r="263" spans="1:11" x14ac:dyDescent="0.25">
      <c r="A263" t="s">
        <v>3816</v>
      </c>
      <c r="B263" s="3">
        <v>45111</v>
      </c>
      <c r="C263">
        <v>2010</v>
      </c>
      <c r="D263" s="1">
        <v>0</v>
      </c>
      <c r="E263" s="1">
        <v>17612.78</v>
      </c>
      <c r="F263" t="s">
        <v>3817</v>
      </c>
      <c r="G263" t="str">
        <f>_xlfn.XLOOKUP(C263,tblCOA[AccountNo],tblCOA[AccountName],"Unmapped")</f>
        <v>Accounts Payable</v>
      </c>
      <c r="H263" t="str">
        <f>_xlfn.XLOOKUP(C263,tblCOA[AccountNo],tblCOA[Category],"Unmapped")</f>
        <v>Liabilities</v>
      </c>
      <c r="I263" s="4">
        <f t="shared" si="12"/>
        <v>-17612.78</v>
      </c>
      <c r="J263">
        <f t="shared" si="13"/>
        <v>2023</v>
      </c>
      <c r="K263" s="5">
        <f t="shared" si="14"/>
        <v>45108</v>
      </c>
    </row>
    <row r="264" spans="1:11" x14ac:dyDescent="0.25">
      <c r="A264" t="s">
        <v>1270</v>
      </c>
      <c r="B264" s="3">
        <v>45113</v>
      </c>
      <c r="C264">
        <v>5010</v>
      </c>
      <c r="D264" s="1">
        <v>1592.79</v>
      </c>
      <c r="E264" s="1">
        <v>0</v>
      </c>
      <c r="F264" t="s">
        <v>1271</v>
      </c>
      <c r="G264" t="str">
        <f>_xlfn.XLOOKUP(C264,tblCOA[AccountNo],tblCOA[AccountName],"Unmapped")</f>
        <v>Cost of Goods Sold</v>
      </c>
      <c r="H264" t="str">
        <f>_xlfn.XLOOKUP(C264,tblCOA[AccountNo],tblCOA[Category],"Unmapped")</f>
        <v>Expenses</v>
      </c>
      <c r="I264" s="4">
        <f t="shared" si="12"/>
        <v>1592.79</v>
      </c>
      <c r="J264">
        <f t="shared" si="13"/>
        <v>2023</v>
      </c>
      <c r="K264" s="5">
        <f t="shared" si="14"/>
        <v>45108</v>
      </c>
    </row>
    <row r="265" spans="1:11" x14ac:dyDescent="0.25">
      <c r="A265" t="s">
        <v>1272</v>
      </c>
      <c r="B265" s="3">
        <v>45113</v>
      </c>
      <c r="C265">
        <v>2010</v>
      </c>
      <c r="D265" s="1">
        <v>0</v>
      </c>
      <c r="E265" s="1">
        <v>1592.79</v>
      </c>
      <c r="F265" t="s">
        <v>1273</v>
      </c>
      <c r="G265" t="str">
        <f>_xlfn.XLOOKUP(C265,tblCOA[AccountNo],tblCOA[AccountName],"Unmapped")</f>
        <v>Accounts Payable</v>
      </c>
      <c r="H265" t="str">
        <f>_xlfn.XLOOKUP(C265,tblCOA[AccountNo],tblCOA[Category],"Unmapped")</f>
        <v>Liabilities</v>
      </c>
      <c r="I265" s="4">
        <f t="shared" si="12"/>
        <v>-1592.79</v>
      </c>
      <c r="J265">
        <f t="shared" si="13"/>
        <v>2023</v>
      </c>
      <c r="K265" s="5">
        <f t="shared" si="14"/>
        <v>45108</v>
      </c>
    </row>
    <row r="266" spans="1:11" x14ac:dyDescent="0.25">
      <c r="A266" t="s">
        <v>2302</v>
      </c>
      <c r="B266" s="3">
        <v>45114</v>
      </c>
      <c r="C266">
        <v>5010</v>
      </c>
      <c r="D266" s="1">
        <v>6772.35</v>
      </c>
      <c r="E266" s="1">
        <v>0</v>
      </c>
      <c r="F266" t="s">
        <v>2303</v>
      </c>
      <c r="G266" t="str">
        <f>_xlfn.XLOOKUP(C266,tblCOA[AccountNo],tblCOA[AccountName],"Unmapped")</f>
        <v>Cost of Goods Sold</v>
      </c>
      <c r="H266" t="str">
        <f>_xlfn.XLOOKUP(C266,tblCOA[AccountNo],tblCOA[Category],"Unmapped")</f>
        <v>Expenses</v>
      </c>
      <c r="I266" s="4">
        <f t="shared" si="12"/>
        <v>6772.35</v>
      </c>
      <c r="J266">
        <f t="shared" si="13"/>
        <v>2023</v>
      </c>
      <c r="K266" s="5">
        <f t="shared" si="14"/>
        <v>45108</v>
      </c>
    </row>
    <row r="267" spans="1:11" x14ac:dyDescent="0.25">
      <c r="A267" t="s">
        <v>2304</v>
      </c>
      <c r="B267" s="3">
        <v>45114</v>
      </c>
      <c r="C267">
        <v>2010</v>
      </c>
      <c r="D267" s="1">
        <v>0</v>
      </c>
      <c r="E267" s="1">
        <v>6772.35</v>
      </c>
      <c r="F267" t="s">
        <v>2305</v>
      </c>
      <c r="G267" t="str">
        <f>_xlfn.XLOOKUP(C267,tblCOA[AccountNo],tblCOA[AccountName],"Unmapped")</f>
        <v>Accounts Payable</v>
      </c>
      <c r="H267" t="str">
        <f>_xlfn.XLOOKUP(C267,tblCOA[AccountNo],tblCOA[Category],"Unmapped")</f>
        <v>Liabilities</v>
      </c>
      <c r="I267" s="4">
        <f t="shared" si="12"/>
        <v>-6772.35</v>
      </c>
      <c r="J267">
        <f t="shared" si="13"/>
        <v>2023</v>
      </c>
      <c r="K267" s="5">
        <f t="shared" si="14"/>
        <v>45108</v>
      </c>
    </row>
    <row r="268" spans="1:11" x14ac:dyDescent="0.25">
      <c r="A268" t="s">
        <v>2934</v>
      </c>
      <c r="B268" s="3">
        <v>45114</v>
      </c>
      <c r="C268">
        <v>5010</v>
      </c>
      <c r="D268" s="1">
        <v>6858.2</v>
      </c>
      <c r="E268" s="1">
        <v>0</v>
      </c>
      <c r="F268" t="s">
        <v>2935</v>
      </c>
      <c r="G268" t="str">
        <f>_xlfn.XLOOKUP(C268,tblCOA[AccountNo],tblCOA[AccountName],"Unmapped")</f>
        <v>Cost of Goods Sold</v>
      </c>
      <c r="H268" t="str">
        <f>_xlfn.XLOOKUP(C268,tblCOA[AccountNo],tblCOA[Category],"Unmapped")</f>
        <v>Expenses</v>
      </c>
      <c r="I268" s="4">
        <f t="shared" si="12"/>
        <v>6858.2</v>
      </c>
      <c r="J268">
        <f t="shared" si="13"/>
        <v>2023</v>
      </c>
      <c r="K268" s="5">
        <f t="shared" si="14"/>
        <v>45108</v>
      </c>
    </row>
    <row r="269" spans="1:11" x14ac:dyDescent="0.25">
      <c r="A269" t="s">
        <v>2936</v>
      </c>
      <c r="B269" s="3">
        <v>45114</v>
      </c>
      <c r="C269">
        <v>2010</v>
      </c>
      <c r="D269" s="1">
        <v>0</v>
      </c>
      <c r="E269" s="1">
        <v>6858.2</v>
      </c>
      <c r="F269" t="s">
        <v>2937</v>
      </c>
      <c r="G269" t="str">
        <f>_xlfn.XLOOKUP(C269,tblCOA[AccountNo],tblCOA[AccountName],"Unmapped")</f>
        <v>Accounts Payable</v>
      </c>
      <c r="H269" t="str">
        <f>_xlfn.XLOOKUP(C269,tblCOA[AccountNo],tblCOA[Category],"Unmapped")</f>
        <v>Liabilities</v>
      </c>
      <c r="I269" s="4">
        <f t="shared" si="12"/>
        <v>-6858.2</v>
      </c>
      <c r="J269">
        <f t="shared" si="13"/>
        <v>2023</v>
      </c>
      <c r="K269" s="5">
        <f t="shared" si="14"/>
        <v>45108</v>
      </c>
    </row>
    <row r="270" spans="1:11" x14ac:dyDescent="0.25">
      <c r="A270" t="s">
        <v>3270</v>
      </c>
      <c r="B270" s="3">
        <v>45118</v>
      </c>
      <c r="C270">
        <v>5010</v>
      </c>
      <c r="D270" s="1">
        <v>15091.69</v>
      </c>
      <c r="E270" s="1">
        <v>0</v>
      </c>
      <c r="F270" t="s">
        <v>3271</v>
      </c>
      <c r="G270" t="str">
        <f>_xlfn.XLOOKUP(C270,tblCOA[AccountNo],tblCOA[AccountName],"Unmapped")</f>
        <v>Cost of Goods Sold</v>
      </c>
      <c r="H270" t="str">
        <f>_xlfn.XLOOKUP(C270,tblCOA[AccountNo],tblCOA[Category],"Unmapped")</f>
        <v>Expenses</v>
      </c>
      <c r="I270" s="4">
        <f t="shared" si="12"/>
        <v>15091.69</v>
      </c>
      <c r="J270">
        <f t="shared" si="13"/>
        <v>2023</v>
      </c>
      <c r="K270" s="5">
        <f t="shared" si="14"/>
        <v>45108</v>
      </c>
    </row>
    <row r="271" spans="1:11" x14ac:dyDescent="0.25">
      <c r="A271" t="s">
        <v>3272</v>
      </c>
      <c r="B271" s="3">
        <v>45118</v>
      </c>
      <c r="C271">
        <v>2010</v>
      </c>
      <c r="D271" s="1">
        <v>0</v>
      </c>
      <c r="E271" s="1">
        <v>15091.69</v>
      </c>
      <c r="F271" t="s">
        <v>3273</v>
      </c>
      <c r="G271" t="str">
        <f>_xlfn.XLOOKUP(C271,tblCOA[AccountNo],tblCOA[AccountName],"Unmapped")</f>
        <v>Accounts Payable</v>
      </c>
      <c r="H271" t="str">
        <f>_xlfn.XLOOKUP(C271,tblCOA[AccountNo],tblCOA[Category],"Unmapped")</f>
        <v>Liabilities</v>
      </c>
      <c r="I271" s="4">
        <f t="shared" si="12"/>
        <v>-15091.69</v>
      </c>
      <c r="J271">
        <f t="shared" si="13"/>
        <v>2023</v>
      </c>
      <c r="K271" s="5">
        <f t="shared" si="14"/>
        <v>45108</v>
      </c>
    </row>
    <row r="272" spans="1:11" x14ac:dyDescent="0.25">
      <c r="A272" t="s">
        <v>1186</v>
      </c>
      <c r="B272" s="3">
        <v>45118</v>
      </c>
      <c r="C272">
        <v>1200</v>
      </c>
      <c r="D272" s="1">
        <v>40197.879999999997</v>
      </c>
      <c r="E272" s="1">
        <v>0</v>
      </c>
      <c r="F272" t="s">
        <v>1187</v>
      </c>
      <c r="G272" t="str">
        <f>_xlfn.XLOOKUP(C272,tblCOA[AccountNo],tblCOA[AccountName],"Unmapped")</f>
        <v>Accounts Receivable</v>
      </c>
      <c r="H272" t="str">
        <f>_xlfn.XLOOKUP(C272,tblCOA[AccountNo],tblCOA[Category],"Unmapped")</f>
        <v>Assets</v>
      </c>
      <c r="I272" s="4">
        <f t="shared" si="12"/>
        <v>40197.879999999997</v>
      </c>
      <c r="J272">
        <f t="shared" si="13"/>
        <v>2023</v>
      </c>
      <c r="K272" s="5">
        <f t="shared" si="14"/>
        <v>45108</v>
      </c>
    </row>
    <row r="273" spans="1:11" x14ac:dyDescent="0.25">
      <c r="A273" t="s">
        <v>1188</v>
      </c>
      <c r="B273" s="3">
        <v>45118</v>
      </c>
      <c r="C273">
        <v>4010</v>
      </c>
      <c r="D273" s="1">
        <v>0</v>
      </c>
      <c r="E273" s="1">
        <v>40197.879999999997</v>
      </c>
      <c r="F273" t="s">
        <v>1189</v>
      </c>
      <c r="G273" t="str">
        <f>_xlfn.XLOOKUP(C273,tblCOA[AccountNo],tblCOA[AccountName],"Unmapped")</f>
        <v>Product Sales</v>
      </c>
      <c r="H273" t="str">
        <f>_xlfn.XLOOKUP(C273,tblCOA[AccountNo],tblCOA[Category],"Unmapped")</f>
        <v>Revenue</v>
      </c>
      <c r="I273" s="4">
        <f t="shared" si="12"/>
        <v>-40197.879999999997</v>
      </c>
      <c r="J273">
        <f t="shared" si="13"/>
        <v>2023</v>
      </c>
      <c r="K273" s="5">
        <f t="shared" si="14"/>
        <v>45108</v>
      </c>
    </row>
    <row r="274" spans="1:11" x14ac:dyDescent="0.25">
      <c r="A274" t="s">
        <v>2498</v>
      </c>
      <c r="B274" s="3">
        <v>45119</v>
      </c>
      <c r="C274">
        <v>1200</v>
      </c>
      <c r="D274" s="1">
        <v>31259.23</v>
      </c>
      <c r="E274" s="1">
        <v>0</v>
      </c>
      <c r="F274" t="s">
        <v>2499</v>
      </c>
      <c r="G274" t="str">
        <f>_xlfn.XLOOKUP(C274,tblCOA[AccountNo],tblCOA[AccountName],"Unmapped")</f>
        <v>Accounts Receivable</v>
      </c>
      <c r="H274" t="str">
        <f>_xlfn.XLOOKUP(C274,tblCOA[AccountNo],tblCOA[Category],"Unmapped")</f>
        <v>Assets</v>
      </c>
      <c r="I274" s="4">
        <f t="shared" si="12"/>
        <v>31259.23</v>
      </c>
      <c r="J274">
        <f t="shared" si="13"/>
        <v>2023</v>
      </c>
      <c r="K274" s="5">
        <f t="shared" si="14"/>
        <v>45108</v>
      </c>
    </row>
    <row r="275" spans="1:11" x14ac:dyDescent="0.25">
      <c r="A275" t="s">
        <v>2500</v>
      </c>
      <c r="B275" s="3">
        <v>45119</v>
      </c>
      <c r="C275">
        <v>4010</v>
      </c>
      <c r="D275" s="1">
        <v>0</v>
      </c>
      <c r="E275" s="1">
        <v>31259.23</v>
      </c>
      <c r="F275" t="s">
        <v>2501</v>
      </c>
      <c r="G275" t="str">
        <f>_xlfn.XLOOKUP(C275,tblCOA[AccountNo],tblCOA[AccountName],"Unmapped")</f>
        <v>Product Sales</v>
      </c>
      <c r="H275" t="str">
        <f>_xlfn.XLOOKUP(C275,tblCOA[AccountNo],tblCOA[Category],"Unmapped")</f>
        <v>Revenue</v>
      </c>
      <c r="I275" s="4">
        <f t="shared" si="12"/>
        <v>-31259.23</v>
      </c>
      <c r="J275">
        <f t="shared" si="13"/>
        <v>2023</v>
      </c>
      <c r="K275" s="5">
        <f t="shared" si="14"/>
        <v>45108</v>
      </c>
    </row>
    <row r="276" spans="1:11" x14ac:dyDescent="0.25">
      <c r="A276" t="s">
        <v>1806</v>
      </c>
      <c r="B276" s="3">
        <v>45121</v>
      </c>
      <c r="C276">
        <v>5010</v>
      </c>
      <c r="D276" s="1">
        <v>11113.3</v>
      </c>
      <c r="E276" s="1">
        <v>0</v>
      </c>
      <c r="F276" t="s">
        <v>1807</v>
      </c>
      <c r="G276" t="str">
        <f>_xlfn.XLOOKUP(C276,tblCOA[AccountNo],tblCOA[AccountName],"Unmapped")</f>
        <v>Cost of Goods Sold</v>
      </c>
      <c r="H276" t="str">
        <f>_xlfn.XLOOKUP(C276,tblCOA[AccountNo],tblCOA[Category],"Unmapped")</f>
        <v>Expenses</v>
      </c>
      <c r="I276" s="4">
        <f t="shared" si="12"/>
        <v>11113.3</v>
      </c>
      <c r="J276">
        <f t="shared" si="13"/>
        <v>2023</v>
      </c>
      <c r="K276" s="5">
        <f t="shared" si="14"/>
        <v>45108</v>
      </c>
    </row>
    <row r="277" spans="1:11" x14ac:dyDescent="0.25">
      <c r="A277" t="s">
        <v>1808</v>
      </c>
      <c r="B277" s="3">
        <v>45121</v>
      </c>
      <c r="C277">
        <v>2010</v>
      </c>
      <c r="D277" s="1">
        <v>0</v>
      </c>
      <c r="E277" s="1">
        <v>11113.3</v>
      </c>
      <c r="F277" t="s">
        <v>1809</v>
      </c>
      <c r="G277" t="str">
        <f>_xlfn.XLOOKUP(C277,tblCOA[AccountNo],tblCOA[AccountName],"Unmapped")</f>
        <v>Accounts Payable</v>
      </c>
      <c r="H277" t="str">
        <f>_xlfn.XLOOKUP(C277,tblCOA[AccountNo],tblCOA[Category],"Unmapped")</f>
        <v>Liabilities</v>
      </c>
      <c r="I277" s="4">
        <f t="shared" si="12"/>
        <v>-11113.3</v>
      </c>
      <c r="J277">
        <f t="shared" si="13"/>
        <v>2023</v>
      </c>
      <c r="K277" s="5">
        <f t="shared" si="14"/>
        <v>45108</v>
      </c>
    </row>
    <row r="278" spans="1:11" x14ac:dyDescent="0.25">
      <c r="A278" t="s">
        <v>1602</v>
      </c>
      <c r="B278" s="3">
        <v>45125</v>
      </c>
      <c r="C278">
        <v>1200</v>
      </c>
      <c r="D278" s="1">
        <v>32778.620000000003</v>
      </c>
      <c r="E278" s="1">
        <v>0</v>
      </c>
      <c r="F278" t="s">
        <v>1603</v>
      </c>
      <c r="G278" t="str">
        <f>_xlfn.XLOOKUP(C278,tblCOA[AccountNo],tblCOA[AccountName],"Unmapped")</f>
        <v>Accounts Receivable</v>
      </c>
      <c r="H278" t="str">
        <f>_xlfn.XLOOKUP(C278,tblCOA[AccountNo],tblCOA[Category],"Unmapped")</f>
        <v>Assets</v>
      </c>
      <c r="I278" s="4">
        <f t="shared" si="12"/>
        <v>32778.620000000003</v>
      </c>
      <c r="J278">
        <f t="shared" si="13"/>
        <v>2023</v>
      </c>
      <c r="K278" s="5">
        <f t="shared" si="14"/>
        <v>45108</v>
      </c>
    </row>
    <row r="279" spans="1:11" x14ac:dyDescent="0.25">
      <c r="A279" t="s">
        <v>1604</v>
      </c>
      <c r="B279" s="3">
        <v>45125</v>
      </c>
      <c r="C279">
        <v>4010</v>
      </c>
      <c r="D279" s="1">
        <v>0</v>
      </c>
      <c r="E279" s="1">
        <v>32778.620000000003</v>
      </c>
      <c r="F279" t="s">
        <v>1605</v>
      </c>
      <c r="G279" t="str">
        <f>_xlfn.XLOOKUP(C279,tblCOA[AccountNo],tblCOA[AccountName],"Unmapped")</f>
        <v>Product Sales</v>
      </c>
      <c r="H279" t="str">
        <f>_xlfn.XLOOKUP(C279,tblCOA[AccountNo],tblCOA[Category],"Unmapped")</f>
        <v>Revenue</v>
      </c>
      <c r="I279" s="4">
        <f t="shared" si="12"/>
        <v>-32778.620000000003</v>
      </c>
      <c r="J279">
        <f t="shared" si="13"/>
        <v>2023</v>
      </c>
      <c r="K279" s="5">
        <f t="shared" si="14"/>
        <v>45108</v>
      </c>
    </row>
    <row r="280" spans="1:11" x14ac:dyDescent="0.25">
      <c r="A280" t="s">
        <v>218</v>
      </c>
      <c r="B280" s="3">
        <v>45130</v>
      </c>
      <c r="C280">
        <v>1200</v>
      </c>
      <c r="D280" s="1">
        <v>2491.5500000000002</v>
      </c>
      <c r="E280" s="1">
        <v>0</v>
      </c>
      <c r="F280" t="s">
        <v>219</v>
      </c>
      <c r="G280" t="str">
        <f>_xlfn.XLOOKUP(C280,tblCOA[AccountNo],tblCOA[AccountName],"Unmapped")</f>
        <v>Accounts Receivable</v>
      </c>
      <c r="H280" t="str">
        <f>_xlfn.XLOOKUP(C280,tblCOA[AccountNo],tblCOA[Category],"Unmapped")</f>
        <v>Assets</v>
      </c>
      <c r="I280" s="4">
        <f t="shared" si="12"/>
        <v>2491.5500000000002</v>
      </c>
      <c r="J280">
        <f t="shared" si="13"/>
        <v>2023</v>
      </c>
      <c r="K280" s="5">
        <f t="shared" si="14"/>
        <v>45108</v>
      </c>
    </row>
    <row r="281" spans="1:11" x14ac:dyDescent="0.25">
      <c r="A281" t="s">
        <v>220</v>
      </c>
      <c r="B281" s="3">
        <v>45130</v>
      </c>
      <c r="C281">
        <v>4010</v>
      </c>
      <c r="D281" s="1">
        <v>0</v>
      </c>
      <c r="E281" s="1">
        <v>2491.5500000000002</v>
      </c>
      <c r="F281" t="s">
        <v>221</v>
      </c>
      <c r="G281" t="str">
        <f>_xlfn.XLOOKUP(C281,tblCOA[AccountNo],tblCOA[AccountName],"Unmapped")</f>
        <v>Product Sales</v>
      </c>
      <c r="H281" t="str">
        <f>_xlfn.XLOOKUP(C281,tblCOA[AccountNo],tblCOA[Category],"Unmapped")</f>
        <v>Revenue</v>
      </c>
      <c r="I281" s="4">
        <f t="shared" si="12"/>
        <v>-2491.5500000000002</v>
      </c>
      <c r="J281">
        <f t="shared" si="13"/>
        <v>2023</v>
      </c>
      <c r="K281" s="5">
        <f t="shared" si="14"/>
        <v>45108</v>
      </c>
    </row>
    <row r="282" spans="1:11" x14ac:dyDescent="0.25">
      <c r="A282" t="s">
        <v>3674</v>
      </c>
      <c r="B282" s="3">
        <v>45130</v>
      </c>
      <c r="C282">
        <v>1200</v>
      </c>
      <c r="D282" s="1">
        <v>9418.32</v>
      </c>
      <c r="E282" s="1">
        <v>0</v>
      </c>
      <c r="F282" t="s">
        <v>3675</v>
      </c>
      <c r="G282" t="str">
        <f>_xlfn.XLOOKUP(C282,tblCOA[AccountNo],tblCOA[AccountName],"Unmapped")</f>
        <v>Accounts Receivable</v>
      </c>
      <c r="H282" t="str">
        <f>_xlfn.XLOOKUP(C282,tblCOA[AccountNo],tblCOA[Category],"Unmapped")</f>
        <v>Assets</v>
      </c>
      <c r="I282" s="4">
        <f t="shared" si="12"/>
        <v>9418.32</v>
      </c>
      <c r="J282">
        <f t="shared" si="13"/>
        <v>2023</v>
      </c>
      <c r="K282" s="5">
        <f t="shared" si="14"/>
        <v>45108</v>
      </c>
    </row>
    <row r="283" spans="1:11" x14ac:dyDescent="0.25">
      <c r="A283" t="s">
        <v>3676</v>
      </c>
      <c r="B283" s="3">
        <v>45130</v>
      </c>
      <c r="C283">
        <v>4010</v>
      </c>
      <c r="D283" s="1">
        <v>0</v>
      </c>
      <c r="E283" s="1">
        <v>9418.32</v>
      </c>
      <c r="F283" t="s">
        <v>3677</v>
      </c>
      <c r="G283" t="str">
        <f>_xlfn.XLOOKUP(C283,tblCOA[AccountNo],tblCOA[AccountName],"Unmapped")</f>
        <v>Product Sales</v>
      </c>
      <c r="H283" t="str">
        <f>_xlfn.XLOOKUP(C283,tblCOA[AccountNo],tblCOA[Category],"Unmapped")</f>
        <v>Revenue</v>
      </c>
      <c r="I283" s="4">
        <f t="shared" si="12"/>
        <v>-9418.32</v>
      </c>
      <c r="J283">
        <f t="shared" si="13"/>
        <v>2023</v>
      </c>
      <c r="K283" s="5">
        <f t="shared" si="14"/>
        <v>45108</v>
      </c>
    </row>
    <row r="284" spans="1:11" x14ac:dyDescent="0.25">
      <c r="A284" t="s">
        <v>2602</v>
      </c>
      <c r="B284" s="3">
        <v>45131</v>
      </c>
      <c r="C284">
        <v>1200</v>
      </c>
      <c r="D284" s="1">
        <v>28312.17</v>
      </c>
      <c r="E284" s="1">
        <v>0</v>
      </c>
      <c r="F284" t="s">
        <v>2603</v>
      </c>
      <c r="G284" t="str">
        <f>_xlfn.XLOOKUP(C284,tblCOA[AccountNo],tblCOA[AccountName],"Unmapped")</f>
        <v>Accounts Receivable</v>
      </c>
      <c r="H284" t="str">
        <f>_xlfn.XLOOKUP(C284,tblCOA[AccountNo],tblCOA[Category],"Unmapped")</f>
        <v>Assets</v>
      </c>
      <c r="I284" s="4">
        <f t="shared" si="12"/>
        <v>28312.17</v>
      </c>
      <c r="J284">
        <f t="shared" si="13"/>
        <v>2023</v>
      </c>
      <c r="K284" s="5">
        <f t="shared" si="14"/>
        <v>45108</v>
      </c>
    </row>
    <row r="285" spans="1:11" x14ac:dyDescent="0.25">
      <c r="A285" t="s">
        <v>2604</v>
      </c>
      <c r="B285" s="3">
        <v>45131</v>
      </c>
      <c r="C285">
        <v>4010</v>
      </c>
      <c r="D285" s="1">
        <v>0</v>
      </c>
      <c r="E285" s="1">
        <v>28312.17</v>
      </c>
      <c r="F285" t="s">
        <v>2605</v>
      </c>
      <c r="G285" t="str">
        <f>_xlfn.XLOOKUP(C285,tblCOA[AccountNo],tblCOA[AccountName],"Unmapped")</f>
        <v>Product Sales</v>
      </c>
      <c r="H285" t="str">
        <f>_xlfn.XLOOKUP(C285,tblCOA[AccountNo],tblCOA[Category],"Unmapped")</f>
        <v>Revenue</v>
      </c>
      <c r="I285" s="4">
        <f t="shared" si="12"/>
        <v>-28312.17</v>
      </c>
      <c r="J285">
        <f t="shared" si="13"/>
        <v>2023</v>
      </c>
      <c r="K285" s="5">
        <f t="shared" si="14"/>
        <v>45108</v>
      </c>
    </row>
    <row r="286" spans="1:11" x14ac:dyDescent="0.25">
      <c r="A286" t="s">
        <v>782</v>
      </c>
      <c r="B286" s="3">
        <v>45131</v>
      </c>
      <c r="C286">
        <v>5010</v>
      </c>
      <c r="D286" s="1">
        <v>19527</v>
      </c>
      <c r="E286" s="1">
        <v>0</v>
      </c>
      <c r="F286" t="s">
        <v>783</v>
      </c>
      <c r="G286" t="str">
        <f>_xlfn.XLOOKUP(C286,tblCOA[AccountNo],tblCOA[AccountName],"Unmapped")</f>
        <v>Cost of Goods Sold</v>
      </c>
      <c r="H286" t="str">
        <f>_xlfn.XLOOKUP(C286,tblCOA[AccountNo],tblCOA[Category],"Unmapped")</f>
        <v>Expenses</v>
      </c>
      <c r="I286" s="4">
        <f t="shared" si="12"/>
        <v>19527</v>
      </c>
      <c r="J286">
        <f t="shared" si="13"/>
        <v>2023</v>
      </c>
      <c r="K286" s="5">
        <f t="shared" si="14"/>
        <v>45108</v>
      </c>
    </row>
    <row r="287" spans="1:11" x14ac:dyDescent="0.25">
      <c r="A287" t="s">
        <v>784</v>
      </c>
      <c r="B287" s="3">
        <v>45131</v>
      </c>
      <c r="C287">
        <v>2010</v>
      </c>
      <c r="D287" s="1">
        <v>0</v>
      </c>
      <c r="E287" s="1">
        <v>19527</v>
      </c>
      <c r="F287" t="s">
        <v>785</v>
      </c>
      <c r="G287" t="str">
        <f>_xlfn.XLOOKUP(C287,tblCOA[AccountNo],tblCOA[AccountName],"Unmapped")</f>
        <v>Accounts Payable</v>
      </c>
      <c r="H287" t="str">
        <f>_xlfn.XLOOKUP(C287,tblCOA[AccountNo],tblCOA[Category],"Unmapped")</f>
        <v>Liabilities</v>
      </c>
      <c r="I287" s="4">
        <f t="shared" si="12"/>
        <v>-19527</v>
      </c>
      <c r="J287">
        <f t="shared" si="13"/>
        <v>2023</v>
      </c>
      <c r="K287" s="5">
        <f t="shared" si="14"/>
        <v>45108</v>
      </c>
    </row>
    <row r="288" spans="1:11" x14ac:dyDescent="0.25">
      <c r="A288" t="s">
        <v>1682</v>
      </c>
      <c r="B288" s="3">
        <v>45134</v>
      </c>
      <c r="C288">
        <v>1200</v>
      </c>
      <c r="D288" s="1">
        <v>9487.06</v>
      </c>
      <c r="E288" s="1">
        <v>0</v>
      </c>
      <c r="F288" t="s">
        <v>1683</v>
      </c>
      <c r="G288" t="str">
        <f>_xlfn.XLOOKUP(C288,tblCOA[AccountNo],tblCOA[AccountName],"Unmapped")</f>
        <v>Accounts Receivable</v>
      </c>
      <c r="H288" t="str">
        <f>_xlfn.XLOOKUP(C288,tblCOA[AccountNo],tblCOA[Category],"Unmapped")</f>
        <v>Assets</v>
      </c>
      <c r="I288" s="4">
        <f t="shared" si="12"/>
        <v>9487.06</v>
      </c>
      <c r="J288">
        <f t="shared" si="13"/>
        <v>2023</v>
      </c>
      <c r="K288" s="5">
        <f t="shared" si="14"/>
        <v>45108</v>
      </c>
    </row>
    <row r="289" spans="1:11" x14ac:dyDescent="0.25">
      <c r="A289" t="s">
        <v>1684</v>
      </c>
      <c r="B289" s="3">
        <v>45134</v>
      </c>
      <c r="C289">
        <v>4010</v>
      </c>
      <c r="D289" s="1">
        <v>0</v>
      </c>
      <c r="E289" s="1">
        <v>9487.06</v>
      </c>
      <c r="F289" t="s">
        <v>1685</v>
      </c>
      <c r="G289" t="str">
        <f>_xlfn.XLOOKUP(C289,tblCOA[AccountNo],tblCOA[AccountName],"Unmapped")</f>
        <v>Product Sales</v>
      </c>
      <c r="H289" t="str">
        <f>_xlfn.XLOOKUP(C289,tblCOA[AccountNo],tblCOA[Category],"Unmapped")</f>
        <v>Revenue</v>
      </c>
      <c r="I289" s="4">
        <f t="shared" si="12"/>
        <v>-9487.06</v>
      </c>
      <c r="J289">
        <f t="shared" si="13"/>
        <v>2023</v>
      </c>
      <c r="K289" s="5">
        <f t="shared" si="14"/>
        <v>45108</v>
      </c>
    </row>
    <row r="290" spans="1:11" x14ac:dyDescent="0.25">
      <c r="A290" t="s">
        <v>518</v>
      </c>
      <c r="B290" s="3">
        <v>45135</v>
      </c>
      <c r="C290">
        <v>5010</v>
      </c>
      <c r="D290" s="1">
        <v>12266.21</v>
      </c>
      <c r="E290" s="1">
        <v>0</v>
      </c>
      <c r="F290" t="s">
        <v>519</v>
      </c>
      <c r="G290" t="str">
        <f>_xlfn.XLOOKUP(C290,tblCOA[AccountNo],tblCOA[AccountName],"Unmapped")</f>
        <v>Cost of Goods Sold</v>
      </c>
      <c r="H290" t="str">
        <f>_xlfn.XLOOKUP(C290,tblCOA[AccountNo],tblCOA[Category],"Unmapped")</f>
        <v>Expenses</v>
      </c>
      <c r="I290" s="4">
        <f t="shared" si="12"/>
        <v>12266.21</v>
      </c>
      <c r="J290">
        <f t="shared" si="13"/>
        <v>2023</v>
      </c>
      <c r="K290" s="5">
        <f t="shared" si="14"/>
        <v>45108</v>
      </c>
    </row>
    <row r="291" spans="1:11" x14ac:dyDescent="0.25">
      <c r="A291" t="s">
        <v>520</v>
      </c>
      <c r="B291" s="3">
        <v>45135</v>
      </c>
      <c r="C291">
        <v>2010</v>
      </c>
      <c r="D291" s="1">
        <v>0</v>
      </c>
      <c r="E291" s="1">
        <v>12266.21</v>
      </c>
      <c r="F291" t="s">
        <v>521</v>
      </c>
      <c r="G291" t="str">
        <f>_xlfn.XLOOKUP(C291,tblCOA[AccountNo],tblCOA[AccountName],"Unmapped")</f>
        <v>Accounts Payable</v>
      </c>
      <c r="H291" t="str">
        <f>_xlfn.XLOOKUP(C291,tblCOA[AccountNo],tblCOA[Category],"Unmapped")</f>
        <v>Liabilities</v>
      </c>
      <c r="I291" s="4">
        <f t="shared" si="12"/>
        <v>-12266.21</v>
      </c>
      <c r="J291">
        <f t="shared" si="13"/>
        <v>2023</v>
      </c>
      <c r="K291" s="5">
        <f t="shared" si="14"/>
        <v>45108</v>
      </c>
    </row>
    <row r="292" spans="1:11" x14ac:dyDescent="0.25">
      <c r="A292" t="s">
        <v>3570</v>
      </c>
      <c r="B292" s="3">
        <v>45137</v>
      </c>
      <c r="C292">
        <v>1200</v>
      </c>
      <c r="D292" s="1">
        <v>34054.79</v>
      </c>
      <c r="E292" s="1">
        <v>0</v>
      </c>
      <c r="F292" t="s">
        <v>3571</v>
      </c>
      <c r="G292" t="str">
        <f>_xlfn.XLOOKUP(C292,tblCOA[AccountNo],tblCOA[AccountName],"Unmapped")</f>
        <v>Accounts Receivable</v>
      </c>
      <c r="H292" t="str">
        <f>_xlfn.XLOOKUP(C292,tblCOA[AccountNo],tblCOA[Category],"Unmapped")</f>
        <v>Assets</v>
      </c>
      <c r="I292" s="4">
        <f t="shared" si="12"/>
        <v>34054.79</v>
      </c>
      <c r="J292">
        <f t="shared" si="13"/>
        <v>2023</v>
      </c>
      <c r="K292" s="5">
        <f t="shared" si="14"/>
        <v>45108</v>
      </c>
    </row>
    <row r="293" spans="1:11" x14ac:dyDescent="0.25">
      <c r="A293" t="s">
        <v>3572</v>
      </c>
      <c r="B293" s="3">
        <v>45137</v>
      </c>
      <c r="C293">
        <v>4010</v>
      </c>
      <c r="D293" s="1">
        <v>0</v>
      </c>
      <c r="E293" s="1">
        <v>34054.79</v>
      </c>
      <c r="F293" t="s">
        <v>3573</v>
      </c>
      <c r="G293" t="str">
        <f>_xlfn.XLOOKUP(C293,tblCOA[AccountNo],tblCOA[AccountName],"Unmapped")</f>
        <v>Product Sales</v>
      </c>
      <c r="H293" t="str">
        <f>_xlfn.XLOOKUP(C293,tblCOA[AccountNo],tblCOA[Category],"Unmapped")</f>
        <v>Revenue</v>
      </c>
      <c r="I293" s="4">
        <f t="shared" si="12"/>
        <v>-34054.79</v>
      </c>
      <c r="J293">
        <f t="shared" si="13"/>
        <v>2023</v>
      </c>
      <c r="K293" s="5">
        <f t="shared" si="14"/>
        <v>45108</v>
      </c>
    </row>
    <row r="294" spans="1:11" x14ac:dyDescent="0.25">
      <c r="A294" t="s">
        <v>1374</v>
      </c>
      <c r="B294" s="3">
        <v>45137</v>
      </c>
      <c r="C294">
        <v>5010</v>
      </c>
      <c r="D294" s="1">
        <v>8485.15</v>
      </c>
      <c r="E294" s="1">
        <v>0</v>
      </c>
      <c r="F294" t="s">
        <v>1375</v>
      </c>
      <c r="G294" t="str">
        <f>_xlfn.XLOOKUP(C294,tblCOA[AccountNo],tblCOA[AccountName],"Unmapped")</f>
        <v>Cost of Goods Sold</v>
      </c>
      <c r="H294" t="str">
        <f>_xlfn.XLOOKUP(C294,tblCOA[AccountNo],tblCOA[Category],"Unmapped")</f>
        <v>Expenses</v>
      </c>
      <c r="I294" s="4">
        <f t="shared" si="12"/>
        <v>8485.15</v>
      </c>
      <c r="J294">
        <f t="shared" si="13"/>
        <v>2023</v>
      </c>
      <c r="K294" s="5">
        <f t="shared" si="14"/>
        <v>45108</v>
      </c>
    </row>
    <row r="295" spans="1:11" x14ac:dyDescent="0.25">
      <c r="A295" t="s">
        <v>1376</v>
      </c>
      <c r="B295" s="3">
        <v>45137</v>
      </c>
      <c r="C295">
        <v>2010</v>
      </c>
      <c r="D295" s="1">
        <v>0</v>
      </c>
      <c r="E295" s="1">
        <v>8485.15</v>
      </c>
      <c r="F295" t="s">
        <v>1377</v>
      </c>
      <c r="G295" t="str">
        <f>_xlfn.XLOOKUP(C295,tblCOA[AccountNo],tblCOA[AccountName],"Unmapped")</f>
        <v>Accounts Payable</v>
      </c>
      <c r="H295" t="str">
        <f>_xlfn.XLOOKUP(C295,tblCOA[AccountNo],tblCOA[Category],"Unmapped")</f>
        <v>Liabilities</v>
      </c>
      <c r="I295" s="4">
        <f t="shared" si="12"/>
        <v>-8485.15</v>
      </c>
      <c r="J295">
        <f t="shared" si="13"/>
        <v>2023</v>
      </c>
      <c r="K295" s="5">
        <f t="shared" si="14"/>
        <v>45108</v>
      </c>
    </row>
    <row r="296" spans="1:11" x14ac:dyDescent="0.25">
      <c r="A296" t="s">
        <v>2490</v>
      </c>
      <c r="B296" s="3">
        <v>45139</v>
      </c>
      <c r="C296">
        <v>1200</v>
      </c>
      <c r="D296" s="1">
        <v>26124.46</v>
      </c>
      <c r="E296" s="1">
        <v>0</v>
      </c>
      <c r="F296" t="s">
        <v>2491</v>
      </c>
      <c r="G296" t="str">
        <f>_xlfn.XLOOKUP(C296,tblCOA[AccountNo],tblCOA[AccountName],"Unmapped")</f>
        <v>Accounts Receivable</v>
      </c>
      <c r="H296" t="str">
        <f>_xlfn.XLOOKUP(C296,tblCOA[AccountNo],tblCOA[Category],"Unmapped")</f>
        <v>Assets</v>
      </c>
      <c r="I296" s="4">
        <f t="shared" si="12"/>
        <v>26124.46</v>
      </c>
      <c r="J296">
        <f t="shared" si="13"/>
        <v>2023</v>
      </c>
      <c r="K296" s="5">
        <f t="shared" si="14"/>
        <v>45139</v>
      </c>
    </row>
    <row r="297" spans="1:11" x14ac:dyDescent="0.25">
      <c r="A297" t="s">
        <v>2492</v>
      </c>
      <c r="B297" s="3">
        <v>45139</v>
      </c>
      <c r="C297">
        <v>4010</v>
      </c>
      <c r="D297" s="1">
        <v>0</v>
      </c>
      <c r="E297" s="1">
        <v>26124.46</v>
      </c>
      <c r="F297" t="s">
        <v>2493</v>
      </c>
      <c r="G297" t="str">
        <f>_xlfn.XLOOKUP(C297,tblCOA[AccountNo],tblCOA[AccountName],"Unmapped")</f>
        <v>Product Sales</v>
      </c>
      <c r="H297" t="str">
        <f>_xlfn.XLOOKUP(C297,tblCOA[AccountNo],tblCOA[Category],"Unmapped")</f>
        <v>Revenue</v>
      </c>
      <c r="I297" s="4">
        <f t="shared" si="12"/>
        <v>-26124.46</v>
      </c>
      <c r="J297">
        <f t="shared" si="13"/>
        <v>2023</v>
      </c>
      <c r="K297" s="5">
        <f t="shared" si="14"/>
        <v>45139</v>
      </c>
    </row>
    <row r="298" spans="1:11" x14ac:dyDescent="0.25">
      <c r="A298" t="s">
        <v>3794</v>
      </c>
      <c r="B298" s="3">
        <v>45141</v>
      </c>
      <c r="C298">
        <v>1200</v>
      </c>
      <c r="D298" s="1">
        <v>31131.79</v>
      </c>
      <c r="E298" s="1">
        <v>0</v>
      </c>
      <c r="F298" t="s">
        <v>3795</v>
      </c>
      <c r="G298" t="str">
        <f>_xlfn.XLOOKUP(C298,tblCOA[AccountNo],tblCOA[AccountName],"Unmapped")</f>
        <v>Accounts Receivable</v>
      </c>
      <c r="H298" t="str">
        <f>_xlfn.XLOOKUP(C298,tblCOA[AccountNo],tblCOA[Category],"Unmapped")</f>
        <v>Assets</v>
      </c>
      <c r="I298" s="4">
        <f t="shared" si="12"/>
        <v>31131.79</v>
      </c>
      <c r="J298">
        <f t="shared" si="13"/>
        <v>2023</v>
      </c>
      <c r="K298" s="5">
        <f t="shared" si="14"/>
        <v>45139</v>
      </c>
    </row>
    <row r="299" spans="1:11" x14ac:dyDescent="0.25">
      <c r="A299" t="s">
        <v>3796</v>
      </c>
      <c r="B299" s="3">
        <v>45141</v>
      </c>
      <c r="C299">
        <v>4010</v>
      </c>
      <c r="D299" s="1">
        <v>0</v>
      </c>
      <c r="E299" s="1">
        <v>31131.79</v>
      </c>
      <c r="F299" t="s">
        <v>3797</v>
      </c>
      <c r="G299" t="str">
        <f>_xlfn.XLOOKUP(C299,tblCOA[AccountNo],tblCOA[AccountName],"Unmapped")</f>
        <v>Product Sales</v>
      </c>
      <c r="H299" t="str">
        <f>_xlfn.XLOOKUP(C299,tblCOA[AccountNo],tblCOA[Category],"Unmapped")</f>
        <v>Revenue</v>
      </c>
      <c r="I299" s="4">
        <f t="shared" si="12"/>
        <v>-31131.79</v>
      </c>
      <c r="J299">
        <f t="shared" si="13"/>
        <v>2023</v>
      </c>
      <c r="K299" s="5">
        <f t="shared" si="14"/>
        <v>45139</v>
      </c>
    </row>
    <row r="300" spans="1:11" x14ac:dyDescent="0.25">
      <c r="A300" t="s">
        <v>1782</v>
      </c>
      <c r="B300" s="3">
        <v>45141</v>
      </c>
      <c r="C300">
        <v>5010</v>
      </c>
      <c r="D300" s="1">
        <v>2033.85</v>
      </c>
      <c r="E300" s="1">
        <v>0</v>
      </c>
      <c r="F300" t="s">
        <v>1783</v>
      </c>
      <c r="G300" t="str">
        <f>_xlfn.XLOOKUP(C300,tblCOA[AccountNo],tblCOA[AccountName],"Unmapped")</f>
        <v>Cost of Goods Sold</v>
      </c>
      <c r="H300" t="str">
        <f>_xlfn.XLOOKUP(C300,tblCOA[AccountNo],tblCOA[Category],"Unmapped")</f>
        <v>Expenses</v>
      </c>
      <c r="I300" s="4">
        <f t="shared" si="12"/>
        <v>2033.85</v>
      </c>
      <c r="J300">
        <f t="shared" si="13"/>
        <v>2023</v>
      </c>
      <c r="K300" s="5">
        <f t="shared" si="14"/>
        <v>45139</v>
      </c>
    </row>
    <row r="301" spans="1:11" x14ac:dyDescent="0.25">
      <c r="A301" t="s">
        <v>1784</v>
      </c>
      <c r="B301" s="3">
        <v>45141</v>
      </c>
      <c r="C301">
        <v>2010</v>
      </c>
      <c r="D301" s="1">
        <v>0</v>
      </c>
      <c r="E301" s="1">
        <v>2033.85</v>
      </c>
      <c r="F301" t="s">
        <v>1785</v>
      </c>
      <c r="G301" t="str">
        <f>_xlfn.XLOOKUP(C301,tblCOA[AccountNo],tblCOA[AccountName],"Unmapped")</f>
        <v>Accounts Payable</v>
      </c>
      <c r="H301" t="str">
        <f>_xlfn.XLOOKUP(C301,tblCOA[AccountNo],tblCOA[Category],"Unmapped")</f>
        <v>Liabilities</v>
      </c>
      <c r="I301" s="4">
        <f t="shared" si="12"/>
        <v>-2033.85</v>
      </c>
      <c r="J301">
        <f t="shared" si="13"/>
        <v>2023</v>
      </c>
      <c r="K301" s="5">
        <f t="shared" si="14"/>
        <v>45139</v>
      </c>
    </row>
    <row r="302" spans="1:11" x14ac:dyDescent="0.25">
      <c r="A302" t="s">
        <v>2966</v>
      </c>
      <c r="B302" s="3">
        <v>45142</v>
      </c>
      <c r="C302">
        <v>5010</v>
      </c>
      <c r="D302" s="1">
        <v>14573.65</v>
      </c>
      <c r="E302" s="1">
        <v>0</v>
      </c>
      <c r="F302" t="s">
        <v>2967</v>
      </c>
      <c r="G302" t="str">
        <f>_xlfn.XLOOKUP(C302,tblCOA[AccountNo],tblCOA[AccountName],"Unmapped")</f>
        <v>Cost of Goods Sold</v>
      </c>
      <c r="H302" t="str">
        <f>_xlfn.XLOOKUP(C302,tblCOA[AccountNo],tblCOA[Category],"Unmapped")</f>
        <v>Expenses</v>
      </c>
      <c r="I302" s="4">
        <f t="shared" si="12"/>
        <v>14573.65</v>
      </c>
      <c r="J302">
        <f t="shared" si="13"/>
        <v>2023</v>
      </c>
      <c r="K302" s="5">
        <f t="shared" si="14"/>
        <v>45139</v>
      </c>
    </row>
    <row r="303" spans="1:11" x14ac:dyDescent="0.25">
      <c r="A303" t="s">
        <v>2968</v>
      </c>
      <c r="B303" s="3">
        <v>45142</v>
      </c>
      <c r="C303">
        <v>2010</v>
      </c>
      <c r="D303" s="1">
        <v>0</v>
      </c>
      <c r="E303" s="1">
        <v>14573.65</v>
      </c>
      <c r="F303" t="s">
        <v>2969</v>
      </c>
      <c r="G303" t="str">
        <f>_xlfn.XLOOKUP(C303,tblCOA[AccountNo],tblCOA[AccountName],"Unmapped")</f>
        <v>Accounts Payable</v>
      </c>
      <c r="H303" t="str">
        <f>_xlfn.XLOOKUP(C303,tblCOA[AccountNo],tblCOA[Category],"Unmapped")</f>
        <v>Liabilities</v>
      </c>
      <c r="I303" s="4">
        <f t="shared" si="12"/>
        <v>-14573.65</v>
      </c>
      <c r="J303">
        <f t="shared" si="13"/>
        <v>2023</v>
      </c>
      <c r="K303" s="5">
        <f t="shared" si="14"/>
        <v>45139</v>
      </c>
    </row>
    <row r="304" spans="1:11" x14ac:dyDescent="0.25">
      <c r="A304" t="s">
        <v>1190</v>
      </c>
      <c r="B304" s="3">
        <v>45142</v>
      </c>
      <c r="C304">
        <v>5010</v>
      </c>
      <c r="D304" s="1">
        <v>10917.55</v>
      </c>
      <c r="E304" s="1">
        <v>0</v>
      </c>
      <c r="F304" t="s">
        <v>1191</v>
      </c>
      <c r="G304" t="str">
        <f>_xlfn.XLOOKUP(C304,tblCOA[AccountNo],tblCOA[AccountName],"Unmapped")</f>
        <v>Cost of Goods Sold</v>
      </c>
      <c r="H304" t="str">
        <f>_xlfn.XLOOKUP(C304,tblCOA[AccountNo],tblCOA[Category],"Unmapped")</f>
        <v>Expenses</v>
      </c>
      <c r="I304" s="4">
        <f t="shared" si="12"/>
        <v>10917.55</v>
      </c>
      <c r="J304">
        <f t="shared" si="13"/>
        <v>2023</v>
      </c>
      <c r="K304" s="5">
        <f t="shared" si="14"/>
        <v>45139</v>
      </c>
    </row>
    <row r="305" spans="1:11" x14ac:dyDescent="0.25">
      <c r="A305" t="s">
        <v>1192</v>
      </c>
      <c r="B305" s="3">
        <v>45142</v>
      </c>
      <c r="C305">
        <v>2010</v>
      </c>
      <c r="D305" s="1">
        <v>0</v>
      </c>
      <c r="E305" s="1">
        <v>10917.55</v>
      </c>
      <c r="F305" t="s">
        <v>1193</v>
      </c>
      <c r="G305" t="str">
        <f>_xlfn.XLOOKUP(C305,tblCOA[AccountNo],tblCOA[AccountName],"Unmapped")</f>
        <v>Accounts Payable</v>
      </c>
      <c r="H305" t="str">
        <f>_xlfn.XLOOKUP(C305,tblCOA[AccountNo],tblCOA[Category],"Unmapped")</f>
        <v>Liabilities</v>
      </c>
      <c r="I305" s="4">
        <f t="shared" si="12"/>
        <v>-10917.55</v>
      </c>
      <c r="J305">
        <f t="shared" si="13"/>
        <v>2023</v>
      </c>
      <c r="K305" s="5">
        <f t="shared" si="14"/>
        <v>45139</v>
      </c>
    </row>
    <row r="306" spans="1:11" x14ac:dyDescent="0.25">
      <c r="A306" t="s">
        <v>1446</v>
      </c>
      <c r="B306" s="3">
        <v>45142</v>
      </c>
      <c r="C306">
        <v>5010</v>
      </c>
      <c r="D306" s="1">
        <v>12208.37</v>
      </c>
      <c r="E306" s="1">
        <v>0</v>
      </c>
      <c r="F306" t="s">
        <v>1447</v>
      </c>
      <c r="G306" t="str">
        <f>_xlfn.XLOOKUP(C306,tblCOA[AccountNo],tblCOA[AccountName],"Unmapped")</f>
        <v>Cost of Goods Sold</v>
      </c>
      <c r="H306" t="str">
        <f>_xlfn.XLOOKUP(C306,tblCOA[AccountNo],tblCOA[Category],"Unmapped")</f>
        <v>Expenses</v>
      </c>
      <c r="I306" s="4">
        <f t="shared" si="12"/>
        <v>12208.37</v>
      </c>
      <c r="J306">
        <f t="shared" si="13"/>
        <v>2023</v>
      </c>
      <c r="K306" s="5">
        <f t="shared" si="14"/>
        <v>45139</v>
      </c>
    </row>
    <row r="307" spans="1:11" x14ac:dyDescent="0.25">
      <c r="A307" t="s">
        <v>1448</v>
      </c>
      <c r="B307" s="3">
        <v>45142</v>
      </c>
      <c r="C307">
        <v>2010</v>
      </c>
      <c r="D307" s="1">
        <v>0</v>
      </c>
      <c r="E307" s="1">
        <v>12208.37</v>
      </c>
      <c r="F307" t="s">
        <v>1449</v>
      </c>
      <c r="G307" t="str">
        <f>_xlfn.XLOOKUP(C307,tblCOA[AccountNo],tblCOA[AccountName],"Unmapped")</f>
        <v>Accounts Payable</v>
      </c>
      <c r="H307" t="str">
        <f>_xlfn.XLOOKUP(C307,tblCOA[AccountNo],tblCOA[Category],"Unmapped")</f>
        <v>Liabilities</v>
      </c>
      <c r="I307" s="4">
        <f t="shared" si="12"/>
        <v>-12208.37</v>
      </c>
      <c r="J307">
        <f t="shared" si="13"/>
        <v>2023</v>
      </c>
      <c r="K307" s="5">
        <f t="shared" si="14"/>
        <v>45139</v>
      </c>
    </row>
    <row r="308" spans="1:11" x14ac:dyDescent="0.25">
      <c r="A308" t="s">
        <v>1266</v>
      </c>
      <c r="B308" s="3">
        <v>45143</v>
      </c>
      <c r="C308">
        <v>1200</v>
      </c>
      <c r="D308" s="1">
        <v>23431.64</v>
      </c>
      <c r="E308" s="1">
        <v>0</v>
      </c>
      <c r="F308" t="s">
        <v>1267</v>
      </c>
      <c r="G308" t="str">
        <f>_xlfn.XLOOKUP(C308,tblCOA[AccountNo],tblCOA[AccountName],"Unmapped")</f>
        <v>Accounts Receivable</v>
      </c>
      <c r="H308" t="str">
        <f>_xlfn.XLOOKUP(C308,tblCOA[AccountNo],tblCOA[Category],"Unmapped")</f>
        <v>Assets</v>
      </c>
      <c r="I308" s="4">
        <f t="shared" si="12"/>
        <v>23431.64</v>
      </c>
      <c r="J308">
        <f t="shared" si="13"/>
        <v>2023</v>
      </c>
      <c r="K308" s="5">
        <f t="shared" si="14"/>
        <v>45139</v>
      </c>
    </row>
    <row r="309" spans="1:11" x14ac:dyDescent="0.25">
      <c r="A309" t="s">
        <v>1268</v>
      </c>
      <c r="B309" s="3">
        <v>45143</v>
      </c>
      <c r="C309">
        <v>4010</v>
      </c>
      <c r="D309" s="1">
        <v>0</v>
      </c>
      <c r="E309" s="1">
        <v>23431.64</v>
      </c>
      <c r="F309" t="s">
        <v>1269</v>
      </c>
      <c r="G309" t="str">
        <f>_xlfn.XLOOKUP(C309,tblCOA[AccountNo],tblCOA[AccountName],"Unmapped")</f>
        <v>Product Sales</v>
      </c>
      <c r="H309" t="str">
        <f>_xlfn.XLOOKUP(C309,tblCOA[AccountNo],tblCOA[Category],"Unmapped")</f>
        <v>Revenue</v>
      </c>
      <c r="I309" s="4">
        <f t="shared" si="12"/>
        <v>-23431.64</v>
      </c>
      <c r="J309">
        <f t="shared" si="13"/>
        <v>2023</v>
      </c>
      <c r="K309" s="5">
        <f t="shared" si="14"/>
        <v>45139</v>
      </c>
    </row>
    <row r="310" spans="1:11" x14ac:dyDescent="0.25">
      <c r="A310" t="s">
        <v>214</v>
      </c>
      <c r="B310" s="3">
        <v>45146</v>
      </c>
      <c r="C310">
        <v>5010</v>
      </c>
      <c r="D310" s="1">
        <v>11811.63</v>
      </c>
      <c r="E310" s="1">
        <v>0</v>
      </c>
      <c r="F310" t="s">
        <v>215</v>
      </c>
      <c r="G310" t="str">
        <f>_xlfn.XLOOKUP(C310,tblCOA[AccountNo],tblCOA[AccountName],"Unmapped")</f>
        <v>Cost of Goods Sold</v>
      </c>
      <c r="H310" t="str">
        <f>_xlfn.XLOOKUP(C310,tblCOA[AccountNo],tblCOA[Category],"Unmapped")</f>
        <v>Expenses</v>
      </c>
      <c r="I310" s="4">
        <f t="shared" si="12"/>
        <v>11811.63</v>
      </c>
      <c r="J310">
        <f t="shared" si="13"/>
        <v>2023</v>
      </c>
      <c r="K310" s="5">
        <f t="shared" si="14"/>
        <v>45139</v>
      </c>
    </row>
    <row r="311" spans="1:11" x14ac:dyDescent="0.25">
      <c r="A311" t="s">
        <v>216</v>
      </c>
      <c r="B311" s="3">
        <v>45146</v>
      </c>
      <c r="C311">
        <v>2010</v>
      </c>
      <c r="D311" s="1">
        <v>0</v>
      </c>
      <c r="E311" s="1">
        <v>11811.63</v>
      </c>
      <c r="F311" t="s">
        <v>217</v>
      </c>
      <c r="G311" t="str">
        <f>_xlfn.XLOOKUP(C311,tblCOA[AccountNo],tblCOA[AccountName],"Unmapped")</f>
        <v>Accounts Payable</v>
      </c>
      <c r="H311" t="str">
        <f>_xlfn.XLOOKUP(C311,tblCOA[AccountNo],tblCOA[Category],"Unmapped")</f>
        <v>Liabilities</v>
      </c>
      <c r="I311" s="4">
        <f t="shared" si="12"/>
        <v>-11811.63</v>
      </c>
      <c r="J311">
        <f t="shared" si="13"/>
        <v>2023</v>
      </c>
      <c r="K311" s="5">
        <f t="shared" si="14"/>
        <v>45139</v>
      </c>
    </row>
    <row r="312" spans="1:11" x14ac:dyDescent="0.25">
      <c r="A312" t="s">
        <v>1442</v>
      </c>
      <c r="B312" s="3">
        <v>45146</v>
      </c>
      <c r="C312">
        <v>1200</v>
      </c>
      <c r="D312" s="1">
        <v>16137.97</v>
      </c>
      <c r="E312" s="1">
        <v>0</v>
      </c>
      <c r="F312" t="s">
        <v>1443</v>
      </c>
      <c r="G312" t="str">
        <f>_xlfn.XLOOKUP(C312,tblCOA[AccountNo],tblCOA[AccountName],"Unmapped")</f>
        <v>Accounts Receivable</v>
      </c>
      <c r="H312" t="str">
        <f>_xlfn.XLOOKUP(C312,tblCOA[AccountNo],tblCOA[Category],"Unmapped")</f>
        <v>Assets</v>
      </c>
      <c r="I312" s="4">
        <f t="shared" si="12"/>
        <v>16137.97</v>
      </c>
      <c r="J312">
        <f t="shared" si="13"/>
        <v>2023</v>
      </c>
      <c r="K312" s="5">
        <f t="shared" si="14"/>
        <v>45139</v>
      </c>
    </row>
    <row r="313" spans="1:11" x14ac:dyDescent="0.25">
      <c r="A313" t="s">
        <v>1444</v>
      </c>
      <c r="B313" s="3">
        <v>45146</v>
      </c>
      <c r="C313">
        <v>4010</v>
      </c>
      <c r="D313" s="1">
        <v>0</v>
      </c>
      <c r="E313" s="1">
        <v>16137.97</v>
      </c>
      <c r="F313" t="s">
        <v>1445</v>
      </c>
      <c r="G313" t="str">
        <f>_xlfn.XLOOKUP(C313,tblCOA[AccountNo],tblCOA[AccountName],"Unmapped")</f>
        <v>Product Sales</v>
      </c>
      <c r="H313" t="str">
        <f>_xlfn.XLOOKUP(C313,tblCOA[AccountNo],tblCOA[Category],"Unmapped")</f>
        <v>Revenue</v>
      </c>
      <c r="I313" s="4">
        <f t="shared" si="12"/>
        <v>-16137.97</v>
      </c>
      <c r="J313">
        <f t="shared" si="13"/>
        <v>2023</v>
      </c>
      <c r="K313" s="5">
        <f t="shared" si="14"/>
        <v>45139</v>
      </c>
    </row>
    <row r="314" spans="1:11" x14ac:dyDescent="0.25">
      <c r="A314" t="s">
        <v>1082</v>
      </c>
      <c r="B314" s="3">
        <v>45147</v>
      </c>
      <c r="C314">
        <v>1200</v>
      </c>
      <c r="D314" s="1">
        <v>40595.43</v>
      </c>
      <c r="E314" s="1">
        <v>0</v>
      </c>
      <c r="F314" t="s">
        <v>1083</v>
      </c>
      <c r="G314" t="str">
        <f>_xlfn.XLOOKUP(C314,tblCOA[AccountNo],tblCOA[AccountName],"Unmapped")</f>
        <v>Accounts Receivable</v>
      </c>
      <c r="H314" t="str">
        <f>_xlfn.XLOOKUP(C314,tblCOA[AccountNo],tblCOA[Category],"Unmapped")</f>
        <v>Assets</v>
      </c>
      <c r="I314" s="4">
        <f t="shared" si="12"/>
        <v>40595.43</v>
      </c>
      <c r="J314">
        <f t="shared" si="13"/>
        <v>2023</v>
      </c>
      <c r="K314" s="5">
        <f t="shared" si="14"/>
        <v>45139</v>
      </c>
    </row>
    <row r="315" spans="1:11" x14ac:dyDescent="0.25">
      <c r="A315" t="s">
        <v>1084</v>
      </c>
      <c r="B315" s="3">
        <v>45147</v>
      </c>
      <c r="C315">
        <v>4010</v>
      </c>
      <c r="D315" s="1">
        <v>0</v>
      </c>
      <c r="E315" s="1">
        <v>40595.43</v>
      </c>
      <c r="F315" t="s">
        <v>1085</v>
      </c>
      <c r="G315" t="str">
        <f>_xlfn.XLOOKUP(C315,tblCOA[AccountNo],tblCOA[AccountName],"Unmapped")</f>
        <v>Product Sales</v>
      </c>
      <c r="H315" t="str">
        <f>_xlfn.XLOOKUP(C315,tblCOA[AccountNo],tblCOA[Category],"Unmapped")</f>
        <v>Revenue</v>
      </c>
      <c r="I315" s="4">
        <f t="shared" si="12"/>
        <v>-40595.43</v>
      </c>
      <c r="J315">
        <f t="shared" si="13"/>
        <v>2023</v>
      </c>
      <c r="K315" s="5">
        <f t="shared" si="14"/>
        <v>45139</v>
      </c>
    </row>
    <row r="316" spans="1:11" x14ac:dyDescent="0.25">
      <c r="A316" t="s">
        <v>1586</v>
      </c>
      <c r="B316" s="3">
        <v>45147</v>
      </c>
      <c r="C316">
        <v>1200</v>
      </c>
      <c r="D316" s="1">
        <v>34239.449999999997</v>
      </c>
      <c r="E316" s="1">
        <v>0</v>
      </c>
      <c r="F316" t="s">
        <v>1587</v>
      </c>
      <c r="G316" t="str">
        <f>_xlfn.XLOOKUP(C316,tblCOA[AccountNo],tblCOA[AccountName],"Unmapped")</f>
        <v>Accounts Receivable</v>
      </c>
      <c r="H316" t="str">
        <f>_xlfn.XLOOKUP(C316,tblCOA[AccountNo],tblCOA[Category],"Unmapped")</f>
        <v>Assets</v>
      </c>
      <c r="I316" s="4">
        <f t="shared" si="12"/>
        <v>34239.449999999997</v>
      </c>
      <c r="J316">
        <f t="shared" si="13"/>
        <v>2023</v>
      </c>
      <c r="K316" s="5">
        <f t="shared" si="14"/>
        <v>45139</v>
      </c>
    </row>
    <row r="317" spans="1:11" x14ac:dyDescent="0.25">
      <c r="A317" t="s">
        <v>1588</v>
      </c>
      <c r="B317" s="3">
        <v>45147</v>
      </c>
      <c r="C317">
        <v>4010</v>
      </c>
      <c r="D317" s="1">
        <v>0</v>
      </c>
      <c r="E317" s="1">
        <v>34239.449999999997</v>
      </c>
      <c r="F317" t="s">
        <v>1589</v>
      </c>
      <c r="G317" t="str">
        <f>_xlfn.XLOOKUP(C317,tblCOA[AccountNo],tblCOA[AccountName],"Unmapped")</f>
        <v>Product Sales</v>
      </c>
      <c r="H317" t="str">
        <f>_xlfn.XLOOKUP(C317,tblCOA[AccountNo],tblCOA[Category],"Unmapped")</f>
        <v>Revenue</v>
      </c>
      <c r="I317" s="4">
        <f t="shared" si="12"/>
        <v>-34239.449999999997</v>
      </c>
      <c r="J317">
        <f t="shared" si="13"/>
        <v>2023</v>
      </c>
      <c r="K317" s="5">
        <f t="shared" si="14"/>
        <v>45139</v>
      </c>
    </row>
    <row r="318" spans="1:11" x14ac:dyDescent="0.25">
      <c r="A318" t="s">
        <v>3938</v>
      </c>
      <c r="B318" s="3">
        <v>45150</v>
      </c>
      <c r="C318">
        <v>1200</v>
      </c>
      <c r="D318" s="1">
        <v>31055.99</v>
      </c>
      <c r="E318" s="1">
        <v>0</v>
      </c>
      <c r="F318" t="s">
        <v>3939</v>
      </c>
      <c r="G318" t="str">
        <f>_xlfn.XLOOKUP(C318,tblCOA[AccountNo],tblCOA[AccountName],"Unmapped")</f>
        <v>Accounts Receivable</v>
      </c>
      <c r="H318" t="str">
        <f>_xlfn.XLOOKUP(C318,tblCOA[AccountNo],tblCOA[Category],"Unmapped")</f>
        <v>Assets</v>
      </c>
      <c r="I318" s="4">
        <f t="shared" si="12"/>
        <v>31055.99</v>
      </c>
      <c r="J318">
        <f t="shared" si="13"/>
        <v>2023</v>
      </c>
      <c r="K318" s="5">
        <f t="shared" si="14"/>
        <v>45139</v>
      </c>
    </row>
    <row r="319" spans="1:11" x14ac:dyDescent="0.25">
      <c r="A319" t="s">
        <v>3940</v>
      </c>
      <c r="B319" s="3">
        <v>45150</v>
      </c>
      <c r="C319">
        <v>4010</v>
      </c>
      <c r="D319" s="1">
        <v>0</v>
      </c>
      <c r="E319" s="1">
        <v>31055.99</v>
      </c>
      <c r="F319" t="s">
        <v>3941</v>
      </c>
      <c r="G319" t="str">
        <f>_xlfn.XLOOKUP(C319,tblCOA[AccountNo],tblCOA[AccountName],"Unmapped")</f>
        <v>Product Sales</v>
      </c>
      <c r="H319" t="str">
        <f>_xlfn.XLOOKUP(C319,tblCOA[AccountNo],tblCOA[Category],"Unmapped")</f>
        <v>Revenue</v>
      </c>
      <c r="I319" s="4">
        <f t="shared" si="12"/>
        <v>-31055.99</v>
      </c>
      <c r="J319">
        <f t="shared" si="13"/>
        <v>2023</v>
      </c>
      <c r="K319" s="5">
        <f t="shared" si="14"/>
        <v>45139</v>
      </c>
    </row>
    <row r="320" spans="1:11" x14ac:dyDescent="0.25">
      <c r="A320" t="s">
        <v>3274</v>
      </c>
      <c r="B320" s="3">
        <v>45155</v>
      </c>
      <c r="C320">
        <v>1200</v>
      </c>
      <c r="D320" s="1">
        <v>39605.120000000003</v>
      </c>
      <c r="E320" s="1">
        <v>0</v>
      </c>
      <c r="F320" t="s">
        <v>3275</v>
      </c>
      <c r="G320" t="str">
        <f>_xlfn.XLOOKUP(C320,tblCOA[AccountNo],tblCOA[AccountName],"Unmapped")</f>
        <v>Accounts Receivable</v>
      </c>
      <c r="H320" t="str">
        <f>_xlfn.XLOOKUP(C320,tblCOA[AccountNo],tblCOA[Category],"Unmapped")</f>
        <v>Assets</v>
      </c>
      <c r="I320" s="4">
        <f t="shared" si="12"/>
        <v>39605.120000000003</v>
      </c>
      <c r="J320">
        <f t="shared" si="13"/>
        <v>2023</v>
      </c>
      <c r="K320" s="5">
        <f t="shared" si="14"/>
        <v>45139</v>
      </c>
    </row>
    <row r="321" spans="1:11" x14ac:dyDescent="0.25">
      <c r="A321" t="s">
        <v>3276</v>
      </c>
      <c r="B321" s="3">
        <v>45155</v>
      </c>
      <c r="C321">
        <v>4010</v>
      </c>
      <c r="D321" s="1">
        <v>0</v>
      </c>
      <c r="E321" s="1">
        <v>39605.120000000003</v>
      </c>
      <c r="F321" t="s">
        <v>3277</v>
      </c>
      <c r="G321" t="str">
        <f>_xlfn.XLOOKUP(C321,tblCOA[AccountNo],tblCOA[AccountName],"Unmapped")</f>
        <v>Product Sales</v>
      </c>
      <c r="H321" t="str">
        <f>_xlfn.XLOOKUP(C321,tblCOA[AccountNo],tblCOA[Category],"Unmapped")</f>
        <v>Revenue</v>
      </c>
      <c r="I321" s="4">
        <f t="shared" si="12"/>
        <v>-39605.120000000003</v>
      </c>
      <c r="J321">
        <f t="shared" si="13"/>
        <v>2023</v>
      </c>
      <c r="K321" s="5">
        <f t="shared" si="14"/>
        <v>45139</v>
      </c>
    </row>
    <row r="322" spans="1:11" x14ac:dyDescent="0.25">
      <c r="A322" t="s">
        <v>322</v>
      </c>
      <c r="B322" s="3">
        <v>45159</v>
      </c>
      <c r="C322">
        <v>1200</v>
      </c>
      <c r="D322" s="1">
        <v>32868.78</v>
      </c>
      <c r="E322" s="1">
        <v>0</v>
      </c>
      <c r="F322" t="s">
        <v>323</v>
      </c>
      <c r="G322" t="str">
        <f>_xlfn.XLOOKUP(C322,tblCOA[AccountNo],tblCOA[AccountName],"Unmapped")</f>
        <v>Accounts Receivable</v>
      </c>
      <c r="H322" t="str">
        <f>_xlfn.XLOOKUP(C322,tblCOA[AccountNo],tblCOA[Category],"Unmapped")</f>
        <v>Assets</v>
      </c>
      <c r="I322" s="4">
        <f t="shared" ref="I322:I385" si="15">D322-E322</f>
        <v>32868.78</v>
      </c>
      <c r="J322">
        <f t="shared" ref="J322:J385" si="16">YEAR(B322)</f>
        <v>2023</v>
      </c>
      <c r="K322" s="5">
        <f t="shared" ref="K322:K385" si="17">DATE(YEAR(B322),MONTH(B322),1)</f>
        <v>45139</v>
      </c>
    </row>
    <row r="323" spans="1:11" x14ac:dyDescent="0.25">
      <c r="A323" t="s">
        <v>324</v>
      </c>
      <c r="B323" s="3">
        <v>45159</v>
      </c>
      <c r="C323">
        <v>4010</v>
      </c>
      <c r="D323" s="1">
        <v>0</v>
      </c>
      <c r="E323" s="1">
        <v>32868.78</v>
      </c>
      <c r="F323" t="s">
        <v>325</v>
      </c>
      <c r="G323" t="str">
        <f>_xlfn.XLOOKUP(C323,tblCOA[AccountNo],tblCOA[AccountName],"Unmapped")</f>
        <v>Product Sales</v>
      </c>
      <c r="H323" t="str">
        <f>_xlfn.XLOOKUP(C323,tblCOA[AccountNo],tblCOA[Category],"Unmapped")</f>
        <v>Revenue</v>
      </c>
      <c r="I323" s="4">
        <f t="shared" si="15"/>
        <v>-32868.78</v>
      </c>
      <c r="J323">
        <f t="shared" si="16"/>
        <v>2023</v>
      </c>
      <c r="K323" s="5">
        <f t="shared" si="17"/>
        <v>45139</v>
      </c>
    </row>
    <row r="324" spans="1:11" x14ac:dyDescent="0.25">
      <c r="A324" t="s">
        <v>3746</v>
      </c>
      <c r="B324" s="3">
        <v>45160</v>
      </c>
      <c r="C324">
        <v>1200</v>
      </c>
      <c r="D324" s="1">
        <v>38895.620000000003</v>
      </c>
      <c r="E324" s="1">
        <v>0</v>
      </c>
      <c r="F324" t="s">
        <v>3747</v>
      </c>
      <c r="G324" t="str">
        <f>_xlfn.XLOOKUP(C324,tblCOA[AccountNo],tblCOA[AccountName],"Unmapped")</f>
        <v>Accounts Receivable</v>
      </c>
      <c r="H324" t="str">
        <f>_xlfn.XLOOKUP(C324,tblCOA[AccountNo],tblCOA[Category],"Unmapped")</f>
        <v>Assets</v>
      </c>
      <c r="I324" s="4">
        <f t="shared" si="15"/>
        <v>38895.620000000003</v>
      </c>
      <c r="J324">
        <f t="shared" si="16"/>
        <v>2023</v>
      </c>
      <c r="K324" s="5">
        <f t="shared" si="17"/>
        <v>45139</v>
      </c>
    </row>
    <row r="325" spans="1:11" x14ac:dyDescent="0.25">
      <c r="A325" t="s">
        <v>3748</v>
      </c>
      <c r="B325" s="3">
        <v>45160</v>
      </c>
      <c r="C325">
        <v>4010</v>
      </c>
      <c r="D325" s="1">
        <v>0</v>
      </c>
      <c r="E325" s="1">
        <v>38895.620000000003</v>
      </c>
      <c r="F325" t="s">
        <v>3749</v>
      </c>
      <c r="G325" t="str">
        <f>_xlfn.XLOOKUP(C325,tblCOA[AccountNo],tblCOA[AccountName],"Unmapped")</f>
        <v>Product Sales</v>
      </c>
      <c r="H325" t="str">
        <f>_xlfn.XLOOKUP(C325,tblCOA[AccountNo],tblCOA[Category],"Unmapped")</f>
        <v>Revenue</v>
      </c>
      <c r="I325" s="4">
        <f t="shared" si="15"/>
        <v>-38895.620000000003</v>
      </c>
      <c r="J325">
        <f t="shared" si="16"/>
        <v>2023</v>
      </c>
      <c r="K325" s="5">
        <f t="shared" si="17"/>
        <v>45139</v>
      </c>
    </row>
    <row r="326" spans="1:11" x14ac:dyDescent="0.25">
      <c r="A326" t="s">
        <v>622</v>
      </c>
      <c r="B326" s="3">
        <v>45168</v>
      </c>
      <c r="C326">
        <v>5010</v>
      </c>
      <c r="D326" s="1">
        <v>18649.12</v>
      </c>
      <c r="E326" s="1">
        <v>0</v>
      </c>
      <c r="F326" t="s">
        <v>623</v>
      </c>
      <c r="G326" t="str">
        <f>_xlfn.XLOOKUP(C326,tblCOA[AccountNo],tblCOA[AccountName],"Unmapped")</f>
        <v>Cost of Goods Sold</v>
      </c>
      <c r="H326" t="str">
        <f>_xlfn.XLOOKUP(C326,tblCOA[AccountNo],tblCOA[Category],"Unmapped")</f>
        <v>Expenses</v>
      </c>
      <c r="I326" s="4">
        <f t="shared" si="15"/>
        <v>18649.12</v>
      </c>
      <c r="J326">
        <f t="shared" si="16"/>
        <v>2023</v>
      </c>
      <c r="K326" s="5">
        <f t="shared" si="17"/>
        <v>45139</v>
      </c>
    </row>
    <row r="327" spans="1:11" x14ac:dyDescent="0.25">
      <c r="A327" t="s">
        <v>624</v>
      </c>
      <c r="B327" s="3">
        <v>45168</v>
      </c>
      <c r="C327">
        <v>2010</v>
      </c>
      <c r="D327" s="1">
        <v>0</v>
      </c>
      <c r="E327" s="1">
        <v>18649.12</v>
      </c>
      <c r="F327" t="s">
        <v>625</v>
      </c>
      <c r="G327" t="str">
        <f>_xlfn.XLOOKUP(C327,tblCOA[AccountNo],tblCOA[AccountName],"Unmapped")</f>
        <v>Accounts Payable</v>
      </c>
      <c r="H327" t="str">
        <f>_xlfn.XLOOKUP(C327,tblCOA[AccountNo],tblCOA[Category],"Unmapped")</f>
        <v>Liabilities</v>
      </c>
      <c r="I327" s="4">
        <f t="shared" si="15"/>
        <v>-18649.12</v>
      </c>
      <c r="J327">
        <f t="shared" si="16"/>
        <v>2023</v>
      </c>
      <c r="K327" s="5">
        <f t="shared" si="17"/>
        <v>45139</v>
      </c>
    </row>
    <row r="328" spans="1:11" x14ac:dyDescent="0.25">
      <c r="A328" t="s">
        <v>1434</v>
      </c>
      <c r="B328" s="3">
        <v>45169</v>
      </c>
      <c r="C328">
        <v>1200</v>
      </c>
      <c r="D328" s="1">
        <v>14296.93</v>
      </c>
      <c r="E328" s="1">
        <v>0</v>
      </c>
      <c r="F328" t="s">
        <v>1435</v>
      </c>
      <c r="G328" t="str">
        <f>_xlfn.XLOOKUP(C328,tblCOA[AccountNo],tblCOA[AccountName],"Unmapped")</f>
        <v>Accounts Receivable</v>
      </c>
      <c r="H328" t="str">
        <f>_xlfn.XLOOKUP(C328,tblCOA[AccountNo],tblCOA[Category],"Unmapped")</f>
        <v>Assets</v>
      </c>
      <c r="I328" s="4">
        <f t="shared" si="15"/>
        <v>14296.93</v>
      </c>
      <c r="J328">
        <f t="shared" si="16"/>
        <v>2023</v>
      </c>
      <c r="K328" s="5">
        <f t="shared" si="17"/>
        <v>45139</v>
      </c>
    </row>
    <row r="329" spans="1:11" x14ac:dyDescent="0.25">
      <c r="A329" t="s">
        <v>1436</v>
      </c>
      <c r="B329" s="3">
        <v>45169</v>
      </c>
      <c r="C329">
        <v>4010</v>
      </c>
      <c r="D329" s="1">
        <v>0</v>
      </c>
      <c r="E329" s="1">
        <v>14296.93</v>
      </c>
      <c r="F329" t="s">
        <v>1437</v>
      </c>
      <c r="G329" t="str">
        <f>_xlfn.XLOOKUP(C329,tblCOA[AccountNo],tblCOA[AccountName],"Unmapped")</f>
        <v>Product Sales</v>
      </c>
      <c r="H329" t="str">
        <f>_xlfn.XLOOKUP(C329,tblCOA[AccountNo],tblCOA[Category],"Unmapped")</f>
        <v>Revenue</v>
      </c>
      <c r="I329" s="4">
        <f t="shared" si="15"/>
        <v>-14296.93</v>
      </c>
      <c r="J329">
        <f t="shared" si="16"/>
        <v>2023</v>
      </c>
      <c r="K329" s="5">
        <f t="shared" si="17"/>
        <v>45139</v>
      </c>
    </row>
    <row r="330" spans="1:11" x14ac:dyDescent="0.25">
      <c r="A330" t="s">
        <v>1758</v>
      </c>
      <c r="B330" s="3">
        <v>45169</v>
      </c>
      <c r="C330">
        <v>5010</v>
      </c>
      <c r="D330" s="1">
        <v>9568.48</v>
      </c>
      <c r="E330" s="1">
        <v>0</v>
      </c>
      <c r="F330" t="s">
        <v>1759</v>
      </c>
      <c r="G330" t="str">
        <f>_xlfn.XLOOKUP(C330,tblCOA[AccountNo],tblCOA[AccountName],"Unmapped")</f>
        <v>Cost of Goods Sold</v>
      </c>
      <c r="H330" t="str">
        <f>_xlfn.XLOOKUP(C330,tblCOA[AccountNo],tblCOA[Category],"Unmapped")</f>
        <v>Expenses</v>
      </c>
      <c r="I330" s="4">
        <f t="shared" si="15"/>
        <v>9568.48</v>
      </c>
      <c r="J330">
        <f t="shared" si="16"/>
        <v>2023</v>
      </c>
      <c r="K330" s="5">
        <f t="shared" si="17"/>
        <v>45139</v>
      </c>
    </row>
    <row r="331" spans="1:11" x14ac:dyDescent="0.25">
      <c r="A331" t="s">
        <v>1760</v>
      </c>
      <c r="B331" s="3">
        <v>45169</v>
      </c>
      <c r="C331">
        <v>2010</v>
      </c>
      <c r="D331" s="1">
        <v>0</v>
      </c>
      <c r="E331" s="1">
        <v>9568.48</v>
      </c>
      <c r="F331" t="s">
        <v>1761</v>
      </c>
      <c r="G331" t="str">
        <f>_xlfn.XLOOKUP(C331,tblCOA[AccountNo],tblCOA[AccountName],"Unmapped")</f>
        <v>Accounts Payable</v>
      </c>
      <c r="H331" t="str">
        <f>_xlfn.XLOOKUP(C331,tblCOA[AccountNo],tblCOA[Category],"Unmapped")</f>
        <v>Liabilities</v>
      </c>
      <c r="I331" s="4">
        <f t="shared" si="15"/>
        <v>-9568.48</v>
      </c>
      <c r="J331">
        <f t="shared" si="16"/>
        <v>2023</v>
      </c>
      <c r="K331" s="5">
        <f t="shared" si="17"/>
        <v>45139</v>
      </c>
    </row>
    <row r="332" spans="1:11" x14ac:dyDescent="0.25">
      <c r="A332" t="s">
        <v>1770</v>
      </c>
      <c r="B332" s="3">
        <v>45175</v>
      </c>
      <c r="C332">
        <v>1200</v>
      </c>
      <c r="D332" s="1">
        <v>2086.15</v>
      </c>
      <c r="E332" s="1">
        <v>0</v>
      </c>
      <c r="F332" t="s">
        <v>1771</v>
      </c>
      <c r="G332" t="str">
        <f>_xlfn.XLOOKUP(C332,tblCOA[AccountNo],tblCOA[AccountName],"Unmapped")</f>
        <v>Accounts Receivable</v>
      </c>
      <c r="H332" t="str">
        <f>_xlfn.XLOOKUP(C332,tblCOA[AccountNo],tblCOA[Category],"Unmapped")</f>
        <v>Assets</v>
      </c>
      <c r="I332" s="4">
        <f t="shared" si="15"/>
        <v>2086.15</v>
      </c>
      <c r="J332">
        <f t="shared" si="16"/>
        <v>2023</v>
      </c>
      <c r="K332" s="5">
        <f t="shared" si="17"/>
        <v>45170</v>
      </c>
    </row>
    <row r="333" spans="1:11" x14ac:dyDescent="0.25">
      <c r="A333" t="s">
        <v>1772</v>
      </c>
      <c r="B333" s="3">
        <v>45175</v>
      </c>
      <c r="C333">
        <v>4010</v>
      </c>
      <c r="D333" s="1">
        <v>0</v>
      </c>
      <c r="E333" s="1">
        <v>2086.15</v>
      </c>
      <c r="F333" t="s">
        <v>1773</v>
      </c>
      <c r="G333" t="str">
        <f>_xlfn.XLOOKUP(C333,tblCOA[AccountNo],tblCOA[AccountName],"Unmapped")</f>
        <v>Product Sales</v>
      </c>
      <c r="H333" t="str">
        <f>_xlfn.XLOOKUP(C333,tblCOA[AccountNo],tblCOA[Category],"Unmapped")</f>
        <v>Revenue</v>
      </c>
      <c r="I333" s="4">
        <f t="shared" si="15"/>
        <v>-2086.15</v>
      </c>
      <c r="J333">
        <f t="shared" si="16"/>
        <v>2023</v>
      </c>
      <c r="K333" s="5">
        <f t="shared" si="17"/>
        <v>45170</v>
      </c>
    </row>
    <row r="334" spans="1:11" x14ac:dyDescent="0.25">
      <c r="A334" t="s">
        <v>2510</v>
      </c>
      <c r="B334" s="3">
        <v>45178</v>
      </c>
      <c r="C334">
        <v>5010</v>
      </c>
      <c r="D334" s="1">
        <v>3999.7</v>
      </c>
      <c r="E334" s="1">
        <v>0</v>
      </c>
      <c r="F334" t="s">
        <v>2511</v>
      </c>
      <c r="G334" t="str">
        <f>_xlfn.XLOOKUP(C334,tblCOA[AccountNo],tblCOA[AccountName],"Unmapped")</f>
        <v>Cost of Goods Sold</v>
      </c>
      <c r="H334" t="str">
        <f>_xlfn.XLOOKUP(C334,tblCOA[AccountNo],tblCOA[Category],"Unmapped")</f>
        <v>Expenses</v>
      </c>
      <c r="I334" s="4">
        <f t="shared" si="15"/>
        <v>3999.7</v>
      </c>
      <c r="J334">
        <f t="shared" si="16"/>
        <v>2023</v>
      </c>
      <c r="K334" s="5">
        <f t="shared" si="17"/>
        <v>45170</v>
      </c>
    </row>
    <row r="335" spans="1:11" x14ac:dyDescent="0.25">
      <c r="A335" t="s">
        <v>2512</v>
      </c>
      <c r="B335" s="3">
        <v>45178</v>
      </c>
      <c r="C335">
        <v>2010</v>
      </c>
      <c r="D335" s="1">
        <v>0</v>
      </c>
      <c r="E335" s="1">
        <v>3999.7</v>
      </c>
      <c r="F335" t="s">
        <v>2513</v>
      </c>
      <c r="G335" t="str">
        <f>_xlfn.XLOOKUP(C335,tblCOA[AccountNo],tblCOA[AccountName],"Unmapped")</f>
        <v>Accounts Payable</v>
      </c>
      <c r="H335" t="str">
        <f>_xlfn.XLOOKUP(C335,tblCOA[AccountNo],tblCOA[Category],"Unmapped")</f>
        <v>Liabilities</v>
      </c>
      <c r="I335" s="4">
        <f t="shared" si="15"/>
        <v>-3999.7</v>
      </c>
      <c r="J335">
        <f t="shared" si="16"/>
        <v>2023</v>
      </c>
      <c r="K335" s="5">
        <f t="shared" si="17"/>
        <v>45170</v>
      </c>
    </row>
    <row r="336" spans="1:11" x14ac:dyDescent="0.25">
      <c r="A336" t="s">
        <v>1118</v>
      </c>
      <c r="B336" s="3">
        <v>45178</v>
      </c>
      <c r="C336">
        <v>5010</v>
      </c>
      <c r="D336" s="1">
        <v>1974.41</v>
      </c>
      <c r="E336" s="1">
        <v>0</v>
      </c>
      <c r="F336" t="s">
        <v>1119</v>
      </c>
      <c r="G336" t="str">
        <f>_xlfn.XLOOKUP(C336,tblCOA[AccountNo],tblCOA[AccountName],"Unmapped")</f>
        <v>Cost of Goods Sold</v>
      </c>
      <c r="H336" t="str">
        <f>_xlfn.XLOOKUP(C336,tblCOA[AccountNo],tblCOA[Category],"Unmapped")</f>
        <v>Expenses</v>
      </c>
      <c r="I336" s="4">
        <f t="shared" si="15"/>
        <v>1974.41</v>
      </c>
      <c r="J336">
        <f t="shared" si="16"/>
        <v>2023</v>
      </c>
      <c r="K336" s="5">
        <f t="shared" si="17"/>
        <v>45170</v>
      </c>
    </row>
    <row r="337" spans="1:11" x14ac:dyDescent="0.25">
      <c r="A337" t="s">
        <v>1120</v>
      </c>
      <c r="B337" s="3">
        <v>45178</v>
      </c>
      <c r="C337">
        <v>2010</v>
      </c>
      <c r="D337" s="1">
        <v>0</v>
      </c>
      <c r="E337" s="1">
        <v>1974.41</v>
      </c>
      <c r="F337" t="s">
        <v>1121</v>
      </c>
      <c r="G337" t="str">
        <f>_xlfn.XLOOKUP(C337,tblCOA[AccountNo],tblCOA[AccountName],"Unmapped")</f>
        <v>Accounts Payable</v>
      </c>
      <c r="H337" t="str">
        <f>_xlfn.XLOOKUP(C337,tblCOA[AccountNo],tblCOA[Category],"Unmapped")</f>
        <v>Liabilities</v>
      </c>
      <c r="I337" s="4">
        <f t="shared" si="15"/>
        <v>-1974.41</v>
      </c>
      <c r="J337">
        <f t="shared" si="16"/>
        <v>2023</v>
      </c>
      <c r="K337" s="5">
        <f t="shared" si="17"/>
        <v>45170</v>
      </c>
    </row>
    <row r="338" spans="1:11" x14ac:dyDescent="0.25">
      <c r="A338" t="s">
        <v>1606</v>
      </c>
      <c r="B338" s="3">
        <v>45180</v>
      </c>
      <c r="C338">
        <v>5010</v>
      </c>
      <c r="D338" s="1">
        <v>1071.75</v>
      </c>
      <c r="E338" s="1">
        <v>0</v>
      </c>
      <c r="F338" t="s">
        <v>1607</v>
      </c>
      <c r="G338" t="str">
        <f>_xlfn.XLOOKUP(C338,tblCOA[AccountNo],tblCOA[AccountName],"Unmapped")</f>
        <v>Cost of Goods Sold</v>
      </c>
      <c r="H338" t="str">
        <f>_xlfn.XLOOKUP(C338,tblCOA[AccountNo],tblCOA[Category],"Unmapped")</f>
        <v>Expenses</v>
      </c>
      <c r="I338" s="4">
        <f t="shared" si="15"/>
        <v>1071.75</v>
      </c>
      <c r="J338">
        <f t="shared" si="16"/>
        <v>2023</v>
      </c>
      <c r="K338" s="5">
        <f t="shared" si="17"/>
        <v>45170</v>
      </c>
    </row>
    <row r="339" spans="1:11" x14ac:dyDescent="0.25">
      <c r="A339" t="s">
        <v>1608</v>
      </c>
      <c r="B339" s="3">
        <v>45180</v>
      </c>
      <c r="C339">
        <v>2010</v>
      </c>
      <c r="D339" s="1">
        <v>0</v>
      </c>
      <c r="E339" s="1">
        <v>1071.75</v>
      </c>
      <c r="F339" t="s">
        <v>1609</v>
      </c>
      <c r="G339" t="str">
        <f>_xlfn.XLOOKUP(C339,tblCOA[AccountNo],tblCOA[AccountName],"Unmapped")</f>
        <v>Accounts Payable</v>
      </c>
      <c r="H339" t="str">
        <f>_xlfn.XLOOKUP(C339,tblCOA[AccountNo],tblCOA[Category],"Unmapped")</f>
        <v>Liabilities</v>
      </c>
      <c r="I339" s="4">
        <f t="shared" si="15"/>
        <v>-1071.75</v>
      </c>
      <c r="J339">
        <f t="shared" si="16"/>
        <v>2023</v>
      </c>
      <c r="K339" s="5">
        <f t="shared" si="17"/>
        <v>45170</v>
      </c>
    </row>
    <row r="340" spans="1:11" x14ac:dyDescent="0.25">
      <c r="A340" t="s">
        <v>806</v>
      </c>
      <c r="B340" s="3">
        <v>45182</v>
      </c>
      <c r="C340">
        <v>5010</v>
      </c>
      <c r="D340" s="1">
        <v>19524.79</v>
      </c>
      <c r="E340" s="1">
        <v>0</v>
      </c>
      <c r="F340" t="s">
        <v>807</v>
      </c>
      <c r="G340" t="str">
        <f>_xlfn.XLOOKUP(C340,tblCOA[AccountNo],tblCOA[AccountName],"Unmapped")</f>
        <v>Cost of Goods Sold</v>
      </c>
      <c r="H340" t="str">
        <f>_xlfn.XLOOKUP(C340,tblCOA[AccountNo],tblCOA[Category],"Unmapped")</f>
        <v>Expenses</v>
      </c>
      <c r="I340" s="4">
        <f t="shared" si="15"/>
        <v>19524.79</v>
      </c>
      <c r="J340">
        <f t="shared" si="16"/>
        <v>2023</v>
      </c>
      <c r="K340" s="5">
        <f t="shared" si="17"/>
        <v>45170</v>
      </c>
    </row>
    <row r="341" spans="1:11" x14ac:dyDescent="0.25">
      <c r="A341" t="s">
        <v>808</v>
      </c>
      <c r="B341" s="3">
        <v>45182</v>
      </c>
      <c r="C341">
        <v>2010</v>
      </c>
      <c r="D341" s="1">
        <v>0</v>
      </c>
      <c r="E341" s="1">
        <v>19524.79</v>
      </c>
      <c r="F341" t="s">
        <v>809</v>
      </c>
      <c r="G341" t="str">
        <f>_xlfn.XLOOKUP(C341,tblCOA[AccountNo],tblCOA[AccountName],"Unmapped")</f>
        <v>Accounts Payable</v>
      </c>
      <c r="H341" t="str">
        <f>_xlfn.XLOOKUP(C341,tblCOA[AccountNo],tblCOA[Category],"Unmapped")</f>
        <v>Liabilities</v>
      </c>
      <c r="I341" s="4">
        <f t="shared" si="15"/>
        <v>-19524.79</v>
      </c>
      <c r="J341">
        <f t="shared" si="16"/>
        <v>2023</v>
      </c>
      <c r="K341" s="5">
        <f t="shared" si="17"/>
        <v>45170</v>
      </c>
    </row>
    <row r="342" spans="1:11" x14ac:dyDescent="0.25">
      <c r="A342" t="s">
        <v>1854</v>
      </c>
      <c r="B342" s="3">
        <v>45182</v>
      </c>
      <c r="C342">
        <v>5010</v>
      </c>
      <c r="D342" s="1">
        <v>8476.07</v>
      </c>
      <c r="E342" s="1">
        <v>0</v>
      </c>
      <c r="F342" t="s">
        <v>1855</v>
      </c>
      <c r="G342" t="str">
        <f>_xlfn.XLOOKUP(C342,tblCOA[AccountNo],tblCOA[AccountName],"Unmapped")</f>
        <v>Cost of Goods Sold</v>
      </c>
      <c r="H342" t="str">
        <f>_xlfn.XLOOKUP(C342,tblCOA[AccountNo],tblCOA[Category],"Unmapped")</f>
        <v>Expenses</v>
      </c>
      <c r="I342" s="4">
        <f t="shared" si="15"/>
        <v>8476.07</v>
      </c>
      <c r="J342">
        <f t="shared" si="16"/>
        <v>2023</v>
      </c>
      <c r="K342" s="5">
        <f t="shared" si="17"/>
        <v>45170</v>
      </c>
    </row>
    <row r="343" spans="1:11" x14ac:dyDescent="0.25">
      <c r="A343" t="s">
        <v>1856</v>
      </c>
      <c r="B343" s="3">
        <v>45182</v>
      </c>
      <c r="C343">
        <v>2010</v>
      </c>
      <c r="D343" s="1">
        <v>0</v>
      </c>
      <c r="E343" s="1">
        <v>8476.07</v>
      </c>
      <c r="F343" t="s">
        <v>1857</v>
      </c>
      <c r="G343" t="str">
        <f>_xlfn.XLOOKUP(C343,tblCOA[AccountNo],tblCOA[AccountName],"Unmapped")</f>
        <v>Accounts Payable</v>
      </c>
      <c r="H343" t="str">
        <f>_xlfn.XLOOKUP(C343,tblCOA[AccountNo],tblCOA[Category],"Unmapped")</f>
        <v>Liabilities</v>
      </c>
      <c r="I343" s="4">
        <f t="shared" si="15"/>
        <v>-8476.07</v>
      </c>
      <c r="J343">
        <f t="shared" si="16"/>
        <v>2023</v>
      </c>
      <c r="K343" s="5">
        <f t="shared" si="17"/>
        <v>45170</v>
      </c>
    </row>
    <row r="344" spans="1:11" x14ac:dyDescent="0.25">
      <c r="A344" t="s">
        <v>2658</v>
      </c>
      <c r="B344" s="3">
        <v>45185</v>
      </c>
      <c r="C344">
        <v>1200</v>
      </c>
      <c r="D344" s="1">
        <v>15507.6</v>
      </c>
      <c r="E344" s="1">
        <v>0</v>
      </c>
      <c r="F344" t="s">
        <v>2659</v>
      </c>
      <c r="G344" t="str">
        <f>_xlfn.XLOOKUP(C344,tblCOA[AccountNo],tblCOA[AccountName],"Unmapped")</f>
        <v>Accounts Receivable</v>
      </c>
      <c r="H344" t="str">
        <f>_xlfn.XLOOKUP(C344,tblCOA[AccountNo],tblCOA[Category],"Unmapped")</f>
        <v>Assets</v>
      </c>
      <c r="I344" s="4">
        <f t="shared" si="15"/>
        <v>15507.6</v>
      </c>
      <c r="J344">
        <f t="shared" si="16"/>
        <v>2023</v>
      </c>
      <c r="K344" s="5">
        <f t="shared" si="17"/>
        <v>45170</v>
      </c>
    </row>
    <row r="345" spans="1:11" x14ac:dyDescent="0.25">
      <c r="A345" t="s">
        <v>2660</v>
      </c>
      <c r="B345" s="3">
        <v>45185</v>
      </c>
      <c r="C345">
        <v>4010</v>
      </c>
      <c r="D345" s="1">
        <v>0</v>
      </c>
      <c r="E345" s="1">
        <v>15507.6</v>
      </c>
      <c r="F345" t="s">
        <v>2661</v>
      </c>
      <c r="G345" t="str">
        <f>_xlfn.XLOOKUP(C345,tblCOA[AccountNo],tblCOA[AccountName],"Unmapped")</f>
        <v>Product Sales</v>
      </c>
      <c r="H345" t="str">
        <f>_xlfn.XLOOKUP(C345,tblCOA[AccountNo],tblCOA[Category],"Unmapped")</f>
        <v>Revenue</v>
      </c>
      <c r="I345" s="4">
        <f t="shared" si="15"/>
        <v>-15507.6</v>
      </c>
      <c r="J345">
        <f t="shared" si="16"/>
        <v>2023</v>
      </c>
      <c r="K345" s="5">
        <f t="shared" si="17"/>
        <v>45170</v>
      </c>
    </row>
    <row r="346" spans="1:11" x14ac:dyDescent="0.25">
      <c r="A346" t="s">
        <v>414</v>
      </c>
      <c r="B346" s="3">
        <v>45185</v>
      </c>
      <c r="C346">
        <v>5010</v>
      </c>
      <c r="D346" s="1">
        <v>11482.88</v>
      </c>
      <c r="E346" s="1">
        <v>0</v>
      </c>
      <c r="F346" t="s">
        <v>415</v>
      </c>
      <c r="G346" t="str">
        <f>_xlfn.XLOOKUP(C346,tblCOA[AccountNo],tblCOA[AccountName],"Unmapped")</f>
        <v>Cost of Goods Sold</v>
      </c>
      <c r="H346" t="str">
        <f>_xlfn.XLOOKUP(C346,tblCOA[AccountNo],tblCOA[Category],"Unmapped")</f>
        <v>Expenses</v>
      </c>
      <c r="I346" s="4">
        <f t="shared" si="15"/>
        <v>11482.88</v>
      </c>
      <c r="J346">
        <f t="shared" si="16"/>
        <v>2023</v>
      </c>
      <c r="K346" s="5">
        <f t="shared" si="17"/>
        <v>45170</v>
      </c>
    </row>
    <row r="347" spans="1:11" x14ac:dyDescent="0.25">
      <c r="A347" t="s">
        <v>416</v>
      </c>
      <c r="B347" s="3">
        <v>45185</v>
      </c>
      <c r="C347">
        <v>2010</v>
      </c>
      <c r="D347" s="1">
        <v>0</v>
      </c>
      <c r="E347" s="1">
        <v>11482.88</v>
      </c>
      <c r="F347" t="s">
        <v>417</v>
      </c>
      <c r="G347" t="str">
        <f>_xlfn.XLOOKUP(C347,tblCOA[AccountNo],tblCOA[AccountName],"Unmapped")</f>
        <v>Accounts Payable</v>
      </c>
      <c r="H347" t="str">
        <f>_xlfn.XLOOKUP(C347,tblCOA[AccountNo],tblCOA[Category],"Unmapped")</f>
        <v>Liabilities</v>
      </c>
      <c r="I347" s="4">
        <f t="shared" si="15"/>
        <v>-11482.88</v>
      </c>
      <c r="J347">
        <f t="shared" si="16"/>
        <v>2023</v>
      </c>
      <c r="K347" s="5">
        <f t="shared" si="17"/>
        <v>45170</v>
      </c>
    </row>
    <row r="348" spans="1:11" x14ac:dyDescent="0.25">
      <c r="A348" t="s">
        <v>2386</v>
      </c>
      <c r="B348" s="3">
        <v>45189</v>
      </c>
      <c r="C348">
        <v>1200</v>
      </c>
      <c r="D348" s="1">
        <v>43471.31</v>
      </c>
      <c r="E348" s="1">
        <v>0</v>
      </c>
      <c r="F348" t="s">
        <v>2387</v>
      </c>
      <c r="G348" t="str">
        <f>_xlfn.XLOOKUP(C348,tblCOA[AccountNo],tblCOA[AccountName],"Unmapped")</f>
        <v>Accounts Receivable</v>
      </c>
      <c r="H348" t="str">
        <f>_xlfn.XLOOKUP(C348,tblCOA[AccountNo],tblCOA[Category],"Unmapped")</f>
        <v>Assets</v>
      </c>
      <c r="I348" s="4">
        <f t="shared" si="15"/>
        <v>43471.31</v>
      </c>
      <c r="J348">
        <f t="shared" si="16"/>
        <v>2023</v>
      </c>
      <c r="K348" s="5">
        <f t="shared" si="17"/>
        <v>45170</v>
      </c>
    </row>
    <row r="349" spans="1:11" x14ac:dyDescent="0.25">
      <c r="A349" t="s">
        <v>2388</v>
      </c>
      <c r="B349" s="3">
        <v>45189</v>
      </c>
      <c r="C349">
        <v>4010</v>
      </c>
      <c r="D349" s="1">
        <v>0</v>
      </c>
      <c r="E349" s="1">
        <v>43471.31</v>
      </c>
      <c r="F349" t="s">
        <v>2389</v>
      </c>
      <c r="G349" t="str">
        <f>_xlfn.XLOOKUP(C349,tblCOA[AccountNo],tblCOA[AccountName],"Unmapped")</f>
        <v>Product Sales</v>
      </c>
      <c r="H349" t="str">
        <f>_xlfn.XLOOKUP(C349,tblCOA[AccountNo],tblCOA[Category],"Unmapped")</f>
        <v>Revenue</v>
      </c>
      <c r="I349" s="4">
        <f t="shared" si="15"/>
        <v>-43471.31</v>
      </c>
      <c r="J349">
        <f t="shared" si="16"/>
        <v>2023</v>
      </c>
      <c r="K349" s="5">
        <f t="shared" si="17"/>
        <v>45170</v>
      </c>
    </row>
    <row r="350" spans="1:11" x14ac:dyDescent="0.25">
      <c r="A350" t="s">
        <v>1086</v>
      </c>
      <c r="B350" s="3">
        <v>45189</v>
      </c>
      <c r="C350">
        <v>5010</v>
      </c>
      <c r="D350" s="1">
        <v>8293.23</v>
      </c>
      <c r="E350" s="1">
        <v>0</v>
      </c>
      <c r="F350" t="s">
        <v>1087</v>
      </c>
      <c r="G350" t="str">
        <f>_xlfn.XLOOKUP(C350,tblCOA[AccountNo],tblCOA[AccountName],"Unmapped")</f>
        <v>Cost of Goods Sold</v>
      </c>
      <c r="H350" t="str">
        <f>_xlfn.XLOOKUP(C350,tblCOA[AccountNo],tblCOA[Category],"Unmapped")</f>
        <v>Expenses</v>
      </c>
      <c r="I350" s="4">
        <f t="shared" si="15"/>
        <v>8293.23</v>
      </c>
      <c r="J350">
        <f t="shared" si="16"/>
        <v>2023</v>
      </c>
      <c r="K350" s="5">
        <f t="shared" si="17"/>
        <v>45170</v>
      </c>
    </row>
    <row r="351" spans="1:11" x14ac:dyDescent="0.25">
      <c r="A351" t="s">
        <v>1088</v>
      </c>
      <c r="B351" s="3">
        <v>45189</v>
      </c>
      <c r="C351">
        <v>2010</v>
      </c>
      <c r="D351" s="1">
        <v>0</v>
      </c>
      <c r="E351" s="1">
        <v>8293.23</v>
      </c>
      <c r="F351" t="s">
        <v>1089</v>
      </c>
      <c r="G351" t="str">
        <f>_xlfn.XLOOKUP(C351,tblCOA[AccountNo],tblCOA[AccountName],"Unmapped")</f>
        <v>Accounts Payable</v>
      </c>
      <c r="H351" t="str">
        <f>_xlfn.XLOOKUP(C351,tblCOA[AccountNo],tblCOA[Category],"Unmapped")</f>
        <v>Liabilities</v>
      </c>
      <c r="I351" s="4">
        <f t="shared" si="15"/>
        <v>-8293.23</v>
      </c>
      <c r="J351">
        <f t="shared" si="16"/>
        <v>2023</v>
      </c>
      <c r="K351" s="5">
        <f t="shared" si="17"/>
        <v>45170</v>
      </c>
    </row>
    <row r="352" spans="1:11" x14ac:dyDescent="0.25">
      <c r="A352" t="s">
        <v>1562</v>
      </c>
      <c r="B352" s="3">
        <v>45190</v>
      </c>
      <c r="C352">
        <v>1200</v>
      </c>
      <c r="D352" s="1">
        <v>32160.57</v>
      </c>
      <c r="E352" s="1">
        <v>0</v>
      </c>
      <c r="F352" t="s">
        <v>1563</v>
      </c>
      <c r="G352" t="str">
        <f>_xlfn.XLOOKUP(C352,tblCOA[AccountNo],tblCOA[AccountName],"Unmapped")</f>
        <v>Accounts Receivable</v>
      </c>
      <c r="H352" t="str">
        <f>_xlfn.XLOOKUP(C352,tblCOA[AccountNo],tblCOA[Category],"Unmapped")</f>
        <v>Assets</v>
      </c>
      <c r="I352" s="4">
        <f t="shared" si="15"/>
        <v>32160.57</v>
      </c>
      <c r="J352">
        <f t="shared" si="16"/>
        <v>2023</v>
      </c>
      <c r="K352" s="5">
        <f t="shared" si="17"/>
        <v>45170</v>
      </c>
    </row>
    <row r="353" spans="1:11" x14ac:dyDescent="0.25">
      <c r="A353" t="s">
        <v>1564</v>
      </c>
      <c r="B353" s="3">
        <v>45190</v>
      </c>
      <c r="C353">
        <v>4010</v>
      </c>
      <c r="D353" s="1">
        <v>0</v>
      </c>
      <c r="E353" s="1">
        <v>32160.57</v>
      </c>
      <c r="F353" t="s">
        <v>1565</v>
      </c>
      <c r="G353" t="str">
        <f>_xlfn.XLOOKUP(C353,tblCOA[AccountNo],tblCOA[AccountName],"Unmapped")</f>
        <v>Product Sales</v>
      </c>
      <c r="H353" t="str">
        <f>_xlfn.XLOOKUP(C353,tblCOA[AccountNo],tblCOA[Category],"Unmapped")</f>
        <v>Revenue</v>
      </c>
      <c r="I353" s="4">
        <f t="shared" si="15"/>
        <v>-32160.57</v>
      </c>
      <c r="J353">
        <f t="shared" si="16"/>
        <v>2023</v>
      </c>
      <c r="K353" s="5">
        <f t="shared" si="17"/>
        <v>45170</v>
      </c>
    </row>
    <row r="354" spans="1:11" x14ac:dyDescent="0.25">
      <c r="A354" t="s">
        <v>3618</v>
      </c>
      <c r="B354" s="3">
        <v>45191</v>
      </c>
      <c r="C354">
        <v>1200</v>
      </c>
      <c r="D354" s="1">
        <v>24197.49</v>
      </c>
      <c r="E354" s="1">
        <v>0</v>
      </c>
      <c r="F354" t="s">
        <v>3619</v>
      </c>
      <c r="G354" t="str">
        <f>_xlfn.XLOOKUP(C354,tblCOA[AccountNo],tblCOA[AccountName],"Unmapped")</f>
        <v>Accounts Receivable</v>
      </c>
      <c r="H354" t="str">
        <f>_xlfn.XLOOKUP(C354,tblCOA[AccountNo],tblCOA[Category],"Unmapped")</f>
        <v>Assets</v>
      </c>
      <c r="I354" s="4">
        <f t="shared" si="15"/>
        <v>24197.49</v>
      </c>
      <c r="J354">
        <f t="shared" si="16"/>
        <v>2023</v>
      </c>
      <c r="K354" s="5">
        <f t="shared" si="17"/>
        <v>45170</v>
      </c>
    </row>
    <row r="355" spans="1:11" x14ac:dyDescent="0.25">
      <c r="A355" t="s">
        <v>3620</v>
      </c>
      <c r="B355" s="3">
        <v>45191</v>
      </c>
      <c r="C355">
        <v>4010</v>
      </c>
      <c r="D355" s="1">
        <v>0</v>
      </c>
      <c r="E355" s="1">
        <v>24197.49</v>
      </c>
      <c r="F355" t="s">
        <v>3621</v>
      </c>
      <c r="G355" t="str">
        <f>_xlfn.XLOOKUP(C355,tblCOA[AccountNo],tblCOA[AccountName],"Unmapped")</f>
        <v>Product Sales</v>
      </c>
      <c r="H355" t="str">
        <f>_xlfn.XLOOKUP(C355,tblCOA[AccountNo],tblCOA[Category],"Unmapped")</f>
        <v>Revenue</v>
      </c>
      <c r="I355" s="4">
        <f t="shared" si="15"/>
        <v>-24197.49</v>
      </c>
      <c r="J355">
        <f t="shared" si="16"/>
        <v>2023</v>
      </c>
      <c r="K355" s="5">
        <f t="shared" si="17"/>
        <v>45170</v>
      </c>
    </row>
    <row r="356" spans="1:11" x14ac:dyDescent="0.25">
      <c r="A356" t="s">
        <v>2978</v>
      </c>
      <c r="B356" s="3">
        <v>45192</v>
      </c>
      <c r="C356">
        <v>1200</v>
      </c>
      <c r="D356" s="1">
        <v>35830.18</v>
      </c>
      <c r="E356" s="1">
        <v>0</v>
      </c>
      <c r="F356" t="s">
        <v>2979</v>
      </c>
      <c r="G356" t="str">
        <f>_xlfn.XLOOKUP(C356,tblCOA[AccountNo],tblCOA[AccountName],"Unmapped")</f>
        <v>Accounts Receivable</v>
      </c>
      <c r="H356" t="str">
        <f>_xlfn.XLOOKUP(C356,tblCOA[AccountNo],tblCOA[Category],"Unmapped")</f>
        <v>Assets</v>
      </c>
      <c r="I356" s="4">
        <f t="shared" si="15"/>
        <v>35830.18</v>
      </c>
      <c r="J356">
        <f t="shared" si="16"/>
        <v>2023</v>
      </c>
      <c r="K356" s="5">
        <f t="shared" si="17"/>
        <v>45170</v>
      </c>
    </row>
    <row r="357" spans="1:11" x14ac:dyDescent="0.25">
      <c r="A357" t="s">
        <v>2980</v>
      </c>
      <c r="B357" s="3">
        <v>45192</v>
      </c>
      <c r="C357">
        <v>4010</v>
      </c>
      <c r="D357" s="1">
        <v>0</v>
      </c>
      <c r="E357" s="1">
        <v>35830.18</v>
      </c>
      <c r="F357" t="s">
        <v>2981</v>
      </c>
      <c r="G357" t="str">
        <f>_xlfn.XLOOKUP(C357,tblCOA[AccountNo],tblCOA[AccountName],"Unmapped")</f>
        <v>Product Sales</v>
      </c>
      <c r="H357" t="str">
        <f>_xlfn.XLOOKUP(C357,tblCOA[AccountNo],tblCOA[Category],"Unmapped")</f>
        <v>Revenue</v>
      </c>
      <c r="I357" s="4">
        <f t="shared" si="15"/>
        <v>-35830.18</v>
      </c>
      <c r="J357">
        <f t="shared" si="16"/>
        <v>2023</v>
      </c>
      <c r="K357" s="5">
        <f t="shared" si="17"/>
        <v>45170</v>
      </c>
    </row>
    <row r="358" spans="1:11" x14ac:dyDescent="0.25">
      <c r="A358" t="s">
        <v>3302</v>
      </c>
      <c r="B358" s="3">
        <v>45192</v>
      </c>
      <c r="C358">
        <v>5010</v>
      </c>
      <c r="D358" s="1">
        <v>9172.83</v>
      </c>
      <c r="E358" s="1">
        <v>0</v>
      </c>
      <c r="F358" t="s">
        <v>3303</v>
      </c>
      <c r="G358" t="str">
        <f>_xlfn.XLOOKUP(C358,tblCOA[AccountNo],tblCOA[AccountName],"Unmapped")</f>
        <v>Cost of Goods Sold</v>
      </c>
      <c r="H358" t="str">
        <f>_xlfn.XLOOKUP(C358,tblCOA[AccountNo],tblCOA[Category],"Unmapped")</f>
        <v>Expenses</v>
      </c>
      <c r="I358" s="4">
        <f t="shared" si="15"/>
        <v>9172.83</v>
      </c>
      <c r="J358">
        <f t="shared" si="16"/>
        <v>2023</v>
      </c>
      <c r="K358" s="5">
        <f t="shared" si="17"/>
        <v>45170</v>
      </c>
    </row>
    <row r="359" spans="1:11" x14ac:dyDescent="0.25">
      <c r="A359" t="s">
        <v>3304</v>
      </c>
      <c r="B359" s="3">
        <v>45192</v>
      </c>
      <c r="C359">
        <v>2010</v>
      </c>
      <c r="D359" s="1">
        <v>0</v>
      </c>
      <c r="E359" s="1">
        <v>9172.83</v>
      </c>
      <c r="F359" t="s">
        <v>3305</v>
      </c>
      <c r="G359" t="str">
        <f>_xlfn.XLOOKUP(C359,tblCOA[AccountNo],tblCOA[AccountName],"Unmapped")</f>
        <v>Accounts Payable</v>
      </c>
      <c r="H359" t="str">
        <f>_xlfn.XLOOKUP(C359,tblCOA[AccountNo],tblCOA[Category],"Unmapped")</f>
        <v>Liabilities</v>
      </c>
      <c r="I359" s="4">
        <f t="shared" si="15"/>
        <v>-9172.83</v>
      </c>
      <c r="J359">
        <f t="shared" si="16"/>
        <v>2023</v>
      </c>
      <c r="K359" s="5">
        <f t="shared" si="17"/>
        <v>45170</v>
      </c>
    </row>
    <row r="360" spans="1:11" x14ac:dyDescent="0.25">
      <c r="A360" t="s">
        <v>222</v>
      </c>
      <c r="B360" s="3">
        <v>45196</v>
      </c>
      <c r="C360">
        <v>5010</v>
      </c>
      <c r="D360" s="1">
        <v>19890.509999999998</v>
      </c>
      <c r="E360" s="1">
        <v>0</v>
      </c>
      <c r="F360" t="s">
        <v>223</v>
      </c>
      <c r="G360" t="str">
        <f>_xlfn.XLOOKUP(C360,tblCOA[AccountNo],tblCOA[AccountName],"Unmapped")</f>
        <v>Cost of Goods Sold</v>
      </c>
      <c r="H360" t="str">
        <f>_xlfn.XLOOKUP(C360,tblCOA[AccountNo],tblCOA[Category],"Unmapped")</f>
        <v>Expenses</v>
      </c>
      <c r="I360" s="4">
        <f t="shared" si="15"/>
        <v>19890.509999999998</v>
      </c>
      <c r="J360">
        <f t="shared" si="16"/>
        <v>2023</v>
      </c>
      <c r="K360" s="5">
        <f t="shared" si="17"/>
        <v>45170</v>
      </c>
    </row>
    <row r="361" spans="1:11" x14ac:dyDescent="0.25">
      <c r="A361" t="s">
        <v>224</v>
      </c>
      <c r="B361" s="3">
        <v>45196</v>
      </c>
      <c r="C361">
        <v>2010</v>
      </c>
      <c r="D361" s="1">
        <v>0</v>
      </c>
      <c r="E361" s="1">
        <v>19890.509999999998</v>
      </c>
      <c r="F361" t="s">
        <v>225</v>
      </c>
      <c r="G361" t="str">
        <f>_xlfn.XLOOKUP(C361,tblCOA[AccountNo],tblCOA[AccountName],"Unmapped")</f>
        <v>Accounts Payable</v>
      </c>
      <c r="H361" t="str">
        <f>_xlfn.XLOOKUP(C361,tblCOA[AccountNo],tblCOA[Category],"Unmapped")</f>
        <v>Liabilities</v>
      </c>
      <c r="I361" s="4">
        <f t="shared" si="15"/>
        <v>-19890.509999999998</v>
      </c>
      <c r="J361">
        <f t="shared" si="16"/>
        <v>2023</v>
      </c>
      <c r="K361" s="5">
        <f t="shared" si="17"/>
        <v>45170</v>
      </c>
    </row>
    <row r="362" spans="1:11" x14ac:dyDescent="0.25">
      <c r="A362" t="s">
        <v>3046</v>
      </c>
      <c r="B362" s="3">
        <v>45198</v>
      </c>
      <c r="C362">
        <v>5010</v>
      </c>
      <c r="D362" s="1">
        <v>5123.4399999999996</v>
      </c>
      <c r="E362" s="1">
        <v>0</v>
      </c>
      <c r="F362" t="s">
        <v>3047</v>
      </c>
      <c r="G362" t="str">
        <f>_xlfn.XLOOKUP(C362,tblCOA[AccountNo],tblCOA[AccountName],"Unmapped")</f>
        <v>Cost of Goods Sold</v>
      </c>
      <c r="H362" t="str">
        <f>_xlfn.XLOOKUP(C362,tblCOA[AccountNo],tblCOA[Category],"Unmapped")</f>
        <v>Expenses</v>
      </c>
      <c r="I362" s="4">
        <f t="shared" si="15"/>
        <v>5123.4399999999996</v>
      </c>
      <c r="J362">
        <f t="shared" si="16"/>
        <v>2023</v>
      </c>
      <c r="K362" s="5">
        <f t="shared" si="17"/>
        <v>45170</v>
      </c>
    </row>
    <row r="363" spans="1:11" x14ac:dyDescent="0.25">
      <c r="A363" t="s">
        <v>3048</v>
      </c>
      <c r="B363" s="3">
        <v>45198</v>
      </c>
      <c r="C363">
        <v>2010</v>
      </c>
      <c r="D363" s="1">
        <v>0</v>
      </c>
      <c r="E363" s="1">
        <v>5123.4399999999996</v>
      </c>
      <c r="F363" t="s">
        <v>3049</v>
      </c>
      <c r="G363" t="str">
        <f>_xlfn.XLOOKUP(C363,tblCOA[AccountNo],tblCOA[AccountName],"Unmapped")</f>
        <v>Accounts Payable</v>
      </c>
      <c r="H363" t="str">
        <f>_xlfn.XLOOKUP(C363,tblCOA[AccountNo],tblCOA[Category],"Unmapped")</f>
        <v>Liabilities</v>
      </c>
      <c r="I363" s="4">
        <f t="shared" si="15"/>
        <v>-5123.4399999999996</v>
      </c>
      <c r="J363">
        <f t="shared" si="16"/>
        <v>2023</v>
      </c>
      <c r="K363" s="5">
        <f t="shared" si="17"/>
        <v>45170</v>
      </c>
    </row>
    <row r="364" spans="1:11" x14ac:dyDescent="0.25">
      <c r="A364" t="s">
        <v>3646</v>
      </c>
      <c r="B364" s="3">
        <v>45198</v>
      </c>
      <c r="C364">
        <v>5010</v>
      </c>
      <c r="D364" s="1">
        <v>2608.0100000000002</v>
      </c>
      <c r="E364" s="1">
        <v>0</v>
      </c>
      <c r="F364" t="s">
        <v>3647</v>
      </c>
      <c r="G364" t="str">
        <f>_xlfn.XLOOKUP(C364,tblCOA[AccountNo],tblCOA[AccountName],"Unmapped")</f>
        <v>Cost of Goods Sold</v>
      </c>
      <c r="H364" t="str">
        <f>_xlfn.XLOOKUP(C364,tblCOA[AccountNo],tblCOA[Category],"Unmapped")</f>
        <v>Expenses</v>
      </c>
      <c r="I364" s="4">
        <f t="shared" si="15"/>
        <v>2608.0100000000002</v>
      </c>
      <c r="J364">
        <f t="shared" si="16"/>
        <v>2023</v>
      </c>
      <c r="K364" s="5">
        <f t="shared" si="17"/>
        <v>45170</v>
      </c>
    </row>
    <row r="365" spans="1:11" x14ac:dyDescent="0.25">
      <c r="A365" t="s">
        <v>3648</v>
      </c>
      <c r="B365" s="3">
        <v>45198</v>
      </c>
      <c r="C365">
        <v>2010</v>
      </c>
      <c r="D365" s="1">
        <v>0</v>
      </c>
      <c r="E365" s="1">
        <v>2608.0100000000002</v>
      </c>
      <c r="F365" t="s">
        <v>3649</v>
      </c>
      <c r="G365" t="str">
        <f>_xlfn.XLOOKUP(C365,tblCOA[AccountNo],tblCOA[AccountName],"Unmapped")</f>
        <v>Accounts Payable</v>
      </c>
      <c r="H365" t="str">
        <f>_xlfn.XLOOKUP(C365,tblCOA[AccountNo],tblCOA[Category],"Unmapped")</f>
        <v>Liabilities</v>
      </c>
      <c r="I365" s="4">
        <f t="shared" si="15"/>
        <v>-2608.0100000000002</v>
      </c>
      <c r="J365">
        <f t="shared" si="16"/>
        <v>2023</v>
      </c>
      <c r="K365" s="5">
        <f t="shared" si="17"/>
        <v>45170</v>
      </c>
    </row>
    <row r="366" spans="1:11" x14ac:dyDescent="0.25">
      <c r="A366" t="s">
        <v>3078</v>
      </c>
      <c r="B366" s="3">
        <v>45200</v>
      </c>
      <c r="C366">
        <v>5010</v>
      </c>
      <c r="D366" s="1">
        <v>19938.39</v>
      </c>
      <c r="E366" s="1">
        <v>0</v>
      </c>
      <c r="F366" t="s">
        <v>3079</v>
      </c>
      <c r="G366" t="str">
        <f>_xlfn.XLOOKUP(C366,tblCOA[AccountNo],tblCOA[AccountName],"Unmapped")</f>
        <v>Cost of Goods Sold</v>
      </c>
      <c r="H366" t="str">
        <f>_xlfn.XLOOKUP(C366,tblCOA[AccountNo],tblCOA[Category],"Unmapped")</f>
        <v>Expenses</v>
      </c>
      <c r="I366" s="4">
        <f t="shared" si="15"/>
        <v>19938.39</v>
      </c>
      <c r="J366">
        <f t="shared" si="16"/>
        <v>2023</v>
      </c>
      <c r="K366" s="5">
        <f t="shared" si="17"/>
        <v>45200</v>
      </c>
    </row>
    <row r="367" spans="1:11" x14ac:dyDescent="0.25">
      <c r="A367" t="s">
        <v>3080</v>
      </c>
      <c r="B367" s="3">
        <v>45200</v>
      </c>
      <c r="C367">
        <v>2010</v>
      </c>
      <c r="D367" s="1">
        <v>0</v>
      </c>
      <c r="E367" s="1">
        <v>19938.39</v>
      </c>
      <c r="F367" t="s">
        <v>3081</v>
      </c>
      <c r="G367" t="str">
        <f>_xlfn.XLOOKUP(C367,tblCOA[AccountNo],tblCOA[AccountName],"Unmapped")</f>
        <v>Accounts Payable</v>
      </c>
      <c r="H367" t="str">
        <f>_xlfn.XLOOKUP(C367,tblCOA[AccountNo],tblCOA[Category],"Unmapped")</f>
        <v>Liabilities</v>
      </c>
      <c r="I367" s="4">
        <f t="shared" si="15"/>
        <v>-19938.39</v>
      </c>
      <c r="J367">
        <f t="shared" si="16"/>
        <v>2023</v>
      </c>
      <c r="K367" s="5">
        <f t="shared" si="17"/>
        <v>45200</v>
      </c>
    </row>
    <row r="368" spans="1:11" x14ac:dyDescent="0.25">
      <c r="A368" t="s">
        <v>126</v>
      </c>
      <c r="B368" s="3">
        <v>45200</v>
      </c>
      <c r="C368">
        <v>5010</v>
      </c>
      <c r="D368" s="1">
        <v>1566.19</v>
      </c>
      <c r="E368" s="1">
        <v>0</v>
      </c>
      <c r="F368" t="s">
        <v>127</v>
      </c>
      <c r="G368" t="str">
        <f>_xlfn.XLOOKUP(C368,tblCOA[AccountNo],tblCOA[AccountName],"Unmapped")</f>
        <v>Cost of Goods Sold</v>
      </c>
      <c r="H368" t="str">
        <f>_xlfn.XLOOKUP(C368,tblCOA[AccountNo],tblCOA[Category],"Unmapped")</f>
        <v>Expenses</v>
      </c>
      <c r="I368" s="4">
        <f t="shared" si="15"/>
        <v>1566.19</v>
      </c>
      <c r="J368">
        <f t="shared" si="16"/>
        <v>2023</v>
      </c>
      <c r="K368" s="5">
        <f t="shared" si="17"/>
        <v>45200</v>
      </c>
    </row>
    <row r="369" spans="1:11" x14ac:dyDescent="0.25">
      <c r="A369" t="s">
        <v>128</v>
      </c>
      <c r="B369" s="3">
        <v>45200</v>
      </c>
      <c r="C369">
        <v>2010</v>
      </c>
      <c r="D369" s="1">
        <v>0</v>
      </c>
      <c r="E369" s="1">
        <v>1566.19</v>
      </c>
      <c r="F369" t="s">
        <v>129</v>
      </c>
      <c r="G369" t="str">
        <f>_xlfn.XLOOKUP(C369,tblCOA[AccountNo],tblCOA[AccountName],"Unmapped")</f>
        <v>Accounts Payable</v>
      </c>
      <c r="H369" t="str">
        <f>_xlfn.XLOOKUP(C369,tblCOA[AccountNo],tblCOA[Category],"Unmapped")</f>
        <v>Liabilities</v>
      </c>
      <c r="I369" s="4">
        <f t="shared" si="15"/>
        <v>-1566.19</v>
      </c>
      <c r="J369">
        <f t="shared" si="16"/>
        <v>2023</v>
      </c>
      <c r="K369" s="5">
        <f t="shared" si="17"/>
        <v>45200</v>
      </c>
    </row>
    <row r="370" spans="1:11" x14ac:dyDescent="0.25">
      <c r="A370" t="s">
        <v>2758</v>
      </c>
      <c r="B370" s="3">
        <v>45201</v>
      </c>
      <c r="C370">
        <v>5010</v>
      </c>
      <c r="D370" s="1">
        <v>3190.38</v>
      </c>
      <c r="E370" s="1">
        <v>0</v>
      </c>
      <c r="F370" t="s">
        <v>2759</v>
      </c>
      <c r="G370" t="str">
        <f>_xlfn.XLOOKUP(C370,tblCOA[AccountNo],tblCOA[AccountName],"Unmapped")</f>
        <v>Cost of Goods Sold</v>
      </c>
      <c r="H370" t="str">
        <f>_xlfn.XLOOKUP(C370,tblCOA[AccountNo],tblCOA[Category],"Unmapped")</f>
        <v>Expenses</v>
      </c>
      <c r="I370" s="4">
        <f t="shared" si="15"/>
        <v>3190.38</v>
      </c>
      <c r="J370">
        <f t="shared" si="16"/>
        <v>2023</v>
      </c>
      <c r="K370" s="5">
        <f t="shared" si="17"/>
        <v>45200</v>
      </c>
    </row>
    <row r="371" spans="1:11" x14ac:dyDescent="0.25">
      <c r="A371" t="s">
        <v>2760</v>
      </c>
      <c r="B371" s="3">
        <v>45201</v>
      </c>
      <c r="C371">
        <v>2010</v>
      </c>
      <c r="D371" s="1">
        <v>0</v>
      </c>
      <c r="E371" s="1">
        <v>3190.38</v>
      </c>
      <c r="F371" t="s">
        <v>2761</v>
      </c>
      <c r="G371" t="str">
        <f>_xlfn.XLOOKUP(C371,tblCOA[AccountNo],tblCOA[AccountName],"Unmapped")</f>
        <v>Accounts Payable</v>
      </c>
      <c r="H371" t="str">
        <f>_xlfn.XLOOKUP(C371,tblCOA[AccountNo],tblCOA[Category],"Unmapped")</f>
        <v>Liabilities</v>
      </c>
      <c r="I371" s="4">
        <f t="shared" si="15"/>
        <v>-3190.38</v>
      </c>
      <c r="J371">
        <f t="shared" si="16"/>
        <v>2023</v>
      </c>
      <c r="K371" s="5">
        <f t="shared" si="17"/>
        <v>45200</v>
      </c>
    </row>
    <row r="372" spans="1:11" x14ac:dyDescent="0.25">
      <c r="A372" t="s">
        <v>3610</v>
      </c>
      <c r="B372" s="3">
        <v>45204</v>
      </c>
      <c r="C372">
        <v>1200</v>
      </c>
      <c r="D372" s="1">
        <v>25656.69</v>
      </c>
      <c r="E372" s="1">
        <v>0</v>
      </c>
      <c r="F372" t="s">
        <v>3611</v>
      </c>
      <c r="G372" t="str">
        <f>_xlfn.XLOOKUP(C372,tblCOA[AccountNo],tblCOA[AccountName],"Unmapped")</f>
        <v>Accounts Receivable</v>
      </c>
      <c r="H372" t="str">
        <f>_xlfn.XLOOKUP(C372,tblCOA[AccountNo],tblCOA[Category],"Unmapped")</f>
        <v>Assets</v>
      </c>
      <c r="I372" s="4">
        <f t="shared" si="15"/>
        <v>25656.69</v>
      </c>
      <c r="J372">
        <f t="shared" si="16"/>
        <v>2023</v>
      </c>
      <c r="K372" s="5">
        <f t="shared" si="17"/>
        <v>45200</v>
      </c>
    </row>
    <row r="373" spans="1:11" x14ac:dyDescent="0.25">
      <c r="A373" t="s">
        <v>3612</v>
      </c>
      <c r="B373" s="3">
        <v>45204</v>
      </c>
      <c r="C373">
        <v>4010</v>
      </c>
      <c r="D373" s="1">
        <v>0</v>
      </c>
      <c r="E373" s="1">
        <v>25656.69</v>
      </c>
      <c r="F373" t="s">
        <v>3613</v>
      </c>
      <c r="G373" t="str">
        <f>_xlfn.XLOOKUP(C373,tblCOA[AccountNo],tblCOA[AccountName],"Unmapped")</f>
        <v>Product Sales</v>
      </c>
      <c r="H373" t="str">
        <f>_xlfn.XLOOKUP(C373,tblCOA[AccountNo],tblCOA[Category],"Unmapped")</f>
        <v>Revenue</v>
      </c>
      <c r="I373" s="4">
        <f t="shared" si="15"/>
        <v>-25656.69</v>
      </c>
      <c r="J373">
        <f t="shared" si="16"/>
        <v>2023</v>
      </c>
      <c r="K373" s="5">
        <f t="shared" si="17"/>
        <v>45200</v>
      </c>
    </row>
    <row r="374" spans="1:11" x14ac:dyDescent="0.25">
      <c r="A374" t="s">
        <v>1126</v>
      </c>
      <c r="B374" s="3">
        <v>45204</v>
      </c>
      <c r="C374">
        <v>5010</v>
      </c>
      <c r="D374" s="1">
        <v>15638.18</v>
      </c>
      <c r="E374" s="1">
        <v>0</v>
      </c>
      <c r="F374" t="s">
        <v>1127</v>
      </c>
      <c r="G374" t="str">
        <f>_xlfn.XLOOKUP(C374,tblCOA[AccountNo],tblCOA[AccountName],"Unmapped")</f>
        <v>Cost of Goods Sold</v>
      </c>
      <c r="H374" t="str">
        <f>_xlfn.XLOOKUP(C374,tblCOA[AccountNo],tblCOA[Category],"Unmapped")</f>
        <v>Expenses</v>
      </c>
      <c r="I374" s="4">
        <f t="shared" si="15"/>
        <v>15638.18</v>
      </c>
      <c r="J374">
        <f t="shared" si="16"/>
        <v>2023</v>
      </c>
      <c r="K374" s="5">
        <f t="shared" si="17"/>
        <v>45200</v>
      </c>
    </row>
    <row r="375" spans="1:11" x14ac:dyDescent="0.25">
      <c r="A375" t="s">
        <v>1128</v>
      </c>
      <c r="B375" s="3">
        <v>45204</v>
      </c>
      <c r="C375">
        <v>2010</v>
      </c>
      <c r="D375" s="1">
        <v>0</v>
      </c>
      <c r="E375" s="1">
        <v>15638.18</v>
      </c>
      <c r="F375" t="s">
        <v>1129</v>
      </c>
      <c r="G375" t="str">
        <f>_xlfn.XLOOKUP(C375,tblCOA[AccountNo],tblCOA[AccountName],"Unmapped")</f>
        <v>Accounts Payable</v>
      </c>
      <c r="H375" t="str">
        <f>_xlfn.XLOOKUP(C375,tblCOA[AccountNo],tblCOA[Category],"Unmapped")</f>
        <v>Liabilities</v>
      </c>
      <c r="I375" s="4">
        <f t="shared" si="15"/>
        <v>-15638.18</v>
      </c>
      <c r="J375">
        <f t="shared" si="16"/>
        <v>2023</v>
      </c>
      <c r="K375" s="5">
        <f t="shared" si="17"/>
        <v>45200</v>
      </c>
    </row>
    <row r="376" spans="1:11" x14ac:dyDescent="0.25">
      <c r="A376" t="s">
        <v>2550</v>
      </c>
      <c r="B376" s="3">
        <v>45205</v>
      </c>
      <c r="C376">
        <v>5010</v>
      </c>
      <c r="D376" s="1">
        <v>4100.7700000000004</v>
      </c>
      <c r="E376" s="1">
        <v>0</v>
      </c>
      <c r="F376" t="s">
        <v>2551</v>
      </c>
      <c r="G376" t="str">
        <f>_xlfn.XLOOKUP(C376,tblCOA[AccountNo],tblCOA[AccountName],"Unmapped")</f>
        <v>Cost of Goods Sold</v>
      </c>
      <c r="H376" t="str">
        <f>_xlfn.XLOOKUP(C376,tblCOA[AccountNo],tblCOA[Category],"Unmapped")</f>
        <v>Expenses</v>
      </c>
      <c r="I376" s="4">
        <f t="shared" si="15"/>
        <v>4100.7700000000004</v>
      </c>
      <c r="J376">
        <f t="shared" si="16"/>
        <v>2023</v>
      </c>
      <c r="K376" s="5">
        <f t="shared" si="17"/>
        <v>45200</v>
      </c>
    </row>
    <row r="377" spans="1:11" x14ac:dyDescent="0.25">
      <c r="A377" t="s">
        <v>2552</v>
      </c>
      <c r="B377" s="3">
        <v>45205</v>
      </c>
      <c r="C377">
        <v>2010</v>
      </c>
      <c r="D377" s="1">
        <v>0</v>
      </c>
      <c r="E377" s="1">
        <v>4100.7700000000004</v>
      </c>
      <c r="F377" t="s">
        <v>2553</v>
      </c>
      <c r="G377" t="str">
        <f>_xlfn.XLOOKUP(C377,tblCOA[AccountNo],tblCOA[AccountName],"Unmapped")</f>
        <v>Accounts Payable</v>
      </c>
      <c r="H377" t="str">
        <f>_xlfn.XLOOKUP(C377,tblCOA[AccountNo],tblCOA[Category],"Unmapped")</f>
        <v>Liabilities</v>
      </c>
      <c r="I377" s="4">
        <f t="shared" si="15"/>
        <v>-4100.7700000000004</v>
      </c>
      <c r="J377">
        <f t="shared" si="16"/>
        <v>2023</v>
      </c>
      <c r="K377" s="5">
        <f t="shared" si="17"/>
        <v>45200</v>
      </c>
    </row>
    <row r="378" spans="1:11" x14ac:dyDescent="0.25">
      <c r="A378" t="s">
        <v>1358</v>
      </c>
      <c r="B378" s="3">
        <v>45207</v>
      </c>
      <c r="C378">
        <v>5010</v>
      </c>
      <c r="D378" s="1">
        <v>2866.02</v>
      </c>
      <c r="E378" s="1">
        <v>0</v>
      </c>
      <c r="F378" t="s">
        <v>1359</v>
      </c>
      <c r="G378" t="str">
        <f>_xlfn.XLOOKUP(C378,tblCOA[AccountNo],tblCOA[AccountName],"Unmapped")</f>
        <v>Cost of Goods Sold</v>
      </c>
      <c r="H378" t="str">
        <f>_xlfn.XLOOKUP(C378,tblCOA[AccountNo],tblCOA[Category],"Unmapped")</f>
        <v>Expenses</v>
      </c>
      <c r="I378" s="4">
        <f t="shared" si="15"/>
        <v>2866.02</v>
      </c>
      <c r="J378">
        <f t="shared" si="16"/>
        <v>2023</v>
      </c>
      <c r="K378" s="5">
        <f t="shared" si="17"/>
        <v>45200</v>
      </c>
    </row>
    <row r="379" spans="1:11" x14ac:dyDescent="0.25">
      <c r="A379" t="s">
        <v>1360</v>
      </c>
      <c r="B379" s="3">
        <v>45207</v>
      </c>
      <c r="C379">
        <v>2010</v>
      </c>
      <c r="D379" s="1">
        <v>0</v>
      </c>
      <c r="E379" s="1">
        <v>2866.02</v>
      </c>
      <c r="F379" t="s">
        <v>1361</v>
      </c>
      <c r="G379" t="str">
        <f>_xlfn.XLOOKUP(C379,tblCOA[AccountNo],tblCOA[AccountName],"Unmapped")</f>
        <v>Accounts Payable</v>
      </c>
      <c r="H379" t="str">
        <f>_xlfn.XLOOKUP(C379,tblCOA[AccountNo],tblCOA[Category],"Unmapped")</f>
        <v>Liabilities</v>
      </c>
      <c r="I379" s="4">
        <f t="shared" si="15"/>
        <v>-2866.02</v>
      </c>
      <c r="J379">
        <f t="shared" si="16"/>
        <v>2023</v>
      </c>
      <c r="K379" s="5">
        <f t="shared" si="17"/>
        <v>45200</v>
      </c>
    </row>
    <row r="380" spans="1:11" x14ac:dyDescent="0.25">
      <c r="A380" t="s">
        <v>1874</v>
      </c>
      <c r="B380" s="3">
        <v>45209</v>
      </c>
      <c r="C380">
        <v>1200</v>
      </c>
      <c r="D380" s="1">
        <v>46192.7</v>
      </c>
      <c r="E380" s="1">
        <v>0</v>
      </c>
      <c r="F380" t="s">
        <v>1875</v>
      </c>
      <c r="G380" t="str">
        <f>_xlfn.XLOOKUP(C380,tblCOA[AccountNo],tblCOA[AccountName],"Unmapped")</f>
        <v>Accounts Receivable</v>
      </c>
      <c r="H380" t="str">
        <f>_xlfn.XLOOKUP(C380,tblCOA[AccountNo],tblCOA[Category],"Unmapped")</f>
        <v>Assets</v>
      </c>
      <c r="I380" s="4">
        <f t="shared" si="15"/>
        <v>46192.7</v>
      </c>
      <c r="J380">
        <f t="shared" si="16"/>
        <v>2023</v>
      </c>
      <c r="K380" s="5">
        <f t="shared" si="17"/>
        <v>45200</v>
      </c>
    </row>
    <row r="381" spans="1:11" x14ac:dyDescent="0.25">
      <c r="A381" t="s">
        <v>1876</v>
      </c>
      <c r="B381" s="3">
        <v>45209</v>
      </c>
      <c r="C381">
        <v>4010</v>
      </c>
      <c r="D381" s="1">
        <v>0</v>
      </c>
      <c r="E381" s="1">
        <v>46192.7</v>
      </c>
      <c r="F381" t="s">
        <v>1877</v>
      </c>
      <c r="G381" t="str">
        <f>_xlfn.XLOOKUP(C381,tblCOA[AccountNo],tblCOA[AccountName],"Unmapped")</f>
        <v>Product Sales</v>
      </c>
      <c r="H381" t="str">
        <f>_xlfn.XLOOKUP(C381,tblCOA[AccountNo],tblCOA[Category],"Unmapped")</f>
        <v>Revenue</v>
      </c>
      <c r="I381" s="4">
        <f t="shared" si="15"/>
        <v>-46192.7</v>
      </c>
      <c r="J381">
        <f t="shared" si="16"/>
        <v>2023</v>
      </c>
      <c r="K381" s="5">
        <f t="shared" si="17"/>
        <v>45200</v>
      </c>
    </row>
    <row r="382" spans="1:11" x14ac:dyDescent="0.25">
      <c r="A382" t="s">
        <v>390</v>
      </c>
      <c r="B382" s="3">
        <v>45210</v>
      </c>
      <c r="C382">
        <v>5010</v>
      </c>
      <c r="D382" s="1">
        <v>10728.64</v>
      </c>
      <c r="E382" s="1">
        <v>0</v>
      </c>
      <c r="F382" t="s">
        <v>391</v>
      </c>
      <c r="G382" t="str">
        <f>_xlfn.XLOOKUP(C382,tblCOA[AccountNo],tblCOA[AccountName],"Unmapped")</f>
        <v>Cost of Goods Sold</v>
      </c>
      <c r="H382" t="str">
        <f>_xlfn.XLOOKUP(C382,tblCOA[AccountNo],tblCOA[Category],"Unmapped")</f>
        <v>Expenses</v>
      </c>
      <c r="I382" s="4">
        <f t="shared" si="15"/>
        <v>10728.64</v>
      </c>
      <c r="J382">
        <f t="shared" si="16"/>
        <v>2023</v>
      </c>
      <c r="K382" s="5">
        <f t="shared" si="17"/>
        <v>45200</v>
      </c>
    </row>
    <row r="383" spans="1:11" x14ac:dyDescent="0.25">
      <c r="A383" t="s">
        <v>392</v>
      </c>
      <c r="B383" s="3">
        <v>45210</v>
      </c>
      <c r="C383">
        <v>2010</v>
      </c>
      <c r="D383" s="1">
        <v>0</v>
      </c>
      <c r="E383" s="1">
        <v>10728.64</v>
      </c>
      <c r="F383" t="s">
        <v>393</v>
      </c>
      <c r="G383" t="str">
        <f>_xlfn.XLOOKUP(C383,tblCOA[AccountNo],tblCOA[AccountName],"Unmapped")</f>
        <v>Accounts Payable</v>
      </c>
      <c r="H383" t="str">
        <f>_xlfn.XLOOKUP(C383,tblCOA[AccountNo],tblCOA[Category],"Unmapped")</f>
        <v>Liabilities</v>
      </c>
      <c r="I383" s="4">
        <f t="shared" si="15"/>
        <v>-10728.64</v>
      </c>
      <c r="J383">
        <f t="shared" si="16"/>
        <v>2023</v>
      </c>
      <c r="K383" s="5">
        <f t="shared" si="17"/>
        <v>45200</v>
      </c>
    </row>
    <row r="384" spans="1:11" x14ac:dyDescent="0.25">
      <c r="A384" t="s">
        <v>1050</v>
      </c>
      <c r="B384" s="3">
        <v>45210</v>
      </c>
      <c r="C384">
        <v>1200</v>
      </c>
      <c r="D384" s="1">
        <v>3710.29</v>
      </c>
      <c r="E384" s="1">
        <v>0</v>
      </c>
      <c r="F384" t="s">
        <v>1051</v>
      </c>
      <c r="G384" t="str">
        <f>_xlfn.XLOOKUP(C384,tblCOA[AccountNo],tblCOA[AccountName],"Unmapped")</f>
        <v>Accounts Receivable</v>
      </c>
      <c r="H384" t="str">
        <f>_xlfn.XLOOKUP(C384,tblCOA[AccountNo],tblCOA[Category],"Unmapped")</f>
        <v>Assets</v>
      </c>
      <c r="I384" s="4">
        <f t="shared" si="15"/>
        <v>3710.29</v>
      </c>
      <c r="J384">
        <f t="shared" si="16"/>
        <v>2023</v>
      </c>
      <c r="K384" s="5">
        <f t="shared" si="17"/>
        <v>45200</v>
      </c>
    </row>
    <row r="385" spans="1:11" x14ac:dyDescent="0.25">
      <c r="A385" t="s">
        <v>1052</v>
      </c>
      <c r="B385" s="3">
        <v>45210</v>
      </c>
      <c r="C385">
        <v>4010</v>
      </c>
      <c r="D385" s="1">
        <v>0</v>
      </c>
      <c r="E385" s="1">
        <v>3710.29</v>
      </c>
      <c r="F385" t="s">
        <v>1053</v>
      </c>
      <c r="G385" t="str">
        <f>_xlfn.XLOOKUP(C385,tblCOA[AccountNo],tblCOA[AccountName],"Unmapped")</f>
        <v>Product Sales</v>
      </c>
      <c r="H385" t="str">
        <f>_xlfn.XLOOKUP(C385,tblCOA[AccountNo],tblCOA[Category],"Unmapped")</f>
        <v>Revenue</v>
      </c>
      <c r="I385" s="4">
        <f t="shared" si="15"/>
        <v>-3710.29</v>
      </c>
      <c r="J385">
        <f t="shared" si="16"/>
        <v>2023</v>
      </c>
      <c r="K385" s="5">
        <f t="shared" si="17"/>
        <v>45200</v>
      </c>
    </row>
    <row r="386" spans="1:11" x14ac:dyDescent="0.25">
      <c r="A386" t="s">
        <v>24</v>
      </c>
      <c r="B386" s="3">
        <v>45213</v>
      </c>
      <c r="C386">
        <v>2010</v>
      </c>
      <c r="D386" s="1">
        <v>0</v>
      </c>
      <c r="E386" s="1">
        <v>13478.55</v>
      </c>
      <c r="F386" t="s">
        <v>25</v>
      </c>
      <c r="G386" t="str">
        <f>_xlfn.XLOOKUP(C386,tblCOA[AccountNo],tblCOA[AccountName],"Unmapped")</f>
        <v>Accounts Payable</v>
      </c>
      <c r="H386" t="str">
        <f>_xlfn.XLOOKUP(C386,tblCOA[AccountNo],tblCOA[Category],"Unmapped")</f>
        <v>Liabilities</v>
      </c>
      <c r="I386" s="4">
        <f t="shared" ref="I386:I449" si="18">D386-E386</f>
        <v>-13478.55</v>
      </c>
      <c r="J386">
        <f t="shared" ref="J386:J449" si="19">YEAR(B386)</f>
        <v>2023</v>
      </c>
      <c r="K386" s="5">
        <f t="shared" ref="K386:K449" si="20">DATE(YEAR(B386),MONTH(B386),1)</f>
        <v>45200</v>
      </c>
    </row>
    <row r="387" spans="1:11" x14ac:dyDescent="0.25">
      <c r="A387" t="s">
        <v>22</v>
      </c>
      <c r="B387" s="3">
        <v>45213</v>
      </c>
      <c r="C387">
        <v>5010</v>
      </c>
      <c r="D387" s="1">
        <v>13478.55</v>
      </c>
      <c r="E387" s="1">
        <v>0</v>
      </c>
      <c r="F387" t="s">
        <v>23</v>
      </c>
      <c r="G387" t="str">
        <f>_xlfn.XLOOKUP(C387,tblCOA[AccountNo],tblCOA[AccountName],"Unmapped")</f>
        <v>Cost of Goods Sold</v>
      </c>
      <c r="H387" t="str">
        <f>_xlfn.XLOOKUP(C387,tblCOA[AccountNo],tblCOA[Category],"Unmapped")</f>
        <v>Expenses</v>
      </c>
      <c r="I387" s="4">
        <f t="shared" si="18"/>
        <v>13478.55</v>
      </c>
      <c r="J387">
        <f t="shared" si="19"/>
        <v>2023</v>
      </c>
      <c r="K387" s="5">
        <f t="shared" si="20"/>
        <v>45200</v>
      </c>
    </row>
    <row r="388" spans="1:11" x14ac:dyDescent="0.25">
      <c r="A388" t="s">
        <v>3766</v>
      </c>
      <c r="B388" s="3">
        <v>45214</v>
      </c>
      <c r="C388">
        <v>5010</v>
      </c>
      <c r="D388" s="1">
        <v>16142.71</v>
      </c>
      <c r="E388" s="1">
        <v>0</v>
      </c>
      <c r="F388" t="s">
        <v>3767</v>
      </c>
      <c r="G388" t="str">
        <f>_xlfn.XLOOKUP(C388,tblCOA[AccountNo],tblCOA[AccountName],"Unmapped")</f>
        <v>Cost of Goods Sold</v>
      </c>
      <c r="H388" t="str">
        <f>_xlfn.XLOOKUP(C388,tblCOA[AccountNo],tblCOA[Category],"Unmapped")</f>
        <v>Expenses</v>
      </c>
      <c r="I388" s="4">
        <f t="shared" si="18"/>
        <v>16142.71</v>
      </c>
      <c r="J388">
        <f t="shared" si="19"/>
        <v>2023</v>
      </c>
      <c r="K388" s="5">
        <f t="shared" si="20"/>
        <v>45200</v>
      </c>
    </row>
    <row r="389" spans="1:11" x14ac:dyDescent="0.25">
      <c r="A389" t="s">
        <v>3768</v>
      </c>
      <c r="B389" s="3">
        <v>45214</v>
      </c>
      <c r="C389">
        <v>2010</v>
      </c>
      <c r="D389" s="1">
        <v>0</v>
      </c>
      <c r="E389" s="1">
        <v>16142.71</v>
      </c>
      <c r="F389" t="s">
        <v>3769</v>
      </c>
      <c r="G389" t="str">
        <f>_xlfn.XLOOKUP(C389,tblCOA[AccountNo],tblCOA[AccountName],"Unmapped")</f>
        <v>Accounts Payable</v>
      </c>
      <c r="H389" t="str">
        <f>_xlfn.XLOOKUP(C389,tblCOA[AccountNo],tblCOA[Category],"Unmapped")</f>
        <v>Liabilities</v>
      </c>
      <c r="I389" s="4">
        <f t="shared" si="18"/>
        <v>-16142.71</v>
      </c>
      <c r="J389">
        <f t="shared" si="19"/>
        <v>2023</v>
      </c>
      <c r="K389" s="5">
        <f t="shared" si="20"/>
        <v>45200</v>
      </c>
    </row>
    <row r="390" spans="1:11" x14ac:dyDescent="0.25">
      <c r="A390" t="s">
        <v>1754</v>
      </c>
      <c r="B390" s="3">
        <v>45214</v>
      </c>
      <c r="C390">
        <v>1200</v>
      </c>
      <c r="D390" s="1">
        <v>18658.650000000001</v>
      </c>
      <c r="E390" s="1">
        <v>0</v>
      </c>
      <c r="F390" t="s">
        <v>1755</v>
      </c>
      <c r="G390" t="str">
        <f>_xlfn.XLOOKUP(C390,tblCOA[AccountNo],tblCOA[AccountName],"Unmapped")</f>
        <v>Accounts Receivable</v>
      </c>
      <c r="H390" t="str">
        <f>_xlfn.XLOOKUP(C390,tblCOA[AccountNo],tblCOA[Category],"Unmapped")</f>
        <v>Assets</v>
      </c>
      <c r="I390" s="4">
        <f t="shared" si="18"/>
        <v>18658.650000000001</v>
      </c>
      <c r="J390">
        <f t="shared" si="19"/>
        <v>2023</v>
      </c>
      <c r="K390" s="5">
        <f t="shared" si="20"/>
        <v>45200</v>
      </c>
    </row>
    <row r="391" spans="1:11" x14ac:dyDescent="0.25">
      <c r="A391" t="s">
        <v>1756</v>
      </c>
      <c r="B391" s="3">
        <v>45214</v>
      </c>
      <c r="C391">
        <v>4010</v>
      </c>
      <c r="D391" s="1">
        <v>0</v>
      </c>
      <c r="E391" s="1">
        <v>18658.650000000001</v>
      </c>
      <c r="F391" t="s">
        <v>1757</v>
      </c>
      <c r="G391" t="str">
        <f>_xlfn.XLOOKUP(C391,tblCOA[AccountNo],tblCOA[AccountName],"Unmapped")</f>
        <v>Product Sales</v>
      </c>
      <c r="H391" t="str">
        <f>_xlfn.XLOOKUP(C391,tblCOA[AccountNo],tblCOA[Category],"Unmapped")</f>
        <v>Revenue</v>
      </c>
      <c r="I391" s="4">
        <f t="shared" si="18"/>
        <v>-18658.650000000001</v>
      </c>
      <c r="J391">
        <f t="shared" si="19"/>
        <v>2023</v>
      </c>
      <c r="K391" s="5">
        <f t="shared" si="20"/>
        <v>45200</v>
      </c>
    </row>
    <row r="392" spans="1:11" x14ac:dyDescent="0.25">
      <c r="A392" t="s">
        <v>2462</v>
      </c>
      <c r="B392" s="3">
        <v>45215</v>
      </c>
      <c r="C392">
        <v>5010</v>
      </c>
      <c r="D392" s="1">
        <v>19101.41</v>
      </c>
      <c r="E392" s="1">
        <v>0</v>
      </c>
      <c r="F392" t="s">
        <v>2463</v>
      </c>
      <c r="G392" t="str">
        <f>_xlfn.XLOOKUP(C392,tblCOA[AccountNo],tblCOA[AccountName],"Unmapped")</f>
        <v>Cost of Goods Sold</v>
      </c>
      <c r="H392" t="str">
        <f>_xlfn.XLOOKUP(C392,tblCOA[AccountNo],tblCOA[Category],"Unmapped")</f>
        <v>Expenses</v>
      </c>
      <c r="I392" s="4">
        <f t="shared" si="18"/>
        <v>19101.41</v>
      </c>
      <c r="J392">
        <f t="shared" si="19"/>
        <v>2023</v>
      </c>
      <c r="K392" s="5">
        <f t="shared" si="20"/>
        <v>45200</v>
      </c>
    </row>
    <row r="393" spans="1:11" x14ac:dyDescent="0.25">
      <c r="A393" t="s">
        <v>2464</v>
      </c>
      <c r="B393" s="3">
        <v>45215</v>
      </c>
      <c r="C393">
        <v>2010</v>
      </c>
      <c r="D393" s="1">
        <v>0</v>
      </c>
      <c r="E393" s="1">
        <v>19101.41</v>
      </c>
      <c r="F393" t="s">
        <v>2465</v>
      </c>
      <c r="G393" t="str">
        <f>_xlfn.XLOOKUP(C393,tblCOA[AccountNo],tblCOA[AccountName],"Unmapped")</f>
        <v>Accounts Payable</v>
      </c>
      <c r="H393" t="str">
        <f>_xlfn.XLOOKUP(C393,tblCOA[AccountNo],tblCOA[Category],"Unmapped")</f>
        <v>Liabilities</v>
      </c>
      <c r="I393" s="4">
        <f t="shared" si="18"/>
        <v>-19101.41</v>
      </c>
      <c r="J393">
        <f t="shared" si="19"/>
        <v>2023</v>
      </c>
      <c r="K393" s="5">
        <f t="shared" si="20"/>
        <v>45200</v>
      </c>
    </row>
    <row r="394" spans="1:11" x14ac:dyDescent="0.25">
      <c r="A394" t="s">
        <v>2010</v>
      </c>
      <c r="B394" s="3">
        <v>45218</v>
      </c>
      <c r="C394">
        <v>1200</v>
      </c>
      <c r="D394" s="1">
        <v>10975.35</v>
      </c>
      <c r="E394" s="1">
        <v>0</v>
      </c>
      <c r="F394" t="s">
        <v>2011</v>
      </c>
      <c r="G394" t="str">
        <f>_xlfn.XLOOKUP(C394,tblCOA[AccountNo],tblCOA[AccountName],"Unmapped")</f>
        <v>Accounts Receivable</v>
      </c>
      <c r="H394" t="str">
        <f>_xlfn.XLOOKUP(C394,tblCOA[AccountNo],tblCOA[Category],"Unmapped")</f>
        <v>Assets</v>
      </c>
      <c r="I394" s="4">
        <f t="shared" si="18"/>
        <v>10975.35</v>
      </c>
      <c r="J394">
        <f t="shared" si="19"/>
        <v>2023</v>
      </c>
      <c r="K394" s="5">
        <f t="shared" si="20"/>
        <v>45200</v>
      </c>
    </row>
    <row r="395" spans="1:11" x14ac:dyDescent="0.25">
      <c r="A395" t="s">
        <v>2012</v>
      </c>
      <c r="B395" s="3">
        <v>45218</v>
      </c>
      <c r="C395">
        <v>4010</v>
      </c>
      <c r="D395" s="1">
        <v>0</v>
      </c>
      <c r="E395" s="1">
        <v>10975.35</v>
      </c>
      <c r="F395" t="s">
        <v>2013</v>
      </c>
      <c r="G395" t="str">
        <f>_xlfn.XLOOKUP(C395,tblCOA[AccountNo],tblCOA[AccountName],"Unmapped")</f>
        <v>Product Sales</v>
      </c>
      <c r="H395" t="str">
        <f>_xlfn.XLOOKUP(C395,tblCOA[AccountNo],tblCOA[Category],"Unmapped")</f>
        <v>Revenue</v>
      </c>
      <c r="I395" s="4">
        <f t="shared" si="18"/>
        <v>-10975.35</v>
      </c>
      <c r="J395">
        <f t="shared" si="19"/>
        <v>2023</v>
      </c>
      <c r="K395" s="5">
        <f t="shared" si="20"/>
        <v>45200</v>
      </c>
    </row>
    <row r="396" spans="1:11" x14ac:dyDescent="0.25">
      <c r="A396" t="s">
        <v>3386</v>
      </c>
      <c r="B396" s="3">
        <v>45218</v>
      </c>
      <c r="C396">
        <v>1200</v>
      </c>
      <c r="D396" s="1">
        <v>9274.36</v>
      </c>
      <c r="E396" s="1">
        <v>0</v>
      </c>
      <c r="F396" t="s">
        <v>3387</v>
      </c>
      <c r="G396" t="str">
        <f>_xlfn.XLOOKUP(C396,tblCOA[AccountNo],tblCOA[AccountName],"Unmapped")</f>
        <v>Accounts Receivable</v>
      </c>
      <c r="H396" t="str">
        <f>_xlfn.XLOOKUP(C396,tblCOA[AccountNo],tblCOA[Category],"Unmapped")</f>
        <v>Assets</v>
      </c>
      <c r="I396" s="4">
        <f t="shared" si="18"/>
        <v>9274.36</v>
      </c>
      <c r="J396">
        <f t="shared" si="19"/>
        <v>2023</v>
      </c>
      <c r="K396" s="5">
        <f t="shared" si="20"/>
        <v>45200</v>
      </c>
    </row>
    <row r="397" spans="1:11" x14ac:dyDescent="0.25">
      <c r="A397" t="s">
        <v>3388</v>
      </c>
      <c r="B397" s="3">
        <v>45218</v>
      </c>
      <c r="C397">
        <v>4010</v>
      </c>
      <c r="D397" s="1">
        <v>0</v>
      </c>
      <c r="E397" s="1">
        <v>9274.36</v>
      </c>
      <c r="F397" t="s">
        <v>3389</v>
      </c>
      <c r="G397" t="str">
        <f>_xlfn.XLOOKUP(C397,tblCOA[AccountNo],tblCOA[AccountName],"Unmapped")</f>
        <v>Product Sales</v>
      </c>
      <c r="H397" t="str">
        <f>_xlfn.XLOOKUP(C397,tblCOA[AccountNo],tblCOA[Category],"Unmapped")</f>
        <v>Revenue</v>
      </c>
      <c r="I397" s="4">
        <f t="shared" si="18"/>
        <v>-9274.36</v>
      </c>
      <c r="J397">
        <f t="shared" si="19"/>
        <v>2023</v>
      </c>
      <c r="K397" s="5">
        <f t="shared" si="20"/>
        <v>45200</v>
      </c>
    </row>
    <row r="398" spans="1:11" x14ac:dyDescent="0.25">
      <c r="A398" t="s">
        <v>1206</v>
      </c>
      <c r="B398" s="3">
        <v>45220</v>
      </c>
      <c r="C398">
        <v>5010</v>
      </c>
      <c r="D398" s="1">
        <v>11805.38</v>
      </c>
      <c r="E398" s="1">
        <v>0</v>
      </c>
      <c r="F398" t="s">
        <v>1207</v>
      </c>
      <c r="G398" t="str">
        <f>_xlfn.XLOOKUP(C398,tblCOA[AccountNo],tblCOA[AccountName],"Unmapped")</f>
        <v>Cost of Goods Sold</v>
      </c>
      <c r="H398" t="str">
        <f>_xlfn.XLOOKUP(C398,tblCOA[AccountNo],tblCOA[Category],"Unmapped")</f>
        <v>Expenses</v>
      </c>
      <c r="I398" s="4">
        <f t="shared" si="18"/>
        <v>11805.38</v>
      </c>
      <c r="J398">
        <f t="shared" si="19"/>
        <v>2023</v>
      </c>
      <c r="K398" s="5">
        <f t="shared" si="20"/>
        <v>45200</v>
      </c>
    </row>
    <row r="399" spans="1:11" x14ac:dyDescent="0.25">
      <c r="A399" t="s">
        <v>1208</v>
      </c>
      <c r="B399" s="3">
        <v>45220</v>
      </c>
      <c r="C399">
        <v>2010</v>
      </c>
      <c r="D399" s="1">
        <v>0</v>
      </c>
      <c r="E399" s="1">
        <v>11805.38</v>
      </c>
      <c r="F399" t="s">
        <v>1209</v>
      </c>
      <c r="G399" t="str">
        <f>_xlfn.XLOOKUP(C399,tblCOA[AccountNo],tblCOA[AccountName],"Unmapped")</f>
        <v>Accounts Payable</v>
      </c>
      <c r="H399" t="str">
        <f>_xlfn.XLOOKUP(C399,tblCOA[AccountNo],tblCOA[Category],"Unmapped")</f>
        <v>Liabilities</v>
      </c>
      <c r="I399" s="4">
        <f t="shared" si="18"/>
        <v>-11805.38</v>
      </c>
      <c r="J399">
        <f t="shared" si="19"/>
        <v>2023</v>
      </c>
      <c r="K399" s="5">
        <f t="shared" si="20"/>
        <v>45200</v>
      </c>
    </row>
    <row r="400" spans="1:11" x14ac:dyDescent="0.25">
      <c r="A400" t="s">
        <v>1326</v>
      </c>
      <c r="B400" s="3">
        <v>45221</v>
      </c>
      <c r="C400">
        <v>5010</v>
      </c>
      <c r="D400" s="1">
        <v>15368.38</v>
      </c>
      <c r="E400" s="1">
        <v>0</v>
      </c>
      <c r="F400" t="s">
        <v>1327</v>
      </c>
      <c r="G400" t="str">
        <f>_xlfn.XLOOKUP(C400,tblCOA[AccountNo],tblCOA[AccountName],"Unmapped")</f>
        <v>Cost of Goods Sold</v>
      </c>
      <c r="H400" t="str">
        <f>_xlfn.XLOOKUP(C400,tblCOA[AccountNo],tblCOA[Category],"Unmapped")</f>
        <v>Expenses</v>
      </c>
      <c r="I400" s="4">
        <f t="shared" si="18"/>
        <v>15368.38</v>
      </c>
      <c r="J400">
        <f t="shared" si="19"/>
        <v>2023</v>
      </c>
      <c r="K400" s="5">
        <f t="shared" si="20"/>
        <v>45200</v>
      </c>
    </row>
    <row r="401" spans="1:11" x14ac:dyDescent="0.25">
      <c r="A401" t="s">
        <v>1328</v>
      </c>
      <c r="B401" s="3">
        <v>45221</v>
      </c>
      <c r="C401">
        <v>2010</v>
      </c>
      <c r="D401" s="1">
        <v>0</v>
      </c>
      <c r="E401" s="1">
        <v>15368.38</v>
      </c>
      <c r="F401" t="s">
        <v>1329</v>
      </c>
      <c r="G401" t="str">
        <f>_xlfn.XLOOKUP(C401,tblCOA[AccountNo],tblCOA[AccountName],"Unmapped")</f>
        <v>Accounts Payable</v>
      </c>
      <c r="H401" t="str">
        <f>_xlfn.XLOOKUP(C401,tblCOA[AccountNo],tblCOA[Category],"Unmapped")</f>
        <v>Liabilities</v>
      </c>
      <c r="I401" s="4">
        <f t="shared" si="18"/>
        <v>-15368.38</v>
      </c>
      <c r="J401">
        <f t="shared" si="19"/>
        <v>2023</v>
      </c>
      <c r="K401" s="5">
        <f t="shared" si="20"/>
        <v>45200</v>
      </c>
    </row>
    <row r="402" spans="1:11" x14ac:dyDescent="0.25">
      <c r="A402" t="s">
        <v>1902</v>
      </c>
      <c r="B402" s="3">
        <v>45222</v>
      </c>
      <c r="C402">
        <v>5010</v>
      </c>
      <c r="D402" s="1">
        <v>14493.45</v>
      </c>
      <c r="E402" s="1">
        <v>0</v>
      </c>
      <c r="F402" t="s">
        <v>1903</v>
      </c>
      <c r="G402" t="str">
        <f>_xlfn.XLOOKUP(C402,tblCOA[AccountNo],tblCOA[AccountName],"Unmapped")</f>
        <v>Cost of Goods Sold</v>
      </c>
      <c r="H402" t="str">
        <f>_xlfn.XLOOKUP(C402,tblCOA[AccountNo],tblCOA[Category],"Unmapped")</f>
        <v>Expenses</v>
      </c>
      <c r="I402" s="4">
        <f t="shared" si="18"/>
        <v>14493.45</v>
      </c>
      <c r="J402">
        <f t="shared" si="19"/>
        <v>2023</v>
      </c>
      <c r="K402" s="5">
        <f t="shared" si="20"/>
        <v>45200</v>
      </c>
    </row>
    <row r="403" spans="1:11" x14ac:dyDescent="0.25">
      <c r="A403" t="s">
        <v>1904</v>
      </c>
      <c r="B403" s="3">
        <v>45222</v>
      </c>
      <c r="C403">
        <v>2010</v>
      </c>
      <c r="D403" s="1">
        <v>0</v>
      </c>
      <c r="E403" s="1">
        <v>14493.45</v>
      </c>
      <c r="F403" t="s">
        <v>1905</v>
      </c>
      <c r="G403" t="str">
        <f>_xlfn.XLOOKUP(C403,tblCOA[AccountNo],tblCOA[AccountName],"Unmapped")</f>
        <v>Accounts Payable</v>
      </c>
      <c r="H403" t="str">
        <f>_xlfn.XLOOKUP(C403,tblCOA[AccountNo],tblCOA[Category],"Unmapped")</f>
        <v>Liabilities</v>
      </c>
      <c r="I403" s="4">
        <f t="shared" si="18"/>
        <v>-14493.45</v>
      </c>
      <c r="J403">
        <f t="shared" si="19"/>
        <v>2023</v>
      </c>
      <c r="K403" s="5">
        <f t="shared" si="20"/>
        <v>45200</v>
      </c>
    </row>
    <row r="404" spans="1:11" x14ac:dyDescent="0.25">
      <c r="A404" t="s">
        <v>2118</v>
      </c>
      <c r="B404" s="3">
        <v>45226</v>
      </c>
      <c r="C404">
        <v>5010</v>
      </c>
      <c r="D404" s="1">
        <v>4522.32</v>
      </c>
      <c r="E404" s="1">
        <v>0</v>
      </c>
      <c r="F404" t="s">
        <v>2119</v>
      </c>
      <c r="G404" t="str">
        <f>_xlfn.XLOOKUP(C404,tblCOA[AccountNo],tblCOA[AccountName],"Unmapped")</f>
        <v>Cost of Goods Sold</v>
      </c>
      <c r="H404" t="str">
        <f>_xlfn.XLOOKUP(C404,tblCOA[AccountNo],tblCOA[Category],"Unmapped")</f>
        <v>Expenses</v>
      </c>
      <c r="I404" s="4">
        <f t="shared" si="18"/>
        <v>4522.32</v>
      </c>
      <c r="J404">
        <f t="shared" si="19"/>
        <v>2023</v>
      </c>
      <c r="K404" s="5">
        <f t="shared" si="20"/>
        <v>45200</v>
      </c>
    </row>
    <row r="405" spans="1:11" x14ac:dyDescent="0.25">
      <c r="A405" t="s">
        <v>2120</v>
      </c>
      <c r="B405" s="3">
        <v>45226</v>
      </c>
      <c r="C405">
        <v>2010</v>
      </c>
      <c r="D405" s="1">
        <v>0</v>
      </c>
      <c r="E405" s="1">
        <v>4522.32</v>
      </c>
      <c r="F405" t="s">
        <v>2121</v>
      </c>
      <c r="G405" t="str">
        <f>_xlfn.XLOOKUP(C405,tblCOA[AccountNo],tblCOA[AccountName],"Unmapped")</f>
        <v>Accounts Payable</v>
      </c>
      <c r="H405" t="str">
        <f>_xlfn.XLOOKUP(C405,tblCOA[AccountNo],tblCOA[Category],"Unmapped")</f>
        <v>Liabilities</v>
      </c>
      <c r="I405" s="4">
        <f t="shared" si="18"/>
        <v>-4522.32</v>
      </c>
      <c r="J405">
        <f t="shared" si="19"/>
        <v>2023</v>
      </c>
      <c r="K405" s="5">
        <f t="shared" si="20"/>
        <v>45200</v>
      </c>
    </row>
    <row r="406" spans="1:11" x14ac:dyDescent="0.25">
      <c r="A406" t="s">
        <v>3974</v>
      </c>
      <c r="B406" s="3">
        <v>45226</v>
      </c>
      <c r="C406">
        <v>5010</v>
      </c>
      <c r="D406" s="1">
        <v>3351.43</v>
      </c>
      <c r="E406" s="1">
        <v>0</v>
      </c>
      <c r="F406" t="s">
        <v>3975</v>
      </c>
      <c r="G406" t="str">
        <f>_xlfn.XLOOKUP(C406,tblCOA[AccountNo],tblCOA[AccountName],"Unmapped")</f>
        <v>Cost of Goods Sold</v>
      </c>
      <c r="H406" t="str">
        <f>_xlfn.XLOOKUP(C406,tblCOA[AccountNo],tblCOA[Category],"Unmapped")</f>
        <v>Expenses</v>
      </c>
      <c r="I406" s="4">
        <f t="shared" si="18"/>
        <v>3351.43</v>
      </c>
      <c r="J406">
        <f t="shared" si="19"/>
        <v>2023</v>
      </c>
      <c r="K406" s="5">
        <f t="shared" si="20"/>
        <v>45200</v>
      </c>
    </row>
    <row r="407" spans="1:11" x14ac:dyDescent="0.25">
      <c r="A407" t="s">
        <v>3976</v>
      </c>
      <c r="B407" s="3">
        <v>45226</v>
      </c>
      <c r="C407">
        <v>2010</v>
      </c>
      <c r="D407" s="1">
        <v>0</v>
      </c>
      <c r="E407" s="1">
        <v>3351.43</v>
      </c>
      <c r="F407" t="s">
        <v>3977</v>
      </c>
      <c r="G407" t="str">
        <f>_xlfn.XLOOKUP(C407,tblCOA[AccountNo],tblCOA[AccountName],"Unmapped")</f>
        <v>Accounts Payable</v>
      </c>
      <c r="H407" t="str">
        <f>_xlfn.XLOOKUP(C407,tblCOA[AccountNo],tblCOA[Category],"Unmapped")</f>
        <v>Liabilities</v>
      </c>
      <c r="I407" s="4">
        <f t="shared" si="18"/>
        <v>-3351.43</v>
      </c>
      <c r="J407">
        <f t="shared" si="19"/>
        <v>2023</v>
      </c>
      <c r="K407" s="5">
        <f t="shared" si="20"/>
        <v>45200</v>
      </c>
    </row>
    <row r="408" spans="1:11" x14ac:dyDescent="0.25">
      <c r="A408" t="s">
        <v>1282</v>
      </c>
      <c r="B408" s="3">
        <v>45226</v>
      </c>
      <c r="C408">
        <v>1200</v>
      </c>
      <c r="D408" s="1">
        <v>44286.400000000001</v>
      </c>
      <c r="E408" s="1">
        <v>0</v>
      </c>
      <c r="F408" t="s">
        <v>1283</v>
      </c>
      <c r="G408" t="str">
        <f>_xlfn.XLOOKUP(C408,tblCOA[AccountNo],tblCOA[AccountName],"Unmapped")</f>
        <v>Accounts Receivable</v>
      </c>
      <c r="H408" t="str">
        <f>_xlfn.XLOOKUP(C408,tblCOA[AccountNo],tblCOA[Category],"Unmapped")</f>
        <v>Assets</v>
      </c>
      <c r="I408" s="4">
        <f t="shared" si="18"/>
        <v>44286.400000000001</v>
      </c>
      <c r="J408">
        <f t="shared" si="19"/>
        <v>2023</v>
      </c>
      <c r="K408" s="5">
        <f t="shared" si="20"/>
        <v>45200</v>
      </c>
    </row>
    <row r="409" spans="1:11" x14ac:dyDescent="0.25">
      <c r="A409" t="s">
        <v>1284</v>
      </c>
      <c r="B409" s="3">
        <v>45226</v>
      </c>
      <c r="C409">
        <v>4010</v>
      </c>
      <c r="D409" s="1">
        <v>0</v>
      </c>
      <c r="E409" s="1">
        <v>44286.400000000001</v>
      </c>
      <c r="F409" t="s">
        <v>1285</v>
      </c>
      <c r="G409" t="str">
        <f>_xlfn.XLOOKUP(C409,tblCOA[AccountNo],tblCOA[AccountName],"Unmapped")</f>
        <v>Product Sales</v>
      </c>
      <c r="H409" t="str">
        <f>_xlfn.XLOOKUP(C409,tblCOA[AccountNo],tblCOA[Category],"Unmapped")</f>
        <v>Revenue</v>
      </c>
      <c r="I409" s="4">
        <f t="shared" si="18"/>
        <v>-44286.400000000001</v>
      </c>
      <c r="J409">
        <f t="shared" si="19"/>
        <v>2023</v>
      </c>
      <c r="K409" s="5">
        <f t="shared" si="20"/>
        <v>45200</v>
      </c>
    </row>
    <row r="410" spans="1:11" x14ac:dyDescent="0.25">
      <c r="A410" t="s">
        <v>1314</v>
      </c>
      <c r="B410" s="3">
        <v>45226</v>
      </c>
      <c r="C410">
        <v>1200</v>
      </c>
      <c r="D410" s="1">
        <v>10880.11</v>
      </c>
      <c r="E410" s="1">
        <v>0</v>
      </c>
      <c r="F410" t="s">
        <v>1315</v>
      </c>
      <c r="G410" t="str">
        <f>_xlfn.XLOOKUP(C410,tblCOA[AccountNo],tblCOA[AccountName],"Unmapped")</f>
        <v>Accounts Receivable</v>
      </c>
      <c r="H410" t="str">
        <f>_xlfn.XLOOKUP(C410,tblCOA[AccountNo],tblCOA[Category],"Unmapped")</f>
        <v>Assets</v>
      </c>
      <c r="I410" s="4">
        <f t="shared" si="18"/>
        <v>10880.11</v>
      </c>
      <c r="J410">
        <f t="shared" si="19"/>
        <v>2023</v>
      </c>
      <c r="K410" s="5">
        <f t="shared" si="20"/>
        <v>45200</v>
      </c>
    </row>
    <row r="411" spans="1:11" x14ac:dyDescent="0.25">
      <c r="A411" t="s">
        <v>1316</v>
      </c>
      <c r="B411" s="3">
        <v>45226</v>
      </c>
      <c r="C411">
        <v>4010</v>
      </c>
      <c r="D411" s="1">
        <v>0</v>
      </c>
      <c r="E411" s="1">
        <v>10880.11</v>
      </c>
      <c r="F411" t="s">
        <v>1317</v>
      </c>
      <c r="G411" t="str">
        <f>_xlfn.XLOOKUP(C411,tblCOA[AccountNo],tblCOA[AccountName],"Unmapped")</f>
        <v>Product Sales</v>
      </c>
      <c r="H411" t="str">
        <f>_xlfn.XLOOKUP(C411,tblCOA[AccountNo],tblCOA[Category],"Unmapped")</f>
        <v>Revenue</v>
      </c>
      <c r="I411" s="4">
        <f t="shared" si="18"/>
        <v>-10880.11</v>
      </c>
      <c r="J411">
        <f t="shared" si="19"/>
        <v>2023</v>
      </c>
      <c r="K411" s="5">
        <f t="shared" si="20"/>
        <v>45200</v>
      </c>
    </row>
    <row r="412" spans="1:11" x14ac:dyDescent="0.25">
      <c r="A412" t="s">
        <v>566</v>
      </c>
      <c r="B412" s="3">
        <v>45227</v>
      </c>
      <c r="C412">
        <v>5010</v>
      </c>
      <c r="D412" s="1">
        <v>1941.47</v>
      </c>
      <c r="E412" s="1">
        <v>0</v>
      </c>
      <c r="F412" t="s">
        <v>567</v>
      </c>
      <c r="G412" t="str">
        <f>_xlfn.XLOOKUP(C412,tblCOA[AccountNo],tblCOA[AccountName],"Unmapped")</f>
        <v>Cost of Goods Sold</v>
      </c>
      <c r="H412" t="str">
        <f>_xlfn.XLOOKUP(C412,tblCOA[AccountNo],tblCOA[Category],"Unmapped")</f>
        <v>Expenses</v>
      </c>
      <c r="I412" s="4">
        <f t="shared" si="18"/>
        <v>1941.47</v>
      </c>
      <c r="J412">
        <f t="shared" si="19"/>
        <v>2023</v>
      </c>
      <c r="K412" s="5">
        <f t="shared" si="20"/>
        <v>45200</v>
      </c>
    </row>
    <row r="413" spans="1:11" x14ac:dyDescent="0.25">
      <c r="A413" t="s">
        <v>568</v>
      </c>
      <c r="B413" s="3">
        <v>45227</v>
      </c>
      <c r="C413">
        <v>2010</v>
      </c>
      <c r="D413" s="1">
        <v>0</v>
      </c>
      <c r="E413" s="1">
        <v>1941.47</v>
      </c>
      <c r="F413" t="s">
        <v>569</v>
      </c>
      <c r="G413" t="str">
        <f>_xlfn.XLOOKUP(C413,tblCOA[AccountNo],tblCOA[AccountName],"Unmapped")</f>
        <v>Accounts Payable</v>
      </c>
      <c r="H413" t="str">
        <f>_xlfn.XLOOKUP(C413,tblCOA[AccountNo],tblCOA[Category],"Unmapped")</f>
        <v>Liabilities</v>
      </c>
      <c r="I413" s="4">
        <f t="shared" si="18"/>
        <v>-1941.47</v>
      </c>
      <c r="J413">
        <f t="shared" si="19"/>
        <v>2023</v>
      </c>
      <c r="K413" s="5">
        <f t="shared" si="20"/>
        <v>45200</v>
      </c>
    </row>
    <row r="414" spans="1:11" x14ac:dyDescent="0.25">
      <c r="A414" t="s">
        <v>786</v>
      </c>
      <c r="B414" s="3">
        <v>45227</v>
      </c>
      <c r="C414">
        <v>1200</v>
      </c>
      <c r="D414" s="1">
        <v>48993.99</v>
      </c>
      <c r="E414" s="1">
        <v>0</v>
      </c>
      <c r="F414" t="s">
        <v>787</v>
      </c>
      <c r="G414" t="str">
        <f>_xlfn.XLOOKUP(C414,tblCOA[AccountNo],tblCOA[AccountName],"Unmapped")</f>
        <v>Accounts Receivable</v>
      </c>
      <c r="H414" t="str">
        <f>_xlfn.XLOOKUP(C414,tblCOA[AccountNo],tblCOA[Category],"Unmapped")</f>
        <v>Assets</v>
      </c>
      <c r="I414" s="4">
        <f t="shared" si="18"/>
        <v>48993.99</v>
      </c>
      <c r="J414">
        <f t="shared" si="19"/>
        <v>2023</v>
      </c>
      <c r="K414" s="5">
        <f t="shared" si="20"/>
        <v>45200</v>
      </c>
    </row>
    <row r="415" spans="1:11" x14ac:dyDescent="0.25">
      <c r="A415" t="s">
        <v>788</v>
      </c>
      <c r="B415" s="3">
        <v>45227</v>
      </c>
      <c r="C415">
        <v>4010</v>
      </c>
      <c r="D415" s="1">
        <v>0</v>
      </c>
      <c r="E415" s="1">
        <v>48993.99</v>
      </c>
      <c r="F415" t="s">
        <v>789</v>
      </c>
      <c r="G415" t="str">
        <f>_xlfn.XLOOKUP(C415,tblCOA[AccountNo],tblCOA[AccountName],"Unmapped")</f>
        <v>Product Sales</v>
      </c>
      <c r="H415" t="str">
        <f>_xlfn.XLOOKUP(C415,tblCOA[AccountNo],tblCOA[Category],"Unmapped")</f>
        <v>Revenue</v>
      </c>
      <c r="I415" s="4">
        <f t="shared" si="18"/>
        <v>-48993.99</v>
      </c>
      <c r="J415">
        <f t="shared" si="19"/>
        <v>2023</v>
      </c>
      <c r="K415" s="5">
        <f t="shared" si="20"/>
        <v>45200</v>
      </c>
    </row>
    <row r="416" spans="1:11" x14ac:dyDescent="0.25">
      <c r="A416" t="s">
        <v>1994</v>
      </c>
      <c r="B416" s="3">
        <v>45230</v>
      </c>
      <c r="C416">
        <v>1200</v>
      </c>
      <c r="D416" s="1">
        <v>23437.93</v>
      </c>
      <c r="E416" s="1">
        <v>0</v>
      </c>
      <c r="F416" t="s">
        <v>1995</v>
      </c>
      <c r="G416" t="str">
        <f>_xlfn.XLOOKUP(C416,tblCOA[AccountNo],tblCOA[AccountName],"Unmapped")</f>
        <v>Accounts Receivable</v>
      </c>
      <c r="H416" t="str">
        <f>_xlfn.XLOOKUP(C416,tblCOA[AccountNo],tblCOA[Category],"Unmapped")</f>
        <v>Assets</v>
      </c>
      <c r="I416" s="4">
        <f t="shared" si="18"/>
        <v>23437.93</v>
      </c>
      <c r="J416">
        <f t="shared" si="19"/>
        <v>2023</v>
      </c>
      <c r="K416" s="5">
        <f t="shared" si="20"/>
        <v>45200</v>
      </c>
    </row>
    <row r="417" spans="1:11" x14ac:dyDescent="0.25">
      <c r="A417" t="s">
        <v>1996</v>
      </c>
      <c r="B417" s="3">
        <v>45230</v>
      </c>
      <c r="C417">
        <v>4010</v>
      </c>
      <c r="D417" s="1">
        <v>0</v>
      </c>
      <c r="E417" s="1">
        <v>23437.93</v>
      </c>
      <c r="F417" t="s">
        <v>1997</v>
      </c>
      <c r="G417" t="str">
        <f>_xlfn.XLOOKUP(C417,tblCOA[AccountNo],tblCOA[AccountName],"Unmapped")</f>
        <v>Product Sales</v>
      </c>
      <c r="H417" t="str">
        <f>_xlfn.XLOOKUP(C417,tblCOA[AccountNo],tblCOA[Category],"Unmapped")</f>
        <v>Revenue</v>
      </c>
      <c r="I417" s="4">
        <f t="shared" si="18"/>
        <v>-23437.93</v>
      </c>
      <c r="J417">
        <f t="shared" si="19"/>
        <v>2023</v>
      </c>
      <c r="K417" s="5">
        <f t="shared" si="20"/>
        <v>45200</v>
      </c>
    </row>
    <row r="418" spans="1:11" x14ac:dyDescent="0.25">
      <c r="A418" t="s">
        <v>506</v>
      </c>
      <c r="B418" s="3">
        <v>45231</v>
      </c>
      <c r="C418">
        <v>1200</v>
      </c>
      <c r="D418" s="1">
        <v>13577.65</v>
      </c>
      <c r="E418" s="1">
        <v>0</v>
      </c>
      <c r="F418" t="s">
        <v>507</v>
      </c>
      <c r="G418" t="str">
        <f>_xlfn.XLOOKUP(C418,tblCOA[AccountNo],tblCOA[AccountName],"Unmapped")</f>
        <v>Accounts Receivable</v>
      </c>
      <c r="H418" t="str">
        <f>_xlfn.XLOOKUP(C418,tblCOA[AccountNo],tblCOA[Category],"Unmapped")</f>
        <v>Assets</v>
      </c>
      <c r="I418" s="4">
        <f t="shared" si="18"/>
        <v>13577.65</v>
      </c>
      <c r="J418">
        <f t="shared" si="19"/>
        <v>2023</v>
      </c>
      <c r="K418" s="5">
        <f t="shared" si="20"/>
        <v>45231</v>
      </c>
    </row>
    <row r="419" spans="1:11" x14ac:dyDescent="0.25">
      <c r="A419" t="s">
        <v>508</v>
      </c>
      <c r="B419" s="3">
        <v>45231</v>
      </c>
      <c r="C419">
        <v>4010</v>
      </c>
      <c r="D419" s="1">
        <v>0</v>
      </c>
      <c r="E419" s="1">
        <v>13577.65</v>
      </c>
      <c r="F419" t="s">
        <v>509</v>
      </c>
      <c r="G419" t="str">
        <f>_xlfn.XLOOKUP(C419,tblCOA[AccountNo],tblCOA[AccountName],"Unmapped")</f>
        <v>Product Sales</v>
      </c>
      <c r="H419" t="str">
        <f>_xlfn.XLOOKUP(C419,tblCOA[AccountNo],tblCOA[Category],"Unmapped")</f>
        <v>Revenue</v>
      </c>
      <c r="I419" s="4">
        <f t="shared" si="18"/>
        <v>-13577.65</v>
      </c>
      <c r="J419">
        <f t="shared" si="19"/>
        <v>2023</v>
      </c>
      <c r="K419" s="5">
        <f t="shared" si="20"/>
        <v>45231</v>
      </c>
    </row>
    <row r="420" spans="1:11" x14ac:dyDescent="0.25">
      <c r="A420" t="s">
        <v>922</v>
      </c>
      <c r="B420" s="3">
        <v>45231</v>
      </c>
      <c r="C420">
        <v>1200</v>
      </c>
      <c r="D420" s="1">
        <v>47433.67</v>
      </c>
      <c r="E420" s="1">
        <v>0</v>
      </c>
      <c r="F420" t="s">
        <v>923</v>
      </c>
      <c r="G420" t="str">
        <f>_xlfn.XLOOKUP(C420,tblCOA[AccountNo],tblCOA[AccountName],"Unmapped")</f>
        <v>Accounts Receivable</v>
      </c>
      <c r="H420" t="str">
        <f>_xlfn.XLOOKUP(C420,tblCOA[AccountNo],tblCOA[Category],"Unmapped")</f>
        <v>Assets</v>
      </c>
      <c r="I420" s="4">
        <f t="shared" si="18"/>
        <v>47433.67</v>
      </c>
      <c r="J420">
        <f t="shared" si="19"/>
        <v>2023</v>
      </c>
      <c r="K420" s="5">
        <f t="shared" si="20"/>
        <v>45231</v>
      </c>
    </row>
    <row r="421" spans="1:11" x14ac:dyDescent="0.25">
      <c r="A421" t="s">
        <v>924</v>
      </c>
      <c r="B421" s="3">
        <v>45231</v>
      </c>
      <c r="C421">
        <v>4010</v>
      </c>
      <c r="D421" s="1">
        <v>0</v>
      </c>
      <c r="E421" s="1">
        <v>47433.67</v>
      </c>
      <c r="F421" t="s">
        <v>925</v>
      </c>
      <c r="G421" t="str">
        <f>_xlfn.XLOOKUP(C421,tblCOA[AccountNo],tblCOA[AccountName],"Unmapped")</f>
        <v>Product Sales</v>
      </c>
      <c r="H421" t="str">
        <f>_xlfn.XLOOKUP(C421,tblCOA[AccountNo],tblCOA[Category],"Unmapped")</f>
        <v>Revenue</v>
      </c>
      <c r="I421" s="4">
        <f t="shared" si="18"/>
        <v>-47433.67</v>
      </c>
      <c r="J421">
        <f t="shared" si="19"/>
        <v>2023</v>
      </c>
      <c r="K421" s="5">
        <f t="shared" si="20"/>
        <v>45231</v>
      </c>
    </row>
    <row r="422" spans="1:11" x14ac:dyDescent="0.25">
      <c r="A422" t="s">
        <v>258</v>
      </c>
      <c r="B422" s="3">
        <v>45232</v>
      </c>
      <c r="C422">
        <v>1200</v>
      </c>
      <c r="D422" s="1">
        <v>13540.9</v>
      </c>
      <c r="E422" s="1">
        <v>0</v>
      </c>
      <c r="F422" t="s">
        <v>259</v>
      </c>
      <c r="G422" t="str">
        <f>_xlfn.XLOOKUP(C422,tblCOA[AccountNo],tblCOA[AccountName],"Unmapped")</f>
        <v>Accounts Receivable</v>
      </c>
      <c r="H422" t="str">
        <f>_xlfn.XLOOKUP(C422,tblCOA[AccountNo],tblCOA[Category],"Unmapped")</f>
        <v>Assets</v>
      </c>
      <c r="I422" s="4">
        <f t="shared" si="18"/>
        <v>13540.9</v>
      </c>
      <c r="J422">
        <f t="shared" si="19"/>
        <v>2023</v>
      </c>
      <c r="K422" s="5">
        <f t="shared" si="20"/>
        <v>45231</v>
      </c>
    </row>
    <row r="423" spans="1:11" x14ac:dyDescent="0.25">
      <c r="A423" t="s">
        <v>260</v>
      </c>
      <c r="B423" s="3">
        <v>45232</v>
      </c>
      <c r="C423">
        <v>4010</v>
      </c>
      <c r="D423" s="1">
        <v>0</v>
      </c>
      <c r="E423" s="1">
        <v>13540.9</v>
      </c>
      <c r="F423" t="s">
        <v>261</v>
      </c>
      <c r="G423" t="str">
        <f>_xlfn.XLOOKUP(C423,tblCOA[AccountNo],tblCOA[AccountName],"Unmapped")</f>
        <v>Product Sales</v>
      </c>
      <c r="H423" t="str">
        <f>_xlfn.XLOOKUP(C423,tblCOA[AccountNo],tblCOA[Category],"Unmapped")</f>
        <v>Revenue</v>
      </c>
      <c r="I423" s="4">
        <f t="shared" si="18"/>
        <v>-13540.9</v>
      </c>
      <c r="J423">
        <f t="shared" si="19"/>
        <v>2023</v>
      </c>
      <c r="K423" s="5">
        <f t="shared" si="20"/>
        <v>45231</v>
      </c>
    </row>
    <row r="424" spans="1:11" x14ac:dyDescent="0.25">
      <c r="A424" t="s">
        <v>3954</v>
      </c>
      <c r="B424" s="3">
        <v>45232</v>
      </c>
      <c r="C424">
        <v>1200</v>
      </c>
      <c r="D424" s="1">
        <v>42686.33</v>
      </c>
      <c r="E424" s="1">
        <v>0</v>
      </c>
      <c r="F424" t="s">
        <v>3955</v>
      </c>
      <c r="G424" t="str">
        <f>_xlfn.XLOOKUP(C424,tblCOA[AccountNo],tblCOA[AccountName],"Unmapped")</f>
        <v>Accounts Receivable</v>
      </c>
      <c r="H424" t="str">
        <f>_xlfn.XLOOKUP(C424,tblCOA[AccountNo],tblCOA[Category],"Unmapped")</f>
        <v>Assets</v>
      </c>
      <c r="I424" s="4">
        <f t="shared" si="18"/>
        <v>42686.33</v>
      </c>
      <c r="J424">
        <f t="shared" si="19"/>
        <v>2023</v>
      </c>
      <c r="K424" s="5">
        <f t="shared" si="20"/>
        <v>45231</v>
      </c>
    </row>
    <row r="425" spans="1:11" x14ac:dyDescent="0.25">
      <c r="A425" t="s">
        <v>3956</v>
      </c>
      <c r="B425" s="3">
        <v>45232</v>
      </c>
      <c r="C425">
        <v>4010</v>
      </c>
      <c r="D425" s="1">
        <v>0</v>
      </c>
      <c r="E425" s="1">
        <v>42686.33</v>
      </c>
      <c r="F425" t="s">
        <v>3957</v>
      </c>
      <c r="G425" t="str">
        <f>_xlfn.XLOOKUP(C425,tblCOA[AccountNo],tblCOA[AccountName],"Unmapped")</f>
        <v>Product Sales</v>
      </c>
      <c r="H425" t="str">
        <f>_xlfn.XLOOKUP(C425,tblCOA[AccountNo],tblCOA[Category],"Unmapped")</f>
        <v>Revenue</v>
      </c>
      <c r="I425" s="4">
        <f t="shared" si="18"/>
        <v>-42686.33</v>
      </c>
      <c r="J425">
        <f t="shared" si="19"/>
        <v>2023</v>
      </c>
      <c r="K425" s="5">
        <f t="shared" si="20"/>
        <v>45231</v>
      </c>
    </row>
    <row r="426" spans="1:11" x14ac:dyDescent="0.25">
      <c r="A426" t="s">
        <v>2070</v>
      </c>
      <c r="B426" s="3">
        <v>45233</v>
      </c>
      <c r="C426">
        <v>5010</v>
      </c>
      <c r="D426" s="1">
        <v>1327.74</v>
      </c>
      <c r="E426" s="1">
        <v>0</v>
      </c>
      <c r="F426" t="s">
        <v>2071</v>
      </c>
      <c r="G426" t="str">
        <f>_xlfn.XLOOKUP(C426,tblCOA[AccountNo],tblCOA[AccountName],"Unmapped")</f>
        <v>Cost of Goods Sold</v>
      </c>
      <c r="H426" t="str">
        <f>_xlfn.XLOOKUP(C426,tblCOA[AccountNo],tblCOA[Category],"Unmapped")</f>
        <v>Expenses</v>
      </c>
      <c r="I426" s="4">
        <f t="shared" si="18"/>
        <v>1327.74</v>
      </c>
      <c r="J426">
        <f t="shared" si="19"/>
        <v>2023</v>
      </c>
      <c r="K426" s="5">
        <f t="shared" si="20"/>
        <v>45231</v>
      </c>
    </row>
    <row r="427" spans="1:11" x14ac:dyDescent="0.25">
      <c r="A427" t="s">
        <v>2072</v>
      </c>
      <c r="B427" s="3">
        <v>45233</v>
      </c>
      <c r="C427">
        <v>2010</v>
      </c>
      <c r="D427" s="1">
        <v>0</v>
      </c>
      <c r="E427" s="1">
        <v>1327.74</v>
      </c>
      <c r="F427" t="s">
        <v>2073</v>
      </c>
      <c r="G427" t="str">
        <f>_xlfn.XLOOKUP(C427,tblCOA[AccountNo],tblCOA[AccountName],"Unmapped")</f>
        <v>Accounts Payable</v>
      </c>
      <c r="H427" t="str">
        <f>_xlfn.XLOOKUP(C427,tblCOA[AccountNo],tblCOA[Category],"Unmapped")</f>
        <v>Liabilities</v>
      </c>
      <c r="I427" s="4">
        <f t="shared" si="18"/>
        <v>-1327.74</v>
      </c>
      <c r="J427">
        <f t="shared" si="19"/>
        <v>2023</v>
      </c>
      <c r="K427" s="5">
        <f t="shared" si="20"/>
        <v>45231</v>
      </c>
    </row>
    <row r="428" spans="1:11" x14ac:dyDescent="0.25">
      <c r="A428" t="s">
        <v>2506</v>
      </c>
      <c r="B428" s="3">
        <v>45234</v>
      </c>
      <c r="C428">
        <v>1200</v>
      </c>
      <c r="D428" s="1">
        <v>42557.74</v>
      </c>
      <c r="E428" s="1">
        <v>0</v>
      </c>
      <c r="F428" t="s">
        <v>2507</v>
      </c>
      <c r="G428" t="str">
        <f>_xlfn.XLOOKUP(C428,tblCOA[AccountNo],tblCOA[AccountName],"Unmapped")</f>
        <v>Accounts Receivable</v>
      </c>
      <c r="H428" t="str">
        <f>_xlfn.XLOOKUP(C428,tblCOA[AccountNo],tblCOA[Category],"Unmapped")</f>
        <v>Assets</v>
      </c>
      <c r="I428" s="4">
        <f t="shared" si="18"/>
        <v>42557.74</v>
      </c>
      <c r="J428">
        <f t="shared" si="19"/>
        <v>2023</v>
      </c>
      <c r="K428" s="5">
        <f t="shared" si="20"/>
        <v>45231</v>
      </c>
    </row>
    <row r="429" spans="1:11" x14ac:dyDescent="0.25">
      <c r="A429" t="s">
        <v>2508</v>
      </c>
      <c r="B429" s="3">
        <v>45234</v>
      </c>
      <c r="C429">
        <v>4010</v>
      </c>
      <c r="D429" s="1">
        <v>0</v>
      </c>
      <c r="E429" s="1">
        <v>42557.74</v>
      </c>
      <c r="F429" t="s">
        <v>2509</v>
      </c>
      <c r="G429" t="str">
        <f>_xlfn.XLOOKUP(C429,tblCOA[AccountNo],tblCOA[AccountName],"Unmapped")</f>
        <v>Product Sales</v>
      </c>
      <c r="H429" t="str">
        <f>_xlfn.XLOOKUP(C429,tblCOA[AccountNo],tblCOA[Category],"Unmapped")</f>
        <v>Revenue</v>
      </c>
      <c r="I429" s="4">
        <f t="shared" si="18"/>
        <v>-42557.74</v>
      </c>
      <c r="J429">
        <f t="shared" si="19"/>
        <v>2023</v>
      </c>
      <c r="K429" s="5">
        <f t="shared" si="20"/>
        <v>45231</v>
      </c>
    </row>
    <row r="430" spans="1:11" x14ac:dyDescent="0.25">
      <c r="A430" t="s">
        <v>3214</v>
      </c>
      <c r="B430" s="3">
        <v>45236</v>
      </c>
      <c r="C430">
        <v>5010</v>
      </c>
      <c r="D430" s="1">
        <v>9767.2099999999991</v>
      </c>
      <c r="E430" s="1">
        <v>0</v>
      </c>
      <c r="F430" t="s">
        <v>3215</v>
      </c>
      <c r="G430" t="str">
        <f>_xlfn.XLOOKUP(C430,tblCOA[AccountNo],tblCOA[AccountName],"Unmapped")</f>
        <v>Cost of Goods Sold</v>
      </c>
      <c r="H430" t="str">
        <f>_xlfn.XLOOKUP(C430,tblCOA[AccountNo],tblCOA[Category],"Unmapped")</f>
        <v>Expenses</v>
      </c>
      <c r="I430" s="4">
        <f t="shared" si="18"/>
        <v>9767.2099999999991</v>
      </c>
      <c r="J430">
        <f t="shared" si="19"/>
        <v>2023</v>
      </c>
      <c r="K430" s="5">
        <f t="shared" si="20"/>
        <v>45231</v>
      </c>
    </row>
    <row r="431" spans="1:11" x14ac:dyDescent="0.25">
      <c r="A431" t="s">
        <v>3216</v>
      </c>
      <c r="B431" s="3">
        <v>45236</v>
      </c>
      <c r="C431">
        <v>2010</v>
      </c>
      <c r="D431" s="1">
        <v>0</v>
      </c>
      <c r="E431" s="1">
        <v>9767.2099999999991</v>
      </c>
      <c r="F431" t="s">
        <v>3217</v>
      </c>
      <c r="G431" t="str">
        <f>_xlfn.XLOOKUP(C431,tblCOA[AccountNo],tblCOA[AccountName],"Unmapped")</f>
        <v>Accounts Payable</v>
      </c>
      <c r="H431" t="str">
        <f>_xlfn.XLOOKUP(C431,tblCOA[AccountNo],tblCOA[Category],"Unmapped")</f>
        <v>Liabilities</v>
      </c>
      <c r="I431" s="4">
        <f t="shared" si="18"/>
        <v>-9767.2099999999991</v>
      </c>
      <c r="J431">
        <f t="shared" si="19"/>
        <v>2023</v>
      </c>
      <c r="K431" s="5">
        <f t="shared" si="20"/>
        <v>45231</v>
      </c>
    </row>
    <row r="432" spans="1:11" x14ac:dyDescent="0.25">
      <c r="A432" t="s">
        <v>1294</v>
      </c>
      <c r="B432" s="3">
        <v>45236</v>
      </c>
      <c r="C432">
        <v>5010</v>
      </c>
      <c r="D432" s="1">
        <v>17497.599999999999</v>
      </c>
      <c r="E432" s="1">
        <v>0</v>
      </c>
      <c r="F432" t="s">
        <v>1295</v>
      </c>
      <c r="G432" t="str">
        <f>_xlfn.XLOOKUP(C432,tblCOA[AccountNo],tblCOA[AccountName],"Unmapped")</f>
        <v>Cost of Goods Sold</v>
      </c>
      <c r="H432" t="str">
        <f>_xlfn.XLOOKUP(C432,tblCOA[AccountNo],tblCOA[Category],"Unmapped")</f>
        <v>Expenses</v>
      </c>
      <c r="I432" s="4">
        <f t="shared" si="18"/>
        <v>17497.599999999999</v>
      </c>
      <c r="J432">
        <f t="shared" si="19"/>
        <v>2023</v>
      </c>
      <c r="K432" s="5">
        <f t="shared" si="20"/>
        <v>45231</v>
      </c>
    </row>
    <row r="433" spans="1:11" x14ac:dyDescent="0.25">
      <c r="A433" t="s">
        <v>1296</v>
      </c>
      <c r="B433" s="3">
        <v>45236</v>
      </c>
      <c r="C433">
        <v>2010</v>
      </c>
      <c r="D433" s="1">
        <v>0</v>
      </c>
      <c r="E433" s="1">
        <v>17497.599999999999</v>
      </c>
      <c r="F433" t="s">
        <v>1297</v>
      </c>
      <c r="G433" t="str">
        <f>_xlfn.XLOOKUP(C433,tblCOA[AccountNo],tblCOA[AccountName],"Unmapped")</f>
        <v>Accounts Payable</v>
      </c>
      <c r="H433" t="str">
        <f>_xlfn.XLOOKUP(C433,tblCOA[AccountNo],tblCOA[Category],"Unmapped")</f>
        <v>Liabilities</v>
      </c>
      <c r="I433" s="4">
        <f t="shared" si="18"/>
        <v>-17497.599999999999</v>
      </c>
      <c r="J433">
        <f t="shared" si="19"/>
        <v>2023</v>
      </c>
      <c r="K433" s="5">
        <f t="shared" si="20"/>
        <v>45231</v>
      </c>
    </row>
    <row r="434" spans="1:11" x14ac:dyDescent="0.25">
      <c r="A434" t="s">
        <v>3566</v>
      </c>
      <c r="B434" s="3">
        <v>45238</v>
      </c>
      <c r="C434">
        <v>5010</v>
      </c>
      <c r="D434" s="1">
        <v>1910.16</v>
      </c>
      <c r="E434" s="1">
        <v>0</v>
      </c>
      <c r="F434" t="s">
        <v>3567</v>
      </c>
      <c r="G434" t="str">
        <f>_xlfn.XLOOKUP(C434,tblCOA[AccountNo],tblCOA[AccountName],"Unmapped")</f>
        <v>Cost of Goods Sold</v>
      </c>
      <c r="H434" t="str">
        <f>_xlfn.XLOOKUP(C434,tblCOA[AccountNo],tblCOA[Category],"Unmapped")</f>
        <v>Expenses</v>
      </c>
      <c r="I434" s="4">
        <f t="shared" si="18"/>
        <v>1910.16</v>
      </c>
      <c r="J434">
        <f t="shared" si="19"/>
        <v>2023</v>
      </c>
      <c r="K434" s="5">
        <f t="shared" si="20"/>
        <v>45231</v>
      </c>
    </row>
    <row r="435" spans="1:11" x14ac:dyDescent="0.25">
      <c r="A435" t="s">
        <v>3568</v>
      </c>
      <c r="B435" s="3">
        <v>45238</v>
      </c>
      <c r="C435">
        <v>2010</v>
      </c>
      <c r="D435" s="1">
        <v>0</v>
      </c>
      <c r="E435" s="1">
        <v>1910.16</v>
      </c>
      <c r="F435" t="s">
        <v>3569</v>
      </c>
      <c r="G435" t="str">
        <f>_xlfn.XLOOKUP(C435,tblCOA[AccountNo],tblCOA[AccountName],"Unmapped")</f>
        <v>Accounts Payable</v>
      </c>
      <c r="H435" t="str">
        <f>_xlfn.XLOOKUP(C435,tblCOA[AccountNo],tblCOA[Category],"Unmapped")</f>
        <v>Liabilities</v>
      </c>
      <c r="I435" s="4">
        <f t="shared" si="18"/>
        <v>-1910.16</v>
      </c>
      <c r="J435">
        <f t="shared" si="19"/>
        <v>2023</v>
      </c>
      <c r="K435" s="5">
        <f t="shared" si="20"/>
        <v>45231</v>
      </c>
    </row>
    <row r="436" spans="1:11" x14ac:dyDescent="0.25">
      <c r="A436" t="s">
        <v>1686</v>
      </c>
      <c r="B436" s="3">
        <v>45239</v>
      </c>
      <c r="C436">
        <v>5010</v>
      </c>
      <c r="D436" s="1">
        <v>1872.82</v>
      </c>
      <c r="E436" s="1">
        <v>0</v>
      </c>
      <c r="F436" t="s">
        <v>1687</v>
      </c>
      <c r="G436" t="str">
        <f>_xlfn.XLOOKUP(C436,tblCOA[AccountNo],tblCOA[AccountName],"Unmapped")</f>
        <v>Cost of Goods Sold</v>
      </c>
      <c r="H436" t="str">
        <f>_xlfn.XLOOKUP(C436,tblCOA[AccountNo],tblCOA[Category],"Unmapped")</f>
        <v>Expenses</v>
      </c>
      <c r="I436" s="4">
        <f t="shared" si="18"/>
        <v>1872.82</v>
      </c>
      <c r="J436">
        <f t="shared" si="19"/>
        <v>2023</v>
      </c>
      <c r="K436" s="5">
        <f t="shared" si="20"/>
        <v>45231</v>
      </c>
    </row>
    <row r="437" spans="1:11" x14ac:dyDescent="0.25">
      <c r="A437" t="s">
        <v>1688</v>
      </c>
      <c r="B437" s="3">
        <v>45239</v>
      </c>
      <c r="C437">
        <v>2010</v>
      </c>
      <c r="D437" s="1">
        <v>0</v>
      </c>
      <c r="E437" s="1">
        <v>1872.82</v>
      </c>
      <c r="F437" t="s">
        <v>1689</v>
      </c>
      <c r="G437" t="str">
        <f>_xlfn.XLOOKUP(C437,tblCOA[AccountNo],tblCOA[AccountName],"Unmapped")</f>
        <v>Accounts Payable</v>
      </c>
      <c r="H437" t="str">
        <f>_xlfn.XLOOKUP(C437,tblCOA[AccountNo],tblCOA[Category],"Unmapped")</f>
        <v>Liabilities</v>
      </c>
      <c r="I437" s="4">
        <f t="shared" si="18"/>
        <v>-1872.82</v>
      </c>
      <c r="J437">
        <f t="shared" si="19"/>
        <v>2023</v>
      </c>
      <c r="K437" s="5">
        <f t="shared" si="20"/>
        <v>45231</v>
      </c>
    </row>
    <row r="438" spans="1:11" x14ac:dyDescent="0.25">
      <c r="A438" t="s">
        <v>2994</v>
      </c>
      <c r="B438" s="3">
        <v>45240</v>
      </c>
      <c r="C438">
        <v>1200</v>
      </c>
      <c r="D438" s="1">
        <v>48893.53</v>
      </c>
      <c r="E438" s="1">
        <v>0</v>
      </c>
      <c r="F438" t="s">
        <v>2995</v>
      </c>
      <c r="G438" t="str">
        <f>_xlfn.XLOOKUP(C438,tblCOA[AccountNo],tblCOA[AccountName],"Unmapped")</f>
        <v>Accounts Receivable</v>
      </c>
      <c r="H438" t="str">
        <f>_xlfn.XLOOKUP(C438,tblCOA[AccountNo],tblCOA[Category],"Unmapped")</f>
        <v>Assets</v>
      </c>
      <c r="I438" s="4">
        <f t="shared" si="18"/>
        <v>48893.53</v>
      </c>
      <c r="J438">
        <f t="shared" si="19"/>
        <v>2023</v>
      </c>
      <c r="K438" s="5">
        <f t="shared" si="20"/>
        <v>45231</v>
      </c>
    </row>
    <row r="439" spans="1:11" x14ac:dyDescent="0.25">
      <c r="A439" t="s">
        <v>2996</v>
      </c>
      <c r="B439" s="3">
        <v>45240</v>
      </c>
      <c r="C439">
        <v>4010</v>
      </c>
      <c r="D439" s="1">
        <v>0</v>
      </c>
      <c r="E439" s="1">
        <v>48893.53</v>
      </c>
      <c r="F439" t="s">
        <v>2997</v>
      </c>
      <c r="G439" t="str">
        <f>_xlfn.XLOOKUP(C439,tblCOA[AccountNo],tblCOA[AccountName],"Unmapped")</f>
        <v>Product Sales</v>
      </c>
      <c r="H439" t="str">
        <f>_xlfn.XLOOKUP(C439,tblCOA[AccountNo],tblCOA[Category],"Unmapped")</f>
        <v>Revenue</v>
      </c>
      <c r="I439" s="4">
        <f t="shared" si="18"/>
        <v>-48893.53</v>
      </c>
      <c r="J439">
        <f t="shared" si="19"/>
        <v>2023</v>
      </c>
      <c r="K439" s="5">
        <f t="shared" si="20"/>
        <v>45231</v>
      </c>
    </row>
    <row r="440" spans="1:11" x14ac:dyDescent="0.25">
      <c r="A440" t="s">
        <v>594</v>
      </c>
      <c r="B440" s="3">
        <v>45247</v>
      </c>
      <c r="C440">
        <v>1200</v>
      </c>
      <c r="D440" s="1">
        <v>48278.400000000001</v>
      </c>
      <c r="E440" s="1">
        <v>0</v>
      </c>
      <c r="F440" t="s">
        <v>595</v>
      </c>
      <c r="G440" t="str">
        <f>_xlfn.XLOOKUP(C440,tblCOA[AccountNo],tblCOA[AccountName],"Unmapped")</f>
        <v>Accounts Receivable</v>
      </c>
      <c r="H440" t="str">
        <f>_xlfn.XLOOKUP(C440,tblCOA[AccountNo],tblCOA[Category],"Unmapped")</f>
        <v>Assets</v>
      </c>
      <c r="I440" s="4">
        <f t="shared" si="18"/>
        <v>48278.400000000001</v>
      </c>
      <c r="J440">
        <f t="shared" si="19"/>
        <v>2023</v>
      </c>
      <c r="K440" s="5">
        <f t="shared" si="20"/>
        <v>45231</v>
      </c>
    </row>
    <row r="441" spans="1:11" x14ac:dyDescent="0.25">
      <c r="A441" t="s">
        <v>596</v>
      </c>
      <c r="B441" s="3">
        <v>45247</v>
      </c>
      <c r="C441">
        <v>4010</v>
      </c>
      <c r="D441" s="1">
        <v>0</v>
      </c>
      <c r="E441" s="1">
        <v>48278.400000000001</v>
      </c>
      <c r="F441" t="s">
        <v>597</v>
      </c>
      <c r="G441" t="str">
        <f>_xlfn.XLOOKUP(C441,tblCOA[AccountNo],tblCOA[AccountName],"Unmapped")</f>
        <v>Product Sales</v>
      </c>
      <c r="H441" t="str">
        <f>_xlfn.XLOOKUP(C441,tblCOA[AccountNo],tblCOA[Category],"Unmapped")</f>
        <v>Revenue</v>
      </c>
      <c r="I441" s="4">
        <f t="shared" si="18"/>
        <v>-48278.400000000001</v>
      </c>
      <c r="J441">
        <f t="shared" si="19"/>
        <v>2023</v>
      </c>
      <c r="K441" s="5">
        <f t="shared" si="20"/>
        <v>45231</v>
      </c>
    </row>
    <row r="442" spans="1:11" x14ac:dyDescent="0.25">
      <c r="A442" t="s">
        <v>2338</v>
      </c>
      <c r="B442" s="3">
        <v>45248</v>
      </c>
      <c r="C442">
        <v>1200</v>
      </c>
      <c r="D442" s="1">
        <v>33836.480000000003</v>
      </c>
      <c r="E442" s="1">
        <v>0</v>
      </c>
      <c r="F442" t="s">
        <v>2339</v>
      </c>
      <c r="G442" t="str">
        <f>_xlfn.XLOOKUP(C442,tblCOA[AccountNo],tblCOA[AccountName],"Unmapped")</f>
        <v>Accounts Receivable</v>
      </c>
      <c r="H442" t="str">
        <f>_xlfn.XLOOKUP(C442,tblCOA[AccountNo],tblCOA[Category],"Unmapped")</f>
        <v>Assets</v>
      </c>
      <c r="I442" s="4">
        <f t="shared" si="18"/>
        <v>33836.480000000003</v>
      </c>
      <c r="J442">
        <f t="shared" si="19"/>
        <v>2023</v>
      </c>
      <c r="K442" s="5">
        <f t="shared" si="20"/>
        <v>45231</v>
      </c>
    </row>
    <row r="443" spans="1:11" x14ac:dyDescent="0.25">
      <c r="A443" t="s">
        <v>2340</v>
      </c>
      <c r="B443" s="3">
        <v>45248</v>
      </c>
      <c r="C443">
        <v>4010</v>
      </c>
      <c r="D443" s="1">
        <v>0</v>
      </c>
      <c r="E443" s="1">
        <v>33836.480000000003</v>
      </c>
      <c r="F443" t="s">
        <v>2341</v>
      </c>
      <c r="G443" t="str">
        <f>_xlfn.XLOOKUP(C443,tblCOA[AccountNo],tblCOA[AccountName],"Unmapped")</f>
        <v>Product Sales</v>
      </c>
      <c r="H443" t="str">
        <f>_xlfn.XLOOKUP(C443,tblCOA[AccountNo],tblCOA[Category],"Unmapped")</f>
        <v>Revenue</v>
      </c>
      <c r="I443" s="4">
        <f t="shared" si="18"/>
        <v>-33836.480000000003</v>
      </c>
      <c r="J443">
        <f t="shared" si="19"/>
        <v>2023</v>
      </c>
      <c r="K443" s="5">
        <f t="shared" si="20"/>
        <v>45231</v>
      </c>
    </row>
    <row r="444" spans="1:11" x14ac:dyDescent="0.25">
      <c r="A444" t="s">
        <v>290</v>
      </c>
      <c r="B444" s="3">
        <v>45249</v>
      </c>
      <c r="C444">
        <v>1200</v>
      </c>
      <c r="D444" s="1">
        <v>38319.32</v>
      </c>
      <c r="E444" s="1">
        <v>0</v>
      </c>
      <c r="F444" t="s">
        <v>291</v>
      </c>
      <c r="G444" t="str">
        <f>_xlfn.XLOOKUP(C444,tblCOA[AccountNo],tblCOA[AccountName],"Unmapped")</f>
        <v>Accounts Receivable</v>
      </c>
      <c r="H444" t="str">
        <f>_xlfn.XLOOKUP(C444,tblCOA[AccountNo],tblCOA[Category],"Unmapped")</f>
        <v>Assets</v>
      </c>
      <c r="I444" s="4">
        <f t="shared" si="18"/>
        <v>38319.32</v>
      </c>
      <c r="J444">
        <f t="shared" si="19"/>
        <v>2023</v>
      </c>
      <c r="K444" s="5">
        <f t="shared" si="20"/>
        <v>45231</v>
      </c>
    </row>
    <row r="445" spans="1:11" x14ac:dyDescent="0.25">
      <c r="A445" t="s">
        <v>292</v>
      </c>
      <c r="B445" s="3">
        <v>45249</v>
      </c>
      <c r="C445">
        <v>4010</v>
      </c>
      <c r="D445" s="1">
        <v>0</v>
      </c>
      <c r="E445" s="1">
        <v>38319.32</v>
      </c>
      <c r="F445" t="s">
        <v>293</v>
      </c>
      <c r="G445" t="str">
        <f>_xlfn.XLOOKUP(C445,tblCOA[AccountNo],tblCOA[AccountName],"Unmapped")</f>
        <v>Product Sales</v>
      </c>
      <c r="H445" t="str">
        <f>_xlfn.XLOOKUP(C445,tblCOA[AccountNo],tblCOA[Category],"Unmapped")</f>
        <v>Revenue</v>
      </c>
      <c r="I445" s="4">
        <f t="shared" si="18"/>
        <v>-38319.32</v>
      </c>
      <c r="J445">
        <f t="shared" si="19"/>
        <v>2023</v>
      </c>
      <c r="K445" s="5">
        <f t="shared" si="20"/>
        <v>45231</v>
      </c>
    </row>
    <row r="446" spans="1:11" x14ac:dyDescent="0.25">
      <c r="A446" t="s">
        <v>1778</v>
      </c>
      <c r="B446" s="3">
        <v>45249</v>
      </c>
      <c r="C446">
        <v>1200</v>
      </c>
      <c r="D446" s="1">
        <v>48730.95</v>
      </c>
      <c r="E446" s="1">
        <v>0</v>
      </c>
      <c r="F446" t="s">
        <v>1779</v>
      </c>
      <c r="G446" t="str">
        <f>_xlfn.XLOOKUP(C446,tblCOA[AccountNo],tblCOA[AccountName],"Unmapped")</f>
        <v>Accounts Receivable</v>
      </c>
      <c r="H446" t="str">
        <f>_xlfn.XLOOKUP(C446,tblCOA[AccountNo],tblCOA[Category],"Unmapped")</f>
        <v>Assets</v>
      </c>
      <c r="I446" s="4">
        <f t="shared" si="18"/>
        <v>48730.95</v>
      </c>
      <c r="J446">
        <f t="shared" si="19"/>
        <v>2023</v>
      </c>
      <c r="K446" s="5">
        <f t="shared" si="20"/>
        <v>45231</v>
      </c>
    </row>
    <row r="447" spans="1:11" x14ac:dyDescent="0.25">
      <c r="A447" t="s">
        <v>1780</v>
      </c>
      <c r="B447" s="3">
        <v>45249</v>
      </c>
      <c r="C447">
        <v>4010</v>
      </c>
      <c r="D447" s="1">
        <v>0</v>
      </c>
      <c r="E447" s="1">
        <v>48730.95</v>
      </c>
      <c r="F447" t="s">
        <v>1781</v>
      </c>
      <c r="G447" t="str">
        <f>_xlfn.XLOOKUP(C447,tblCOA[AccountNo],tblCOA[AccountName],"Unmapped")</f>
        <v>Product Sales</v>
      </c>
      <c r="H447" t="str">
        <f>_xlfn.XLOOKUP(C447,tblCOA[AccountNo],tblCOA[Category],"Unmapped")</f>
        <v>Revenue</v>
      </c>
      <c r="I447" s="4">
        <f t="shared" si="18"/>
        <v>-48730.95</v>
      </c>
      <c r="J447">
        <f t="shared" si="19"/>
        <v>2023</v>
      </c>
      <c r="K447" s="5">
        <f t="shared" si="20"/>
        <v>45231</v>
      </c>
    </row>
    <row r="448" spans="1:11" x14ac:dyDescent="0.25">
      <c r="A448" t="s">
        <v>1962</v>
      </c>
      <c r="B448" s="3">
        <v>45249</v>
      </c>
      <c r="C448">
        <v>1200</v>
      </c>
      <c r="D448" s="1">
        <v>35185.08</v>
      </c>
      <c r="E448" s="1">
        <v>0</v>
      </c>
      <c r="F448" t="s">
        <v>1963</v>
      </c>
      <c r="G448" t="str">
        <f>_xlfn.XLOOKUP(C448,tblCOA[AccountNo],tblCOA[AccountName],"Unmapped")</f>
        <v>Accounts Receivable</v>
      </c>
      <c r="H448" t="str">
        <f>_xlfn.XLOOKUP(C448,tblCOA[AccountNo],tblCOA[Category],"Unmapped")</f>
        <v>Assets</v>
      </c>
      <c r="I448" s="4">
        <f t="shared" si="18"/>
        <v>35185.08</v>
      </c>
      <c r="J448">
        <f t="shared" si="19"/>
        <v>2023</v>
      </c>
      <c r="K448" s="5">
        <f t="shared" si="20"/>
        <v>45231</v>
      </c>
    </row>
    <row r="449" spans="1:11" x14ac:dyDescent="0.25">
      <c r="A449" t="s">
        <v>1964</v>
      </c>
      <c r="B449" s="3">
        <v>45249</v>
      </c>
      <c r="C449">
        <v>4010</v>
      </c>
      <c r="D449" s="1">
        <v>0</v>
      </c>
      <c r="E449" s="1">
        <v>35185.08</v>
      </c>
      <c r="F449" t="s">
        <v>1965</v>
      </c>
      <c r="G449" t="str">
        <f>_xlfn.XLOOKUP(C449,tblCOA[AccountNo],tblCOA[AccountName],"Unmapped")</f>
        <v>Product Sales</v>
      </c>
      <c r="H449" t="str">
        <f>_xlfn.XLOOKUP(C449,tblCOA[AccountNo],tblCOA[Category],"Unmapped")</f>
        <v>Revenue</v>
      </c>
      <c r="I449" s="4">
        <f t="shared" si="18"/>
        <v>-35185.08</v>
      </c>
      <c r="J449">
        <f t="shared" si="19"/>
        <v>2023</v>
      </c>
      <c r="K449" s="5">
        <f t="shared" si="20"/>
        <v>45231</v>
      </c>
    </row>
    <row r="450" spans="1:11" x14ac:dyDescent="0.25">
      <c r="A450" t="s">
        <v>2290</v>
      </c>
      <c r="B450" s="3">
        <v>45251</v>
      </c>
      <c r="C450">
        <v>1200</v>
      </c>
      <c r="D450" s="1">
        <v>17361.939999999999</v>
      </c>
      <c r="E450" s="1">
        <v>0</v>
      </c>
      <c r="F450" t="s">
        <v>2291</v>
      </c>
      <c r="G450" t="str">
        <f>_xlfn.XLOOKUP(C450,tblCOA[AccountNo],tblCOA[AccountName],"Unmapped")</f>
        <v>Accounts Receivable</v>
      </c>
      <c r="H450" t="str">
        <f>_xlfn.XLOOKUP(C450,tblCOA[AccountNo],tblCOA[Category],"Unmapped")</f>
        <v>Assets</v>
      </c>
      <c r="I450" s="4">
        <f t="shared" ref="I450:I513" si="21">D450-E450</f>
        <v>17361.939999999999</v>
      </c>
      <c r="J450">
        <f t="shared" ref="J450:J513" si="22">YEAR(B450)</f>
        <v>2023</v>
      </c>
      <c r="K450" s="5">
        <f t="shared" ref="K450:K513" si="23">DATE(YEAR(B450),MONTH(B450),1)</f>
        <v>45231</v>
      </c>
    </row>
    <row r="451" spans="1:11" x14ac:dyDescent="0.25">
      <c r="A451" t="s">
        <v>2292</v>
      </c>
      <c r="B451" s="3">
        <v>45251</v>
      </c>
      <c r="C451">
        <v>4010</v>
      </c>
      <c r="D451" s="1">
        <v>0</v>
      </c>
      <c r="E451" s="1">
        <v>17361.939999999999</v>
      </c>
      <c r="F451" t="s">
        <v>2293</v>
      </c>
      <c r="G451" t="str">
        <f>_xlfn.XLOOKUP(C451,tblCOA[AccountNo],tblCOA[AccountName],"Unmapped")</f>
        <v>Product Sales</v>
      </c>
      <c r="H451" t="str">
        <f>_xlfn.XLOOKUP(C451,tblCOA[AccountNo],tblCOA[Category],"Unmapped")</f>
        <v>Revenue</v>
      </c>
      <c r="I451" s="4">
        <f t="shared" si="21"/>
        <v>-17361.939999999999</v>
      </c>
      <c r="J451">
        <f t="shared" si="22"/>
        <v>2023</v>
      </c>
      <c r="K451" s="5">
        <f t="shared" si="23"/>
        <v>45231</v>
      </c>
    </row>
    <row r="452" spans="1:11" x14ac:dyDescent="0.25">
      <c r="A452" t="s">
        <v>3838</v>
      </c>
      <c r="B452" s="3">
        <v>45251</v>
      </c>
      <c r="C452">
        <v>5010</v>
      </c>
      <c r="D452" s="1">
        <v>12176.66</v>
      </c>
      <c r="E452" s="1">
        <v>0</v>
      </c>
      <c r="F452" t="s">
        <v>3839</v>
      </c>
      <c r="G452" t="str">
        <f>_xlfn.XLOOKUP(C452,tblCOA[AccountNo],tblCOA[AccountName],"Unmapped")</f>
        <v>Cost of Goods Sold</v>
      </c>
      <c r="H452" t="str">
        <f>_xlfn.XLOOKUP(C452,tblCOA[AccountNo],tblCOA[Category],"Unmapped")</f>
        <v>Expenses</v>
      </c>
      <c r="I452" s="4">
        <f t="shared" si="21"/>
        <v>12176.66</v>
      </c>
      <c r="J452">
        <f t="shared" si="22"/>
        <v>2023</v>
      </c>
      <c r="K452" s="5">
        <f t="shared" si="23"/>
        <v>45231</v>
      </c>
    </row>
    <row r="453" spans="1:11" x14ac:dyDescent="0.25">
      <c r="A453" t="s">
        <v>3840</v>
      </c>
      <c r="B453" s="3">
        <v>45251</v>
      </c>
      <c r="C453">
        <v>2010</v>
      </c>
      <c r="D453" s="1">
        <v>0</v>
      </c>
      <c r="E453" s="1">
        <v>12176.66</v>
      </c>
      <c r="F453" t="s">
        <v>3841</v>
      </c>
      <c r="G453" t="str">
        <f>_xlfn.XLOOKUP(C453,tblCOA[AccountNo],tblCOA[AccountName],"Unmapped")</f>
        <v>Accounts Payable</v>
      </c>
      <c r="H453" t="str">
        <f>_xlfn.XLOOKUP(C453,tblCOA[AccountNo],tblCOA[Category],"Unmapped")</f>
        <v>Liabilities</v>
      </c>
      <c r="I453" s="4">
        <f t="shared" si="21"/>
        <v>-12176.66</v>
      </c>
      <c r="J453">
        <f t="shared" si="22"/>
        <v>2023</v>
      </c>
      <c r="K453" s="5">
        <f t="shared" si="23"/>
        <v>45231</v>
      </c>
    </row>
    <row r="454" spans="1:11" x14ac:dyDescent="0.25">
      <c r="A454" t="s">
        <v>2030</v>
      </c>
      <c r="B454" s="3">
        <v>45252</v>
      </c>
      <c r="C454">
        <v>5010</v>
      </c>
      <c r="D454" s="1">
        <v>3631.16</v>
      </c>
      <c r="E454" s="1">
        <v>0</v>
      </c>
      <c r="F454" t="s">
        <v>2031</v>
      </c>
      <c r="G454" t="str">
        <f>_xlfn.XLOOKUP(C454,tblCOA[AccountNo],tblCOA[AccountName],"Unmapped")</f>
        <v>Cost of Goods Sold</v>
      </c>
      <c r="H454" t="str">
        <f>_xlfn.XLOOKUP(C454,tblCOA[AccountNo],tblCOA[Category],"Unmapped")</f>
        <v>Expenses</v>
      </c>
      <c r="I454" s="4">
        <f t="shared" si="21"/>
        <v>3631.16</v>
      </c>
      <c r="J454">
        <f t="shared" si="22"/>
        <v>2023</v>
      </c>
      <c r="K454" s="5">
        <f t="shared" si="23"/>
        <v>45231</v>
      </c>
    </row>
    <row r="455" spans="1:11" x14ac:dyDescent="0.25">
      <c r="A455" t="s">
        <v>2032</v>
      </c>
      <c r="B455" s="3">
        <v>45252</v>
      </c>
      <c r="C455">
        <v>2010</v>
      </c>
      <c r="D455" s="1">
        <v>0</v>
      </c>
      <c r="E455" s="1">
        <v>3631.16</v>
      </c>
      <c r="F455" t="s">
        <v>2033</v>
      </c>
      <c r="G455" t="str">
        <f>_xlfn.XLOOKUP(C455,tblCOA[AccountNo],tblCOA[AccountName],"Unmapped")</f>
        <v>Accounts Payable</v>
      </c>
      <c r="H455" t="str">
        <f>_xlfn.XLOOKUP(C455,tblCOA[AccountNo],tblCOA[Category],"Unmapped")</f>
        <v>Liabilities</v>
      </c>
      <c r="I455" s="4">
        <f t="shared" si="21"/>
        <v>-3631.16</v>
      </c>
      <c r="J455">
        <f t="shared" si="22"/>
        <v>2023</v>
      </c>
      <c r="K455" s="5">
        <f t="shared" si="23"/>
        <v>45231</v>
      </c>
    </row>
    <row r="456" spans="1:11" x14ac:dyDescent="0.25">
      <c r="A456" t="s">
        <v>794</v>
      </c>
      <c r="B456" s="3">
        <v>45252</v>
      </c>
      <c r="C456">
        <v>1200</v>
      </c>
      <c r="D456" s="1">
        <v>2246.41</v>
      </c>
      <c r="E456" s="1">
        <v>0</v>
      </c>
      <c r="F456" t="s">
        <v>795</v>
      </c>
      <c r="G456" t="str">
        <f>_xlfn.XLOOKUP(C456,tblCOA[AccountNo],tblCOA[AccountName],"Unmapped")</f>
        <v>Accounts Receivable</v>
      </c>
      <c r="H456" t="str">
        <f>_xlfn.XLOOKUP(C456,tblCOA[AccountNo],tblCOA[Category],"Unmapped")</f>
        <v>Assets</v>
      </c>
      <c r="I456" s="4">
        <f t="shared" si="21"/>
        <v>2246.41</v>
      </c>
      <c r="J456">
        <f t="shared" si="22"/>
        <v>2023</v>
      </c>
      <c r="K456" s="5">
        <f t="shared" si="23"/>
        <v>45231</v>
      </c>
    </row>
    <row r="457" spans="1:11" x14ac:dyDescent="0.25">
      <c r="A457" t="s">
        <v>796</v>
      </c>
      <c r="B457" s="3">
        <v>45252</v>
      </c>
      <c r="C457">
        <v>4010</v>
      </c>
      <c r="D457" s="1">
        <v>0</v>
      </c>
      <c r="E457" s="1">
        <v>2246.41</v>
      </c>
      <c r="F457" t="s">
        <v>797</v>
      </c>
      <c r="G457" t="str">
        <f>_xlfn.XLOOKUP(C457,tblCOA[AccountNo],tblCOA[AccountName],"Unmapped")</f>
        <v>Product Sales</v>
      </c>
      <c r="H457" t="str">
        <f>_xlfn.XLOOKUP(C457,tblCOA[AccountNo],tblCOA[Category],"Unmapped")</f>
        <v>Revenue</v>
      </c>
      <c r="I457" s="4">
        <f t="shared" si="21"/>
        <v>-2246.41</v>
      </c>
      <c r="J457">
        <f t="shared" si="22"/>
        <v>2023</v>
      </c>
      <c r="K457" s="5">
        <f t="shared" si="23"/>
        <v>45231</v>
      </c>
    </row>
    <row r="458" spans="1:11" x14ac:dyDescent="0.25">
      <c r="A458" t="s">
        <v>666</v>
      </c>
      <c r="B458" s="3">
        <v>45253</v>
      </c>
      <c r="C458">
        <v>1200</v>
      </c>
      <c r="D458" s="1">
        <v>24439.91</v>
      </c>
      <c r="E458" s="1">
        <v>0</v>
      </c>
      <c r="F458" t="s">
        <v>667</v>
      </c>
      <c r="G458" t="str">
        <f>_xlfn.XLOOKUP(C458,tblCOA[AccountNo],tblCOA[AccountName],"Unmapped")</f>
        <v>Accounts Receivable</v>
      </c>
      <c r="H458" t="str">
        <f>_xlfn.XLOOKUP(C458,tblCOA[AccountNo],tblCOA[Category],"Unmapped")</f>
        <v>Assets</v>
      </c>
      <c r="I458" s="4">
        <f t="shared" si="21"/>
        <v>24439.91</v>
      </c>
      <c r="J458">
        <f t="shared" si="22"/>
        <v>2023</v>
      </c>
      <c r="K458" s="5">
        <f t="shared" si="23"/>
        <v>45231</v>
      </c>
    </row>
    <row r="459" spans="1:11" x14ac:dyDescent="0.25">
      <c r="A459" t="s">
        <v>668</v>
      </c>
      <c r="B459" s="3">
        <v>45253</v>
      </c>
      <c r="C459">
        <v>4010</v>
      </c>
      <c r="D459" s="1">
        <v>0</v>
      </c>
      <c r="E459" s="1">
        <v>24439.91</v>
      </c>
      <c r="F459" t="s">
        <v>669</v>
      </c>
      <c r="G459" t="str">
        <f>_xlfn.XLOOKUP(C459,tblCOA[AccountNo],tblCOA[AccountName],"Unmapped")</f>
        <v>Product Sales</v>
      </c>
      <c r="H459" t="str">
        <f>_xlfn.XLOOKUP(C459,tblCOA[AccountNo],tblCOA[Category],"Unmapped")</f>
        <v>Revenue</v>
      </c>
      <c r="I459" s="4">
        <f t="shared" si="21"/>
        <v>-24439.91</v>
      </c>
      <c r="J459">
        <f t="shared" si="22"/>
        <v>2023</v>
      </c>
      <c r="K459" s="5">
        <f t="shared" si="23"/>
        <v>45231</v>
      </c>
    </row>
    <row r="460" spans="1:11" x14ac:dyDescent="0.25">
      <c r="A460" t="s">
        <v>2714</v>
      </c>
      <c r="B460" s="3">
        <v>45255</v>
      </c>
      <c r="C460">
        <v>1200</v>
      </c>
      <c r="D460" s="1">
        <v>41269.49</v>
      </c>
      <c r="E460" s="1">
        <v>0</v>
      </c>
      <c r="F460" t="s">
        <v>2715</v>
      </c>
      <c r="G460" t="str">
        <f>_xlfn.XLOOKUP(C460,tblCOA[AccountNo],tblCOA[AccountName],"Unmapped")</f>
        <v>Accounts Receivable</v>
      </c>
      <c r="H460" t="str">
        <f>_xlfn.XLOOKUP(C460,tblCOA[AccountNo],tblCOA[Category],"Unmapped")</f>
        <v>Assets</v>
      </c>
      <c r="I460" s="4">
        <f t="shared" si="21"/>
        <v>41269.49</v>
      </c>
      <c r="J460">
        <f t="shared" si="22"/>
        <v>2023</v>
      </c>
      <c r="K460" s="5">
        <f t="shared" si="23"/>
        <v>45231</v>
      </c>
    </row>
    <row r="461" spans="1:11" x14ac:dyDescent="0.25">
      <c r="A461" t="s">
        <v>2716</v>
      </c>
      <c r="B461" s="3">
        <v>45255</v>
      </c>
      <c r="C461">
        <v>4010</v>
      </c>
      <c r="D461" s="1">
        <v>0</v>
      </c>
      <c r="E461" s="1">
        <v>41269.49</v>
      </c>
      <c r="F461" t="s">
        <v>2717</v>
      </c>
      <c r="G461" t="str">
        <f>_xlfn.XLOOKUP(C461,tblCOA[AccountNo],tblCOA[AccountName],"Unmapped")</f>
        <v>Product Sales</v>
      </c>
      <c r="H461" t="str">
        <f>_xlfn.XLOOKUP(C461,tblCOA[AccountNo],tblCOA[Category],"Unmapped")</f>
        <v>Revenue</v>
      </c>
      <c r="I461" s="4">
        <f t="shared" si="21"/>
        <v>-41269.49</v>
      </c>
      <c r="J461">
        <f t="shared" si="22"/>
        <v>2023</v>
      </c>
      <c r="K461" s="5">
        <f t="shared" si="23"/>
        <v>45231</v>
      </c>
    </row>
    <row r="462" spans="1:11" x14ac:dyDescent="0.25">
      <c r="A462" t="s">
        <v>2114</v>
      </c>
      <c r="B462" s="3">
        <v>45256</v>
      </c>
      <c r="C462">
        <v>1200</v>
      </c>
      <c r="D462" s="1">
        <v>30949.919999999998</v>
      </c>
      <c r="E462" s="1">
        <v>0</v>
      </c>
      <c r="F462" t="s">
        <v>2115</v>
      </c>
      <c r="G462" t="str">
        <f>_xlfn.XLOOKUP(C462,tblCOA[AccountNo],tblCOA[AccountName],"Unmapped")</f>
        <v>Accounts Receivable</v>
      </c>
      <c r="H462" t="str">
        <f>_xlfn.XLOOKUP(C462,tblCOA[AccountNo],tblCOA[Category],"Unmapped")</f>
        <v>Assets</v>
      </c>
      <c r="I462" s="4">
        <f t="shared" si="21"/>
        <v>30949.919999999998</v>
      </c>
      <c r="J462">
        <f t="shared" si="22"/>
        <v>2023</v>
      </c>
      <c r="K462" s="5">
        <f t="shared" si="23"/>
        <v>45231</v>
      </c>
    </row>
    <row r="463" spans="1:11" x14ac:dyDescent="0.25">
      <c r="A463" t="s">
        <v>2116</v>
      </c>
      <c r="B463" s="3">
        <v>45256</v>
      </c>
      <c r="C463">
        <v>4010</v>
      </c>
      <c r="D463" s="1">
        <v>0</v>
      </c>
      <c r="E463" s="1">
        <v>30949.919999999998</v>
      </c>
      <c r="F463" t="s">
        <v>2117</v>
      </c>
      <c r="G463" t="str">
        <f>_xlfn.XLOOKUP(C463,tblCOA[AccountNo],tblCOA[AccountName],"Unmapped")</f>
        <v>Product Sales</v>
      </c>
      <c r="H463" t="str">
        <f>_xlfn.XLOOKUP(C463,tblCOA[AccountNo],tblCOA[Category],"Unmapped")</f>
        <v>Revenue</v>
      </c>
      <c r="I463" s="4">
        <f t="shared" si="21"/>
        <v>-30949.919999999998</v>
      </c>
      <c r="J463">
        <f t="shared" si="22"/>
        <v>2023</v>
      </c>
      <c r="K463" s="5">
        <f t="shared" si="23"/>
        <v>45231</v>
      </c>
    </row>
    <row r="464" spans="1:11" x14ac:dyDescent="0.25">
      <c r="A464" t="s">
        <v>3158</v>
      </c>
      <c r="B464" s="3">
        <v>45258</v>
      </c>
      <c r="C464">
        <v>5010</v>
      </c>
      <c r="D464" s="1">
        <v>10596.16</v>
      </c>
      <c r="E464" s="1">
        <v>0</v>
      </c>
      <c r="F464" t="s">
        <v>3159</v>
      </c>
      <c r="G464" t="str">
        <f>_xlfn.XLOOKUP(C464,tblCOA[AccountNo],tblCOA[AccountName],"Unmapped")</f>
        <v>Cost of Goods Sold</v>
      </c>
      <c r="H464" t="str">
        <f>_xlfn.XLOOKUP(C464,tblCOA[AccountNo],tblCOA[Category],"Unmapped")</f>
        <v>Expenses</v>
      </c>
      <c r="I464" s="4">
        <f t="shared" si="21"/>
        <v>10596.16</v>
      </c>
      <c r="J464">
        <f t="shared" si="22"/>
        <v>2023</v>
      </c>
      <c r="K464" s="5">
        <f t="shared" si="23"/>
        <v>45231</v>
      </c>
    </row>
    <row r="465" spans="1:11" x14ac:dyDescent="0.25">
      <c r="A465" t="s">
        <v>3160</v>
      </c>
      <c r="B465" s="3">
        <v>45258</v>
      </c>
      <c r="C465">
        <v>2010</v>
      </c>
      <c r="D465" s="1">
        <v>0</v>
      </c>
      <c r="E465" s="1">
        <v>10596.16</v>
      </c>
      <c r="F465" t="s">
        <v>3161</v>
      </c>
      <c r="G465" t="str">
        <f>_xlfn.XLOOKUP(C465,tblCOA[AccountNo],tblCOA[AccountName],"Unmapped")</f>
        <v>Accounts Payable</v>
      </c>
      <c r="H465" t="str">
        <f>_xlfn.XLOOKUP(C465,tblCOA[AccountNo],tblCOA[Category],"Unmapped")</f>
        <v>Liabilities</v>
      </c>
      <c r="I465" s="4">
        <f t="shared" si="21"/>
        <v>-10596.16</v>
      </c>
      <c r="J465">
        <f t="shared" si="22"/>
        <v>2023</v>
      </c>
      <c r="K465" s="5">
        <f t="shared" si="23"/>
        <v>45231</v>
      </c>
    </row>
    <row r="466" spans="1:11" x14ac:dyDescent="0.25">
      <c r="A466" t="s">
        <v>690</v>
      </c>
      <c r="B466" s="3">
        <v>45258</v>
      </c>
      <c r="C466">
        <v>1200</v>
      </c>
      <c r="D466" s="1">
        <v>35929.449999999997</v>
      </c>
      <c r="E466" s="1">
        <v>0</v>
      </c>
      <c r="F466" t="s">
        <v>691</v>
      </c>
      <c r="G466" t="str">
        <f>_xlfn.XLOOKUP(C466,tblCOA[AccountNo],tblCOA[AccountName],"Unmapped")</f>
        <v>Accounts Receivable</v>
      </c>
      <c r="H466" t="str">
        <f>_xlfn.XLOOKUP(C466,tblCOA[AccountNo],tblCOA[Category],"Unmapped")</f>
        <v>Assets</v>
      </c>
      <c r="I466" s="4">
        <f t="shared" si="21"/>
        <v>35929.449999999997</v>
      </c>
      <c r="J466">
        <f t="shared" si="22"/>
        <v>2023</v>
      </c>
      <c r="K466" s="5">
        <f t="shared" si="23"/>
        <v>45231</v>
      </c>
    </row>
    <row r="467" spans="1:11" x14ac:dyDescent="0.25">
      <c r="A467" t="s">
        <v>692</v>
      </c>
      <c r="B467" s="3">
        <v>45258</v>
      </c>
      <c r="C467">
        <v>4010</v>
      </c>
      <c r="D467" s="1">
        <v>0</v>
      </c>
      <c r="E467" s="1">
        <v>35929.449999999997</v>
      </c>
      <c r="F467" t="s">
        <v>693</v>
      </c>
      <c r="G467" t="str">
        <f>_xlfn.XLOOKUP(C467,tblCOA[AccountNo],tblCOA[AccountName],"Unmapped")</f>
        <v>Product Sales</v>
      </c>
      <c r="H467" t="str">
        <f>_xlfn.XLOOKUP(C467,tblCOA[AccountNo],tblCOA[Category],"Unmapped")</f>
        <v>Revenue</v>
      </c>
      <c r="I467" s="4">
        <f t="shared" si="21"/>
        <v>-35929.449999999997</v>
      </c>
      <c r="J467">
        <f t="shared" si="22"/>
        <v>2023</v>
      </c>
      <c r="K467" s="5">
        <f t="shared" si="23"/>
        <v>45231</v>
      </c>
    </row>
    <row r="468" spans="1:11" x14ac:dyDescent="0.25">
      <c r="A468" t="s">
        <v>3186</v>
      </c>
      <c r="B468" s="3">
        <v>45260</v>
      </c>
      <c r="C468">
        <v>1200</v>
      </c>
      <c r="D468" s="1">
        <v>9583.93</v>
      </c>
      <c r="E468" s="1">
        <v>0</v>
      </c>
      <c r="F468" t="s">
        <v>3187</v>
      </c>
      <c r="G468" t="str">
        <f>_xlfn.XLOOKUP(C468,tblCOA[AccountNo],tblCOA[AccountName],"Unmapped")</f>
        <v>Accounts Receivable</v>
      </c>
      <c r="H468" t="str">
        <f>_xlfn.XLOOKUP(C468,tblCOA[AccountNo],tblCOA[Category],"Unmapped")</f>
        <v>Assets</v>
      </c>
      <c r="I468" s="4">
        <f t="shared" si="21"/>
        <v>9583.93</v>
      </c>
      <c r="J468">
        <f t="shared" si="22"/>
        <v>2023</v>
      </c>
      <c r="K468" s="5">
        <f t="shared" si="23"/>
        <v>45231</v>
      </c>
    </row>
    <row r="469" spans="1:11" x14ac:dyDescent="0.25">
      <c r="A469" t="s">
        <v>3188</v>
      </c>
      <c r="B469" s="3">
        <v>45260</v>
      </c>
      <c r="C469">
        <v>4010</v>
      </c>
      <c r="D469" s="1">
        <v>0</v>
      </c>
      <c r="E469" s="1">
        <v>9583.93</v>
      </c>
      <c r="F469" t="s">
        <v>3189</v>
      </c>
      <c r="G469" t="str">
        <f>_xlfn.XLOOKUP(C469,tblCOA[AccountNo],tblCOA[AccountName],"Unmapped")</f>
        <v>Product Sales</v>
      </c>
      <c r="H469" t="str">
        <f>_xlfn.XLOOKUP(C469,tblCOA[AccountNo],tblCOA[Category],"Unmapped")</f>
        <v>Revenue</v>
      </c>
      <c r="I469" s="4">
        <f t="shared" si="21"/>
        <v>-9583.93</v>
      </c>
      <c r="J469">
        <f t="shared" si="22"/>
        <v>2023</v>
      </c>
      <c r="K469" s="5">
        <f t="shared" si="23"/>
        <v>45231</v>
      </c>
    </row>
    <row r="470" spans="1:11" x14ac:dyDescent="0.25">
      <c r="A470" t="s">
        <v>3458</v>
      </c>
      <c r="B470" s="3">
        <v>45260</v>
      </c>
      <c r="C470">
        <v>1200</v>
      </c>
      <c r="D470" s="1">
        <v>1580.68</v>
      </c>
      <c r="E470" s="1">
        <v>0</v>
      </c>
      <c r="F470" t="s">
        <v>3459</v>
      </c>
      <c r="G470" t="str">
        <f>_xlfn.XLOOKUP(C470,tblCOA[AccountNo],tblCOA[AccountName],"Unmapped")</f>
        <v>Accounts Receivable</v>
      </c>
      <c r="H470" t="str">
        <f>_xlfn.XLOOKUP(C470,tblCOA[AccountNo],tblCOA[Category],"Unmapped")</f>
        <v>Assets</v>
      </c>
      <c r="I470" s="4">
        <f t="shared" si="21"/>
        <v>1580.68</v>
      </c>
      <c r="J470">
        <f t="shared" si="22"/>
        <v>2023</v>
      </c>
      <c r="K470" s="5">
        <f t="shared" si="23"/>
        <v>45231</v>
      </c>
    </row>
    <row r="471" spans="1:11" x14ac:dyDescent="0.25">
      <c r="A471" t="s">
        <v>3460</v>
      </c>
      <c r="B471" s="3">
        <v>45260</v>
      </c>
      <c r="C471">
        <v>4010</v>
      </c>
      <c r="D471" s="1">
        <v>0</v>
      </c>
      <c r="E471" s="1">
        <v>1580.68</v>
      </c>
      <c r="F471" t="s">
        <v>3461</v>
      </c>
      <c r="G471" t="str">
        <f>_xlfn.XLOOKUP(C471,tblCOA[AccountNo],tblCOA[AccountName],"Unmapped")</f>
        <v>Product Sales</v>
      </c>
      <c r="H471" t="str">
        <f>_xlfn.XLOOKUP(C471,tblCOA[AccountNo],tblCOA[Category],"Unmapped")</f>
        <v>Revenue</v>
      </c>
      <c r="I471" s="4">
        <f t="shared" si="21"/>
        <v>-1580.68</v>
      </c>
      <c r="J471">
        <f t="shared" si="22"/>
        <v>2023</v>
      </c>
      <c r="K471" s="5">
        <f t="shared" si="23"/>
        <v>45231</v>
      </c>
    </row>
    <row r="472" spans="1:11" x14ac:dyDescent="0.25">
      <c r="A472" t="s">
        <v>1618</v>
      </c>
      <c r="B472" s="3">
        <v>45260</v>
      </c>
      <c r="C472">
        <v>1200</v>
      </c>
      <c r="D472" s="1">
        <v>34793.26</v>
      </c>
      <c r="E472" s="1">
        <v>0</v>
      </c>
      <c r="F472" t="s">
        <v>1619</v>
      </c>
      <c r="G472" t="str">
        <f>_xlfn.XLOOKUP(C472,tblCOA[AccountNo],tblCOA[AccountName],"Unmapped")</f>
        <v>Accounts Receivable</v>
      </c>
      <c r="H472" t="str">
        <f>_xlfn.XLOOKUP(C472,tblCOA[AccountNo],tblCOA[Category],"Unmapped")</f>
        <v>Assets</v>
      </c>
      <c r="I472" s="4">
        <f t="shared" si="21"/>
        <v>34793.26</v>
      </c>
      <c r="J472">
        <f t="shared" si="22"/>
        <v>2023</v>
      </c>
      <c r="K472" s="5">
        <f t="shared" si="23"/>
        <v>45231</v>
      </c>
    </row>
    <row r="473" spans="1:11" x14ac:dyDescent="0.25">
      <c r="A473" t="s">
        <v>1620</v>
      </c>
      <c r="B473" s="3">
        <v>45260</v>
      </c>
      <c r="C473">
        <v>4010</v>
      </c>
      <c r="D473" s="1">
        <v>0</v>
      </c>
      <c r="E473" s="1">
        <v>34793.26</v>
      </c>
      <c r="F473" t="s">
        <v>1621</v>
      </c>
      <c r="G473" t="str">
        <f>_xlfn.XLOOKUP(C473,tblCOA[AccountNo],tblCOA[AccountName],"Unmapped")</f>
        <v>Product Sales</v>
      </c>
      <c r="H473" t="str">
        <f>_xlfn.XLOOKUP(C473,tblCOA[AccountNo],tblCOA[Category],"Unmapped")</f>
        <v>Revenue</v>
      </c>
      <c r="I473" s="4">
        <f t="shared" si="21"/>
        <v>-34793.26</v>
      </c>
      <c r="J473">
        <f t="shared" si="22"/>
        <v>2023</v>
      </c>
      <c r="K473" s="5">
        <f t="shared" si="23"/>
        <v>45231</v>
      </c>
    </row>
    <row r="474" spans="1:11" x14ac:dyDescent="0.25">
      <c r="A474" t="s">
        <v>194</v>
      </c>
      <c r="B474" s="3">
        <v>45260</v>
      </c>
      <c r="C474">
        <v>1200</v>
      </c>
      <c r="D474" s="1">
        <v>18893.400000000001</v>
      </c>
      <c r="E474" s="1">
        <v>0</v>
      </c>
      <c r="F474" t="s">
        <v>195</v>
      </c>
      <c r="G474" t="str">
        <f>_xlfn.XLOOKUP(C474,tblCOA[AccountNo],tblCOA[AccountName],"Unmapped")</f>
        <v>Accounts Receivable</v>
      </c>
      <c r="H474" t="str">
        <f>_xlfn.XLOOKUP(C474,tblCOA[AccountNo],tblCOA[Category],"Unmapped")</f>
        <v>Assets</v>
      </c>
      <c r="I474" s="4">
        <f t="shared" si="21"/>
        <v>18893.400000000001</v>
      </c>
      <c r="J474">
        <f t="shared" si="22"/>
        <v>2023</v>
      </c>
      <c r="K474" s="5">
        <f t="shared" si="23"/>
        <v>45231</v>
      </c>
    </row>
    <row r="475" spans="1:11" x14ac:dyDescent="0.25">
      <c r="A475" t="s">
        <v>196</v>
      </c>
      <c r="B475" s="3">
        <v>45260</v>
      </c>
      <c r="C475">
        <v>4010</v>
      </c>
      <c r="D475" s="1">
        <v>0</v>
      </c>
      <c r="E475" s="1">
        <v>18893.400000000001</v>
      </c>
      <c r="F475" t="s">
        <v>197</v>
      </c>
      <c r="G475" t="str">
        <f>_xlfn.XLOOKUP(C475,tblCOA[AccountNo],tblCOA[AccountName],"Unmapped")</f>
        <v>Product Sales</v>
      </c>
      <c r="H475" t="str">
        <f>_xlfn.XLOOKUP(C475,tblCOA[AccountNo],tblCOA[Category],"Unmapped")</f>
        <v>Revenue</v>
      </c>
      <c r="I475" s="4">
        <f t="shared" si="21"/>
        <v>-18893.400000000001</v>
      </c>
      <c r="J475">
        <f t="shared" si="22"/>
        <v>2023</v>
      </c>
      <c r="K475" s="5">
        <f t="shared" si="23"/>
        <v>45231</v>
      </c>
    </row>
    <row r="476" spans="1:11" x14ac:dyDescent="0.25">
      <c r="A476" t="s">
        <v>2438</v>
      </c>
      <c r="B476" s="3">
        <v>45263</v>
      </c>
      <c r="C476">
        <v>5010</v>
      </c>
      <c r="D476" s="1">
        <v>4410.1099999999997</v>
      </c>
      <c r="E476" s="1">
        <v>0</v>
      </c>
      <c r="F476" t="s">
        <v>2439</v>
      </c>
      <c r="G476" t="str">
        <f>_xlfn.XLOOKUP(C476,tblCOA[AccountNo],tblCOA[AccountName],"Unmapped")</f>
        <v>Cost of Goods Sold</v>
      </c>
      <c r="H476" t="str">
        <f>_xlfn.XLOOKUP(C476,tblCOA[AccountNo],tblCOA[Category],"Unmapped")</f>
        <v>Expenses</v>
      </c>
      <c r="I476" s="4">
        <f t="shared" si="21"/>
        <v>4410.1099999999997</v>
      </c>
      <c r="J476">
        <f t="shared" si="22"/>
        <v>2023</v>
      </c>
      <c r="K476" s="5">
        <f t="shared" si="23"/>
        <v>45261</v>
      </c>
    </row>
    <row r="477" spans="1:11" x14ac:dyDescent="0.25">
      <c r="A477" t="s">
        <v>2440</v>
      </c>
      <c r="B477" s="3">
        <v>45263</v>
      </c>
      <c r="C477">
        <v>2010</v>
      </c>
      <c r="D477" s="1">
        <v>0</v>
      </c>
      <c r="E477" s="1">
        <v>4410.1099999999997</v>
      </c>
      <c r="F477" t="s">
        <v>2441</v>
      </c>
      <c r="G477" t="str">
        <f>_xlfn.XLOOKUP(C477,tblCOA[AccountNo],tblCOA[AccountName],"Unmapped")</f>
        <v>Accounts Payable</v>
      </c>
      <c r="H477" t="str">
        <f>_xlfn.XLOOKUP(C477,tblCOA[AccountNo],tblCOA[Category],"Unmapped")</f>
        <v>Liabilities</v>
      </c>
      <c r="I477" s="4">
        <f t="shared" si="21"/>
        <v>-4410.1099999999997</v>
      </c>
      <c r="J477">
        <f t="shared" si="22"/>
        <v>2023</v>
      </c>
      <c r="K477" s="5">
        <f t="shared" si="23"/>
        <v>45261</v>
      </c>
    </row>
    <row r="478" spans="1:11" x14ac:dyDescent="0.25">
      <c r="A478" t="s">
        <v>3498</v>
      </c>
      <c r="B478" s="3">
        <v>45263</v>
      </c>
      <c r="C478">
        <v>1200</v>
      </c>
      <c r="D478" s="1">
        <v>46893.43</v>
      </c>
      <c r="E478" s="1">
        <v>0</v>
      </c>
      <c r="F478" t="s">
        <v>3499</v>
      </c>
      <c r="G478" t="str">
        <f>_xlfn.XLOOKUP(C478,tblCOA[AccountNo],tblCOA[AccountName],"Unmapped")</f>
        <v>Accounts Receivable</v>
      </c>
      <c r="H478" t="str">
        <f>_xlfn.XLOOKUP(C478,tblCOA[AccountNo],tblCOA[Category],"Unmapped")</f>
        <v>Assets</v>
      </c>
      <c r="I478" s="4">
        <f t="shared" si="21"/>
        <v>46893.43</v>
      </c>
      <c r="J478">
        <f t="shared" si="22"/>
        <v>2023</v>
      </c>
      <c r="K478" s="5">
        <f t="shared" si="23"/>
        <v>45261</v>
      </c>
    </row>
    <row r="479" spans="1:11" x14ac:dyDescent="0.25">
      <c r="A479" t="s">
        <v>3500</v>
      </c>
      <c r="B479" s="3">
        <v>45263</v>
      </c>
      <c r="C479">
        <v>4010</v>
      </c>
      <c r="D479" s="1">
        <v>0</v>
      </c>
      <c r="E479" s="1">
        <v>46893.43</v>
      </c>
      <c r="F479" t="s">
        <v>3501</v>
      </c>
      <c r="G479" t="str">
        <f>_xlfn.XLOOKUP(C479,tblCOA[AccountNo],tblCOA[AccountName],"Unmapped")</f>
        <v>Product Sales</v>
      </c>
      <c r="H479" t="str">
        <f>_xlfn.XLOOKUP(C479,tblCOA[AccountNo],tblCOA[Category],"Unmapped")</f>
        <v>Revenue</v>
      </c>
      <c r="I479" s="4">
        <f t="shared" si="21"/>
        <v>-46893.43</v>
      </c>
      <c r="J479">
        <f t="shared" si="22"/>
        <v>2023</v>
      </c>
      <c r="K479" s="5">
        <f t="shared" si="23"/>
        <v>45261</v>
      </c>
    </row>
    <row r="480" spans="1:11" x14ac:dyDescent="0.25">
      <c r="A480" t="s">
        <v>1142</v>
      </c>
      <c r="B480" s="3">
        <v>45263</v>
      </c>
      <c r="C480">
        <v>5010</v>
      </c>
      <c r="D480" s="1">
        <v>6404.73</v>
      </c>
      <c r="E480" s="1">
        <v>0</v>
      </c>
      <c r="F480" t="s">
        <v>1143</v>
      </c>
      <c r="G480" t="str">
        <f>_xlfn.XLOOKUP(C480,tblCOA[AccountNo],tblCOA[AccountName],"Unmapped")</f>
        <v>Cost of Goods Sold</v>
      </c>
      <c r="H480" t="str">
        <f>_xlfn.XLOOKUP(C480,tblCOA[AccountNo],tblCOA[Category],"Unmapped")</f>
        <v>Expenses</v>
      </c>
      <c r="I480" s="4">
        <f t="shared" si="21"/>
        <v>6404.73</v>
      </c>
      <c r="J480">
        <f t="shared" si="22"/>
        <v>2023</v>
      </c>
      <c r="K480" s="5">
        <f t="shared" si="23"/>
        <v>45261</v>
      </c>
    </row>
    <row r="481" spans="1:11" x14ac:dyDescent="0.25">
      <c r="A481" t="s">
        <v>1144</v>
      </c>
      <c r="B481" s="3">
        <v>45263</v>
      </c>
      <c r="C481">
        <v>2010</v>
      </c>
      <c r="D481" s="1">
        <v>0</v>
      </c>
      <c r="E481" s="1">
        <v>6404.73</v>
      </c>
      <c r="F481" t="s">
        <v>1145</v>
      </c>
      <c r="G481" t="str">
        <f>_xlfn.XLOOKUP(C481,tblCOA[AccountNo],tblCOA[AccountName],"Unmapped")</f>
        <v>Accounts Payable</v>
      </c>
      <c r="H481" t="str">
        <f>_xlfn.XLOOKUP(C481,tblCOA[AccountNo],tblCOA[Category],"Unmapped")</f>
        <v>Liabilities</v>
      </c>
      <c r="I481" s="4">
        <f t="shared" si="21"/>
        <v>-6404.73</v>
      </c>
      <c r="J481">
        <f t="shared" si="22"/>
        <v>2023</v>
      </c>
      <c r="K481" s="5">
        <f t="shared" si="23"/>
        <v>45261</v>
      </c>
    </row>
    <row r="482" spans="1:11" x14ac:dyDescent="0.25">
      <c r="A482" t="s">
        <v>1262</v>
      </c>
      <c r="B482" s="3">
        <v>45265</v>
      </c>
      <c r="C482">
        <v>5010</v>
      </c>
      <c r="D482" s="1">
        <v>8779.08</v>
      </c>
      <c r="E482" s="1">
        <v>0</v>
      </c>
      <c r="F482" t="s">
        <v>1263</v>
      </c>
      <c r="G482" t="str">
        <f>_xlfn.XLOOKUP(C482,tblCOA[AccountNo],tblCOA[AccountName],"Unmapped")</f>
        <v>Cost of Goods Sold</v>
      </c>
      <c r="H482" t="str">
        <f>_xlfn.XLOOKUP(C482,tblCOA[AccountNo],tblCOA[Category],"Unmapped")</f>
        <v>Expenses</v>
      </c>
      <c r="I482" s="4">
        <f t="shared" si="21"/>
        <v>8779.08</v>
      </c>
      <c r="J482">
        <f t="shared" si="22"/>
        <v>2023</v>
      </c>
      <c r="K482" s="5">
        <f t="shared" si="23"/>
        <v>45261</v>
      </c>
    </row>
    <row r="483" spans="1:11" x14ac:dyDescent="0.25">
      <c r="A483" t="s">
        <v>1264</v>
      </c>
      <c r="B483" s="3">
        <v>45265</v>
      </c>
      <c r="C483">
        <v>2010</v>
      </c>
      <c r="D483" s="1">
        <v>0</v>
      </c>
      <c r="E483" s="1">
        <v>8779.08</v>
      </c>
      <c r="F483" t="s">
        <v>1265</v>
      </c>
      <c r="G483" t="str">
        <f>_xlfn.XLOOKUP(C483,tblCOA[AccountNo],tblCOA[AccountName],"Unmapped")</f>
        <v>Accounts Payable</v>
      </c>
      <c r="H483" t="str">
        <f>_xlfn.XLOOKUP(C483,tblCOA[AccountNo],tblCOA[Category],"Unmapped")</f>
        <v>Liabilities</v>
      </c>
      <c r="I483" s="4">
        <f t="shared" si="21"/>
        <v>-8779.08</v>
      </c>
      <c r="J483">
        <f t="shared" si="22"/>
        <v>2023</v>
      </c>
      <c r="K483" s="5">
        <f t="shared" si="23"/>
        <v>45261</v>
      </c>
    </row>
    <row r="484" spans="1:11" x14ac:dyDescent="0.25">
      <c r="A484" t="s">
        <v>382</v>
      </c>
      <c r="B484" s="3">
        <v>45266</v>
      </c>
      <c r="C484">
        <v>5010</v>
      </c>
      <c r="D484" s="1">
        <v>14249.48</v>
      </c>
      <c r="E484" s="1">
        <v>0</v>
      </c>
      <c r="F484" t="s">
        <v>383</v>
      </c>
      <c r="G484" t="str">
        <f>_xlfn.XLOOKUP(C484,tblCOA[AccountNo],tblCOA[AccountName],"Unmapped")</f>
        <v>Cost of Goods Sold</v>
      </c>
      <c r="H484" t="str">
        <f>_xlfn.XLOOKUP(C484,tblCOA[AccountNo],tblCOA[Category],"Unmapped")</f>
        <v>Expenses</v>
      </c>
      <c r="I484" s="4">
        <f t="shared" si="21"/>
        <v>14249.48</v>
      </c>
      <c r="J484">
        <f t="shared" si="22"/>
        <v>2023</v>
      </c>
      <c r="K484" s="5">
        <f t="shared" si="23"/>
        <v>45261</v>
      </c>
    </row>
    <row r="485" spans="1:11" x14ac:dyDescent="0.25">
      <c r="A485" t="s">
        <v>384</v>
      </c>
      <c r="B485" s="3">
        <v>45266</v>
      </c>
      <c r="C485">
        <v>2010</v>
      </c>
      <c r="D485" s="1">
        <v>0</v>
      </c>
      <c r="E485" s="1">
        <v>14249.48</v>
      </c>
      <c r="F485" t="s">
        <v>385</v>
      </c>
      <c r="G485" t="str">
        <f>_xlfn.XLOOKUP(C485,tblCOA[AccountNo],tblCOA[AccountName],"Unmapped")</f>
        <v>Accounts Payable</v>
      </c>
      <c r="H485" t="str">
        <f>_xlfn.XLOOKUP(C485,tblCOA[AccountNo],tblCOA[Category],"Unmapped")</f>
        <v>Liabilities</v>
      </c>
      <c r="I485" s="4">
        <f t="shared" si="21"/>
        <v>-14249.48</v>
      </c>
      <c r="J485">
        <f t="shared" si="22"/>
        <v>2023</v>
      </c>
      <c r="K485" s="5">
        <f t="shared" si="23"/>
        <v>45261</v>
      </c>
    </row>
    <row r="486" spans="1:11" x14ac:dyDescent="0.25">
      <c r="A486" t="s">
        <v>3090</v>
      </c>
      <c r="B486" s="3">
        <v>45267</v>
      </c>
      <c r="C486">
        <v>1200</v>
      </c>
      <c r="D486" s="1">
        <v>27860.400000000001</v>
      </c>
      <c r="E486" s="1">
        <v>0</v>
      </c>
      <c r="F486" t="s">
        <v>3091</v>
      </c>
      <c r="G486" t="str">
        <f>_xlfn.XLOOKUP(C486,tblCOA[AccountNo],tblCOA[AccountName],"Unmapped")</f>
        <v>Accounts Receivable</v>
      </c>
      <c r="H486" t="str">
        <f>_xlfn.XLOOKUP(C486,tblCOA[AccountNo],tblCOA[Category],"Unmapped")</f>
        <v>Assets</v>
      </c>
      <c r="I486" s="4">
        <f t="shared" si="21"/>
        <v>27860.400000000001</v>
      </c>
      <c r="J486">
        <f t="shared" si="22"/>
        <v>2023</v>
      </c>
      <c r="K486" s="5">
        <f t="shared" si="23"/>
        <v>45261</v>
      </c>
    </row>
    <row r="487" spans="1:11" x14ac:dyDescent="0.25">
      <c r="A487" t="s">
        <v>3092</v>
      </c>
      <c r="B487" s="3">
        <v>45267</v>
      </c>
      <c r="C487">
        <v>4010</v>
      </c>
      <c r="D487" s="1">
        <v>0</v>
      </c>
      <c r="E487" s="1">
        <v>27860.400000000001</v>
      </c>
      <c r="F487" t="s">
        <v>3093</v>
      </c>
      <c r="G487" t="str">
        <f>_xlfn.XLOOKUP(C487,tblCOA[AccountNo],tblCOA[AccountName],"Unmapped")</f>
        <v>Product Sales</v>
      </c>
      <c r="H487" t="str">
        <f>_xlfn.XLOOKUP(C487,tblCOA[AccountNo],tblCOA[Category],"Unmapped")</f>
        <v>Revenue</v>
      </c>
      <c r="I487" s="4">
        <f t="shared" si="21"/>
        <v>-27860.400000000001</v>
      </c>
      <c r="J487">
        <f t="shared" si="22"/>
        <v>2023</v>
      </c>
      <c r="K487" s="5">
        <f t="shared" si="23"/>
        <v>45261</v>
      </c>
    </row>
    <row r="488" spans="1:11" x14ac:dyDescent="0.25">
      <c r="A488" t="s">
        <v>1846</v>
      </c>
      <c r="B488" s="3">
        <v>45267</v>
      </c>
      <c r="C488">
        <v>5010</v>
      </c>
      <c r="D488" s="1">
        <v>19032.080000000002</v>
      </c>
      <c r="E488" s="1">
        <v>0</v>
      </c>
      <c r="F488" t="s">
        <v>1847</v>
      </c>
      <c r="G488" t="str">
        <f>_xlfn.XLOOKUP(C488,tblCOA[AccountNo],tblCOA[AccountName],"Unmapped")</f>
        <v>Cost of Goods Sold</v>
      </c>
      <c r="H488" t="str">
        <f>_xlfn.XLOOKUP(C488,tblCOA[AccountNo],tblCOA[Category],"Unmapped")</f>
        <v>Expenses</v>
      </c>
      <c r="I488" s="4">
        <f t="shared" si="21"/>
        <v>19032.080000000002</v>
      </c>
      <c r="J488">
        <f t="shared" si="22"/>
        <v>2023</v>
      </c>
      <c r="K488" s="5">
        <f t="shared" si="23"/>
        <v>45261</v>
      </c>
    </row>
    <row r="489" spans="1:11" x14ac:dyDescent="0.25">
      <c r="A489" t="s">
        <v>1848</v>
      </c>
      <c r="B489" s="3">
        <v>45267</v>
      </c>
      <c r="C489">
        <v>2010</v>
      </c>
      <c r="D489" s="1">
        <v>0</v>
      </c>
      <c r="E489" s="1">
        <v>19032.080000000002</v>
      </c>
      <c r="F489" t="s">
        <v>1849</v>
      </c>
      <c r="G489" t="str">
        <f>_xlfn.XLOOKUP(C489,tblCOA[AccountNo],tblCOA[AccountName],"Unmapped")</f>
        <v>Accounts Payable</v>
      </c>
      <c r="H489" t="str">
        <f>_xlfn.XLOOKUP(C489,tblCOA[AccountNo],tblCOA[Category],"Unmapped")</f>
        <v>Liabilities</v>
      </c>
      <c r="I489" s="4">
        <f t="shared" si="21"/>
        <v>-19032.080000000002</v>
      </c>
      <c r="J489">
        <f t="shared" si="22"/>
        <v>2023</v>
      </c>
      <c r="K489" s="5">
        <f t="shared" si="23"/>
        <v>45261</v>
      </c>
    </row>
    <row r="490" spans="1:11" x14ac:dyDescent="0.25">
      <c r="A490" t="s">
        <v>2246</v>
      </c>
      <c r="B490" s="3">
        <v>45270</v>
      </c>
      <c r="C490">
        <v>5010</v>
      </c>
      <c r="D490" s="1">
        <v>8836.8700000000008</v>
      </c>
      <c r="E490" s="1">
        <v>0</v>
      </c>
      <c r="F490" t="s">
        <v>2247</v>
      </c>
      <c r="G490" t="str">
        <f>_xlfn.XLOOKUP(C490,tblCOA[AccountNo],tblCOA[AccountName],"Unmapped")</f>
        <v>Cost of Goods Sold</v>
      </c>
      <c r="H490" t="str">
        <f>_xlfn.XLOOKUP(C490,tblCOA[AccountNo],tblCOA[Category],"Unmapped")</f>
        <v>Expenses</v>
      </c>
      <c r="I490" s="4">
        <f t="shared" si="21"/>
        <v>8836.8700000000008</v>
      </c>
      <c r="J490">
        <f t="shared" si="22"/>
        <v>2023</v>
      </c>
      <c r="K490" s="5">
        <f t="shared" si="23"/>
        <v>45261</v>
      </c>
    </row>
    <row r="491" spans="1:11" x14ac:dyDescent="0.25">
      <c r="A491" t="s">
        <v>2248</v>
      </c>
      <c r="B491" s="3">
        <v>45270</v>
      </c>
      <c r="C491">
        <v>2010</v>
      </c>
      <c r="D491" s="1">
        <v>0</v>
      </c>
      <c r="E491" s="1">
        <v>8836.8700000000008</v>
      </c>
      <c r="F491" t="s">
        <v>2249</v>
      </c>
      <c r="G491" t="str">
        <f>_xlfn.XLOOKUP(C491,tblCOA[AccountNo],tblCOA[AccountName],"Unmapped")</f>
        <v>Accounts Payable</v>
      </c>
      <c r="H491" t="str">
        <f>_xlfn.XLOOKUP(C491,tblCOA[AccountNo],tblCOA[Category],"Unmapped")</f>
        <v>Liabilities</v>
      </c>
      <c r="I491" s="4">
        <f t="shared" si="21"/>
        <v>-8836.8700000000008</v>
      </c>
      <c r="J491">
        <f t="shared" si="22"/>
        <v>2023</v>
      </c>
      <c r="K491" s="5">
        <f t="shared" si="23"/>
        <v>45261</v>
      </c>
    </row>
    <row r="492" spans="1:11" x14ac:dyDescent="0.25">
      <c r="A492" t="s">
        <v>2862</v>
      </c>
      <c r="B492" s="3">
        <v>45271</v>
      </c>
      <c r="C492">
        <v>5010</v>
      </c>
      <c r="D492" s="1">
        <v>10388.76</v>
      </c>
      <c r="E492" s="1">
        <v>0</v>
      </c>
      <c r="F492" t="s">
        <v>2863</v>
      </c>
      <c r="G492" t="str">
        <f>_xlfn.XLOOKUP(C492,tblCOA[AccountNo],tblCOA[AccountName],"Unmapped")</f>
        <v>Cost of Goods Sold</v>
      </c>
      <c r="H492" t="str">
        <f>_xlfn.XLOOKUP(C492,tblCOA[AccountNo],tblCOA[Category],"Unmapped")</f>
        <v>Expenses</v>
      </c>
      <c r="I492" s="4">
        <f t="shared" si="21"/>
        <v>10388.76</v>
      </c>
      <c r="J492">
        <f t="shared" si="22"/>
        <v>2023</v>
      </c>
      <c r="K492" s="5">
        <f t="shared" si="23"/>
        <v>45261</v>
      </c>
    </row>
    <row r="493" spans="1:11" x14ac:dyDescent="0.25">
      <c r="A493" t="s">
        <v>2864</v>
      </c>
      <c r="B493" s="3">
        <v>45271</v>
      </c>
      <c r="C493">
        <v>2010</v>
      </c>
      <c r="D493" s="1">
        <v>0</v>
      </c>
      <c r="E493" s="1">
        <v>10388.76</v>
      </c>
      <c r="F493" t="s">
        <v>2865</v>
      </c>
      <c r="G493" t="str">
        <f>_xlfn.XLOOKUP(C493,tblCOA[AccountNo],tblCOA[AccountName],"Unmapped")</f>
        <v>Accounts Payable</v>
      </c>
      <c r="H493" t="str">
        <f>_xlfn.XLOOKUP(C493,tblCOA[AccountNo],tblCOA[Category],"Unmapped")</f>
        <v>Liabilities</v>
      </c>
      <c r="I493" s="4">
        <f t="shared" si="21"/>
        <v>-10388.76</v>
      </c>
      <c r="J493">
        <f t="shared" si="22"/>
        <v>2023</v>
      </c>
      <c r="K493" s="5">
        <f t="shared" si="23"/>
        <v>45261</v>
      </c>
    </row>
    <row r="494" spans="1:11" x14ac:dyDescent="0.25">
      <c r="A494" t="s">
        <v>2530</v>
      </c>
      <c r="B494" s="3">
        <v>45276</v>
      </c>
      <c r="C494">
        <v>1200</v>
      </c>
      <c r="D494" s="1">
        <v>19534.41</v>
      </c>
      <c r="E494" s="1">
        <v>0</v>
      </c>
      <c r="F494" t="s">
        <v>2531</v>
      </c>
      <c r="G494" t="str">
        <f>_xlfn.XLOOKUP(C494,tblCOA[AccountNo],tblCOA[AccountName],"Unmapped")</f>
        <v>Accounts Receivable</v>
      </c>
      <c r="H494" t="str">
        <f>_xlfn.XLOOKUP(C494,tblCOA[AccountNo],tblCOA[Category],"Unmapped")</f>
        <v>Assets</v>
      </c>
      <c r="I494" s="4">
        <f t="shared" si="21"/>
        <v>19534.41</v>
      </c>
      <c r="J494">
        <f t="shared" si="22"/>
        <v>2023</v>
      </c>
      <c r="K494" s="5">
        <f t="shared" si="23"/>
        <v>45261</v>
      </c>
    </row>
    <row r="495" spans="1:11" x14ac:dyDescent="0.25">
      <c r="A495" t="s">
        <v>2532</v>
      </c>
      <c r="B495" s="3">
        <v>45276</v>
      </c>
      <c r="C495">
        <v>4010</v>
      </c>
      <c r="D495" s="1">
        <v>0</v>
      </c>
      <c r="E495" s="1">
        <v>19534.41</v>
      </c>
      <c r="F495" t="s">
        <v>2533</v>
      </c>
      <c r="G495" t="str">
        <f>_xlfn.XLOOKUP(C495,tblCOA[AccountNo],tblCOA[AccountName],"Unmapped")</f>
        <v>Product Sales</v>
      </c>
      <c r="H495" t="str">
        <f>_xlfn.XLOOKUP(C495,tblCOA[AccountNo],tblCOA[Category],"Unmapped")</f>
        <v>Revenue</v>
      </c>
      <c r="I495" s="4">
        <f t="shared" si="21"/>
        <v>-19534.41</v>
      </c>
      <c r="J495">
        <f t="shared" si="22"/>
        <v>2023</v>
      </c>
      <c r="K495" s="5">
        <f t="shared" si="23"/>
        <v>45261</v>
      </c>
    </row>
    <row r="496" spans="1:11" x14ac:dyDescent="0.25">
      <c r="A496" t="s">
        <v>3466</v>
      </c>
      <c r="B496" s="3">
        <v>45276</v>
      </c>
      <c r="C496">
        <v>1200</v>
      </c>
      <c r="D496" s="1">
        <v>8303.83</v>
      </c>
      <c r="E496" s="1">
        <v>0</v>
      </c>
      <c r="F496" t="s">
        <v>3467</v>
      </c>
      <c r="G496" t="str">
        <f>_xlfn.XLOOKUP(C496,tblCOA[AccountNo],tblCOA[AccountName],"Unmapped")</f>
        <v>Accounts Receivable</v>
      </c>
      <c r="H496" t="str">
        <f>_xlfn.XLOOKUP(C496,tblCOA[AccountNo],tblCOA[Category],"Unmapped")</f>
        <v>Assets</v>
      </c>
      <c r="I496" s="4">
        <f t="shared" si="21"/>
        <v>8303.83</v>
      </c>
      <c r="J496">
        <f t="shared" si="22"/>
        <v>2023</v>
      </c>
      <c r="K496" s="5">
        <f t="shared" si="23"/>
        <v>45261</v>
      </c>
    </row>
    <row r="497" spans="1:11" x14ac:dyDescent="0.25">
      <c r="A497" t="s">
        <v>3468</v>
      </c>
      <c r="B497" s="3">
        <v>45276</v>
      </c>
      <c r="C497">
        <v>4010</v>
      </c>
      <c r="D497" s="1">
        <v>0</v>
      </c>
      <c r="E497" s="1">
        <v>8303.83</v>
      </c>
      <c r="F497" t="s">
        <v>3469</v>
      </c>
      <c r="G497" t="str">
        <f>_xlfn.XLOOKUP(C497,tblCOA[AccountNo],tblCOA[AccountName],"Unmapped")</f>
        <v>Product Sales</v>
      </c>
      <c r="H497" t="str">
        <f>_xlfn.XLOOKUP(C497,tblCOA[AccountNo],tblCOA[Category],"Unmapped")</f>
        <v>Revenue</v>
      </c>
      <c r="I497" s="4">
        <f t="shared" si="21"/>
        <v>-8303.83</v>
      </c>
      <c r="J497">
        <f t="shared" si="22"/>
        <v>2023</v>
      </c>
      <c r="K497" s="5">
        <f t="shared" si="23"/>
        <v>45261</v>
      </c>
    </row>
    <row r="498" spans="1:11" x14ac:dyDescent="0.25">
      <c r="A498" t="s">
        <v>2142</v>
      </c>
      <c r="B498" s="3">
        <v>45279</v>
      </c>
      <c r="C498">
        <v>5010</v>
      </c>
      <c r="D498" s="1">
        <v>17530.439999999999</v>
      </c>
      <c r="E498" s="1">
        <v>0</v>
      </c>
      <c r="F498" t="s">
        <v>2143</v>
      </c>
      <c r="G498" t="str">
        <f>_xlfn.XLOOKUP(C498,tblCOA[AccountNo],tblCOA[AccountName],"Unmapped")</f>
        <v>Cost of Goods Sold</v>
      </c>
      <c r="H498" t="str">
        <f>_xlfn.XLOOKUP(C498,tblCOA[AccountNo],tblCOA[Category],"Unmapped")</f>
        <v>Expenses</v>
      </c>
      <c r="I498" s="4">
        <f t="shared" si="21"/>
        <v>17530.439999999999</v>
      </c>
      <c r="J498">
        <f t="shared" si="22"/>
        <v>2023</v>
      </c>
      <c r="K498" s="5">
        <f t="shared" si="23"/>
        <v>45261</v>
      </c>
    </row>
    <row r="499" spans="1:11" x14ac:dyDescent="0.25">
      <c r="A499" t="s">
        <v>2144</v>
      </c>
      <c r="B499" s="3">
        <v>45279</v>
      </c>
      <c r="C499">
        <v>2010</v>
      </c>
      <c r="D499" s="1">
        <v>0</v>
      </c>
      <c r="E499" s="1">
        <v>17530.439999999999</v>
      </c>
      <c r="F499" t="s">
        <v>2145</v>
      </c>
      <c r="G499" t="str">
        <f>_xlfn.XLOOKUP(C499,tblCOA[AccountNo],tblCOA[AccountName],"Unmapped")</f>
        <v>Accounts Payable</v>
      </c>
      <c r="H499" t="str">
        <f>_xlfn.XLOOKUP(C499,tblCOA[AccountNo],tblCOA[Category],"Unmapped")</f>
        <v>Liabilities</v>
      </c>
      <c r="I499" s="4">
        <f t="shared" si="21"/>
        <v>-17530.439999999999</v>
      </c>
      <c r="J499">
        <f t="shared" si="22"/>
        <v>2023</v>
      </c>
      <c r="K499" s="5">
        <f t="shared" si="23"/>
        <v>45261</v>
      </c>
    </row>
    <row r="500" spans="1:11" x14ac:dyDescent="0.25">
      <c r="A500" t="s">
        <v>3758</v>
      </c>
      <c r="B500" s="3">
        <v>45279</v>
      </c>
      <c r="C500">
        <v>5010</v>
      </c>
      <c r="D500" s="1">
        <v>14299.06</v>
      </c>
      <c r="E500" s="1">
        <v>0</v>
      </c>
      <c r="F500" t="s">
        <v>3759</v>
      </c>
      <c r="G500" t="str">
        <f>_xlfn.XLOOKUP(C500,tblCOA[AccountNo],tblCOA[AccountName],"Unmapped")</f>
        <v>Cost of Goods Sold</v>
      </c>
      <c r="H500" t="str">
        <f>_xlfn.XLOOKUP(C500,tblCOA[AccountNo],tblCOA[Category],"Unmapped")</f>
        <v>Expenses</v>
      </c>
      <c r="I500" s="4">
        <f t="shared" si="21"/>
        <v>14299.06</v>
      </c>
      <c r="J500">
        <f t="shared" si="22"/>
        <v>2023</v>
      </c>
      <c r="K500" s="5">
        <f t="shared" si="23"/>
        <v>45261</v>
      </c>
    </row>
    <row r="501" spans="1:11" x14ac:dyDescent="0.25">
      <c r="A501" t="s">
        <v>3760</v>
      </c>
      <c r="B501" s="3">
        <v>45279</v>
      </c>
      <c r="C501">
        <v>2010</v>
      </c>
      <c r="D501" s="1">
        <v>0</v>
      </c>
      <c r="E501" s="1">
        <v>14299.06</v>
      </c>
      <c r="F501" t="s">
        <v>3761</v>
      </c>
      <c r="G501" t="str">
        <f>_xlfn.XLOOKUP(C501,tblCOA[AccountNo],tblCOA[AccountName],"Unmapped")</f>
        <v>Accounts Payable</v>
      </c>
      <c r="H501" t="str">
        <f>_xlfn.XLOOKUP(C501,tblCOA[AccountNo],tblCOA[Category],"Unmapped")</f>
        <v>Liabilities</v>
      </c>
      <c r="I501" s="4">
        <f t="shared" si="21"/>
        <v>-14299.06</v>
      </c>
      <c r="J501">
        <f t="shared" si="22"/>
        <v>2023</v>
      </c>
      <c r="K501" s="5">
        <f t="shared" si="23"/>
        <v>45261</v>
      </c>
    </row>
    <row r="502" spans="1:11" x14ac:dyDescent="0.25">
      <c r="A502" t="s">
        <v>3198</v>
      </c>
      <c r="B502" s="3">
        <v>45280</v>
      </c>
      <c r="C502">
        <v>5010</v>
      </c>
      <c r="D502" s="1">
        <v>7126.71</v>
      </c>
      <c r="E502" s="1">
        <v>0</v>
      </c>
      <c r="F502" t="s">
        <v>3199</v>
      </c>
      <c r="G502" t="str">
        <f>_xlfn.XLOOKUP(C502,tblCOA[AccountNo],tblCOA[AccountName],"Unmapped")</f>
        <v>Cost of Goods Sold</v>
      </c>
      <c r="H502" t="str">
        <f>_xlfn.XLOOKUP(C502,tblCOA[AccountNo],tblCOA[Category],"Unmapped")</f>
        <v>Expenses</v>
      </c>
      <c r="I502" s="4">
        <f t="shared" si="21"/>
        <v>7126.71</v>
      </c>
      <c r="J502">
        <f t="shared" si="22"/>
        <v>2023</v>
      </c>
      <c r="K502" s="5">
        <f t="shared" si="23"/>
        <v>45261</v>
      </c>
    </row>
    <row r="503" spans="1:11" x14ac:dyDescent="0.25">
      <c r="A503" t="s">
        <v>3200</v>
      </c>
      <c r="B503" s="3">
        <v>45280</v>
      </c>
      <c r="C503">
        <v>2010</v>
      </c>
      <c r="D503" s="1">
        <v>0</v>
      </c>
      <c r="E503" s="1">
        <v>7126.71</v>
      </c>
      <c r="F503" t="s">
        <v>3201</v>
      </c>
      <c r="G503" t="str">
        <f>_xlfn.XLOOKUP(C503,tblCOA[AccountNo],tblCOA[AccountName],"Unmapped")</f>
        <v>Accounts Payable</v>
      </c>
      <c r="H503" t="str">
        <f>_xlfn.XLOOKUP(C503,tblCOA[AccountNo],tblCOA[Category],"Unmapped")</f>
        <v>Liabilities</v>
      </c>
      <c r="I503" s="4">
        <f t="shared" si="21"/>
        <v>-7126.71</v>
      </c>
      <c r="J503">
        <f t="shared" si="22"/>
        <v>2023</v>
      </c>
      <c r="K503" s="5">
        <f t="shared" si="23"/>
        <v>45261</v>
      </c>
    </row>
    <row r="504" spans="1:11" x14ac:dyDescent="0.25">
      <c r="A504" t="s">
        <v>3786</v>
      </c>
      <c r="B504" s="3">
        <v>45280</v>
      </c>
      <c r="C504">
        <v>1200</v>
      </c>
      <c r="D504" s="1">
        <v>19351.080000000002</v>
      </c>
      <c r="E504" s="1">
        <v>0</v>
      </c>
      <c r="F504" t="s">
        <v>3787</v>
      </c>
      <c r="G504" t="str">
        <f>_xlfn.XLOOKUP(C504,tblCOA[AccountNo],tblCOA[AccountName],"Unmapped")</f>
        <v>Accounts Receivable</v>
      </c>
      <c r="H504" t="str">
        <f>_xlfn.XLOOKUP(C504,tblCOA[AccountNo],tblCOA[Category],"Unmapped")</f>
        <v>Assets</v>
      </c>
      <c r="I504" s="4">
        <f t="shared" si="21"/>
        <v>19351.080000000002</v>
      </c>
      <c r="J504">
        <f t="shared" si="22"/>
        <v>2023</v>
      </c>
      <c r="K504" s="5">
        <f t="shared" si="23"/>
        <v>45261</v>
      </c>
    </row>
    <row r="505" spans="1:11" x14ac:dyDescent="0.25">
      <c r="A505" t="s">
        <v>3788</v>
      </c>
      <c r="B505" s="3">
        <v>45280</v>
      </c>
      <c r="C505">
        <v>4010</v>
      </c>
      <c r="D505" s="1">
        <v>0</v>
      </c>
      <c r="E505" s="1">
        <v>19351.080000000002</v>
      </c>
      <c r="F505" t="s">
        <v>3789</v>
      </c>
      <c r="G505" t="str">
        <f>_xlfn.XLOOKUP(C505,tblCOA[AccountNo],tblCOA[AccountName],"Unmapped")</f>
        <v>Product Sales</v>
      </c>
      <c r="H505" t="str">
        <f>_xlfn.XLOOKUP(C505,tblCOA[AccountNo],tblCOA[Category],"Unmapped")</f>
        <v>Revenue</v>
      </c>
      <c r="I505" s="4">
        <f t="shared" si="21"/>
        <v>-19351.080000000002</v>
      </c>
      <c r="J505">
        <f t="shared" si="22"/>
        <v>2023</v>
      </c>
      <c r="K505" s="5">
        <f t="shared" si="23"/>
        <v>45261</v>
      </c>
    </row>
    <row r="506" spans="1:11" x14ac:dyDescent="0.25">
      <c r="A506" t="s">
        <v>50</v>
      </c>
      <c r="B506" s="3">
        <v>45282</v>
      </c>
      <c r="C506">
        <v>1200</v>
      </c>
      <c r="D506" s="1">
        <v>18851.98</v>
      </c>
      <c r="E506" s="1">
        <v>0</v>
      </c>
      <c r="F506" t="s">
        <v>51</v>
      </c>
      <c r="G506" t="str">
        <f>_xlfn.XLOOKUP(C506,tblCOA[AccountNo],tblCOA[AccountName],"Unmapped")</f>
        <v>Accounts Receivable</v>
      </c>
      <c r="H506" t="str">
        <f>_xlfn.XLOOKUP(C506,tblCOA[AccountNo],tblCOA[Category],"Unmapped")</f>
        <v>Assets</v>
      </c>
      <c r="I506" s="4">
        <f t="shared" si="21"/>
        <v>18851.98</v>
      </c>
      <c r="J506">
        <f t="shared" si="22"/>
        <v>2023</v>
      </c>
      <c r="K506" s="5">
        <f t="shared" si="23"/>
        <v>45261</v>
      </c>
    </row>
    <row r="507" spans="1:11" x14ac:dyDescent="0.25">
      <c r="A507" t="s">
        <v>52</v>
      </c>
      <c r="B507" s="3">
        <v>45282</v>
      </c>
      <c r="C507">
        <v>4010</v>
      </c>
      <c r="D507" s="1">
        <v>0</v>
      </c>
      <c r="E507" s="1">
        <v>18851.98</v>
      </c>
      <c r="F507" t="s">
        <v>53</v>
      </c>
      <c r="G507" t="str">
        <f>_xlfn.XLOOKUP(C507,tblCOA[AccountNo],tblCOA[AccountName],"Unmapped")</f>
        <v>Product Sales</v>
      </c>
      <c r="H507" t="str">
        <f>_xlfn.XLOOKUP(C507,tblCOA[AccountNo],tblCOA[Category],"Unmapped")</f>
        <v>Revenue</v>
      </c>
      <c r="I507" s="4">
        <f t="shared" si="21"/>
        <v>-18851.98</v>
      </c>
      <c r="J507">
        <f t="shared" si="22"/>
        <v>2023</v>
      </c>
      <c r="K507" s="5">
        <f t="shared" si="23"/>
        <v>45261</v>
      </c>
    </row>
    <row r="508" spans="1:11" x14ac:dyDescent="0.25">
      <c r="A508" t="s">
        <v>1554</v>
      </c>
      <c r="B508" s="3">
        <v>45282</v>
      </c>
      <c r="C508">
        <v>1200</v>
      </c>
      <c r="D508" s="1">
        <v>49219.519999999997</v>
      </c>
      <c r="E508" s="1">
        <v>0</v>
      </c>
      <c r="F508" t="s">
        <v>1555</v>
      </c>
      <c r="G508" t="str">
        <f>_xlfn.XLOOKUP(C508,tblCOA[AccountNo],tblCOA[AccountName],"Unmapped")</f>
        <v>Accounts Receivable</v>
      </c>
      <c r="H508" t="str">
        <f>_xlfn.XLOOKUP(C508,tblCOA[AccountNo],tblCOA[Category],"Unmapped")</f>
        <v>Assets</v>
      </c>
      <c r="I508" s="4">
        <f t="shared" si="21"/>
        <v>49219.519999999997</v>
      </c>
      <c r="J508">
        <f t="shared" si="22"/>
        <v>2023</v>
      </c>
      <c r="K508" s="5">
        <f t="shared" si="23"/>
        <v>45261</v>
      </c>
    </row>
    <row r="509" spans="1:11" x14ac:dyDescent="0.25">
      <c r="A509" t="s">
        <v>1556</v>
      </c>
      <c r="B509" s="3">
        <v>45282</v>
      </c>
      <c r="C509">
        <v>4010</v>
      </c>
      <c r="D509" s="1">
        <v>0</v>
      </c>
      <c r="E509" s="1">
        <v>49219.519999999997</v>
      </c>
      <c r="F509" t="s">
        <v>1557</v>
      </c>
      <c r="G509" t="str">
        <f>_xlfn.XLOOKUP(C509,tblCOA[AccountNo],tblCOA[AccountName],"Unmapped")</f>
        <v>Product Sales</v>
      </c>
      <c r="H509" t="str">
        <f>_xlfn.XLOOKUP(C509,tblCOA[AccountNo],tblCOA[Category],"Unmapped")</f>
        <v>Revenue</v>
      </c>
      <c r="I509" s="4">
        <f t="shared" si="21"/>
        <v>-49219.519999999997</v>
      </c>
      <c r="J509">
        <f t="shared" si="22"/>
        <v>2023</v>
      </c>
      <c r="K509" s="5">
        <f t="shared" si="23"/>
        <v>45261</v>
      </c>
    </row>
    <row r="510" spans="1:11" x14ac:dyDescent="0.25">
      <c r="A510" t="s">
        <v>918</v>
      </c>
      <c r="B510" s="3">
        <v>45283</v>
      </c>
      <c r="C510">
        <v>5010</v>
      </c>
      <c r="D510" s="1">
        <v>6154.54</v>
      </c>
      <c r="E510" s="1">
        <v>0</v>
      </c>
      <c r="F510" t="s">
        <v>919</v>
      </c>
      <c r="G510" t="str">
        <f>_xlfn.XLOOKUP(C510,tblCOA[AccountNo],tblCOA[AccountName],"Unmapped")</f>
        <v>Cost of Goods Sold</v>
      </c>
      <c r="H510" t="str">
        <f>_xlfn.XLOOKUP(C510,tblCOA[AccountNo],tblCOA[Category],"Unmapped")</f>
        <v>Expenses</v>
      </c>
      <c r="I510" s="4">
        <f t="shared" si="21"/>
        <v>6154.54</v>
      </c>
      <c r="J510">
        <f t="shared" si="22"/>
        <v>2023</v>
      </c>
      <c r="K510" s="5">
        <f t="shared" si="23"/>
        <v>45261</v>
      </c>
    </row>
    <row r="511" spans="1:11" x14ac:dyDescent="0.25">
      <c r="A511" t="s">
        <v>920</v>
      </c>
      <c r="B511" s="3">
        <v>45283</v>
      </c>
      <c r="C511">
        <v>2010</v>
      </c>
      <c r="D511" s="1">
        <v>0</v>
      </c>
      <c r="E511" s="1">
        <v>6154.54</v>
      </c>
      <c r="F511" t="s">
        <v>921</v>
      </c>
      <c r="G511" t="str">
        <f>_xlfn.XLOOKUP(C511,tblCOA[AccountNo],tblCOA[AccountName],"Unmapped")</f>
        <v>Accounts Payable</v>
      </c>
      <c r="H511" t="str">
        <f>_xlfn.XLOOKUP(C511,tblCOA[AccountNo],tblCOA[Category],"Unmapped")</f>
        <v>Liabilities</v>
      </c>
      <c r="I511" s="4">
        <f t="shared" si="21"/>
        <v>-6154.54</v>
      </c>
      <c r="J511">
        <f t="shared" si="22"/>
        <v>2023</v>
      </c>
      <c r="K511" s="5">
        <f t="shared" si="23"/>
        <v>45261</v>
      </c>
    </row>
    <row r="512" spans="1:11" x14ac:dyDescent="0.25">
      <c r="A512" t="s">
        <v>850</v>
      </c>
      <c r="B512" s="3">
        <v>45287</v>
      </c>
      <c r="C512">
        <v>1200</v>
      </c>
      <c r="D512" s="1">
        <v>26478.07</v>
      </c>
      <c r="E512" s="1">
        <v>0</v>
      </c>
      <c r="F512" t="s">
        <v>851</v>
      </c>
      <c r="G512" t="str">
        <f>_xlfn.XLOOKUP(C512,tblCOA[AccountNo],tblCOA[AccountName],"Unmapped")</f>
        <v>Accounts Receivable</v>
      </c>
      <c r="H512" t="str">
        <f>_xlfn.XLOOKUP(C512,tblCOA[AccountNo],tblCOA[Category],"Unmapped")</f>
        <v>Assets</v>
      </c>
      <c r="I512" s="4">
        <f t="shared" si="21"/>
        <v>26478.07</v>
      </c>
      <c r="J512">
        <f t="shared" si="22"/>
        <v>2023</v>
      </c>
      <c r="K512" s="5">
        <f t="shared" si="23"/>
        <v>45261</v>
      </c>
    </row>
    <row r="513" spans="1:11" x14ac:dyDescent="0.25">
      <c r="A513" t="s">
        <v>852</v>
      </c>
      <c r="B513" s="3">
        <v>45287</v>
      </c>
      <c r="C513">
        <v>4010</v>
      </c>
      <c r="D513" s="1">
        <v>0</v>
      </c>
      <c r="E513" s="1">
        <v>26478.07</v>
      </c>
      <c r="F513" t="s">
        <v>853</v>
      </c>
      <c r="G513" t="str">
        <f>_xlfn.XLOOKUP(C513,tblCOA[AccountNo],tblCOA[AccountName],"Unmapped")</f>
        <v>Product Sales</v>
      </c>
      <c r="H513" t="str">
        <f>_xlfn.XLOOKUP(C513,tblCOA[AccountNo],tblCOA[Category],"Unmapped")</f>
        <v>Revenue</v>
      </c>
      <c r="I513" s="4">
        <f t="shared" si="21"/>
        <v>-26478.07</v>
      </c>
      <c r="J513">
        <f t="shared" si="22"/>
        <v>2023</v>
      </c>
      <c r="K513" s="5">
        <f t="shared" si="23"/>
        <v>45261</v>
      </c>
    </row>
    <row r="514" spans="1:11" x14ac:dyDescent="0.25">
      <c r="A514" t="s">
        <v>3898</v>
      </c>
      <c r="B514" s="3">
        <v>45289</v>
      </c>
      <c r="C514">
        <v>1200</v>
      </c>
      <c r="D514" s="1">
        <v>47668.26</v>
      </c>
      <c r="E514" s="1">
        <v>0</v>
      </c>
      <c r="F514" t="s">
        <v>3899</v>
      </c>
      <c r="G514" t="str">
        <f>_xlfn.XLOOKUP(C514,tblCOA[AccountNo],tblCOA[AccountName],"Unmapped")</f>
        <v>Accounts Receivable</v>
      </c>
      <c r="H514" t="str">
        <f>_xlfn.XLOOKUP(C514,tblCOA[AccountNo],tblCOA[Category],"Unmapped")</f>
        <v>Assets</v>
      </c>
      <c r="I514" s="4">
        <f t="shared" ref="I514:I577" si="24">D514-E514</f>
        <v>47668.26</v>
      </c>
      <c r="J514">
        <f t="shared" ref="J514:J577" si="25">YEAR(B514)</f>
        <v>2023</v>
      </c>
      <c r="K514" s="5">
        <f t="shared" ref="K514:K577" si="26">DATE(YEAR(B514),MONTH(B514),1)</f>
        <v>45261</v>
      </c>
    </row>
    <row r="515" spans="1:11" x14ac:dyDescent="0.25">
      <c r="A515" t="s">
        <v>3900</v>
      </c>
      <c r="B515" s="3">
        <v>45289</v>
      </c>
      <c r="C515">
        <v>4010</v>
      </c>
      <c r="D515" s="1">
        <v>0</v>
      </c>
      <c r="E515" s="1">
        <v>47668.26</v>
      </c>
      <c r="F515" t="s">
        <v>3901</v>
      </c>
      <c r="G515" t="str">
        <f>_xlfn.XLOOKUP(C515,tblCOA[AccountNo],tblCOA[AccountName],"Unmapped")</f>
        <v>Product Sales</v>
      </c>
      <c r="H515" t="str">
        <f>_xlfn.XLOOKUP(C515,tblCOA[AccountNo],tblCOA[Category],"Unmapped")</f>
        <v>Revenue</v>
      </c>
      <c r="I515" s="4">
        <f t="shared" si="24"/>
        <v>-47668.26</v>
      </c>
      <c r="J515">
        <f t="shared" si="25"/>
        <v>2023</v>
      </c>
      <c r="K515" s="5">
        <f t="shared" si="26"/>
        <v>45261</v>
      </c>
    </row>
    <row r="516" spans="1:11" x14ac:dyDescent="0.25">
      <c r="A516" t="s">
        <v>2146</v>
      </c>
      <c r="B516" s="3">
        <v>45292</v>
      </c>
      <c r="C516">
        <v>1200</v>
      </c>
      <c r="D516" s="1">
        <v>30428.639999999999</v>
      </c>
      <c r="E516" s="1">
        <v>0</v>
      </c>
      <c r="F516" t="s">
        <v>2147</v>
      </c>
      <c r="G516" t="str">
        <f>_xlfn.XLOOKUP(C516,tblCOA[AccountNo],tblCOA[AccountName],"Unmapped")</f>
        <v>Accounts Receivable</v>
      </c>
      <c r="H516" t="str">
        <f>_xlfn.XLOOKUP(C516,tblCOA[AccountNo],tblCOA[Category],"Unmapped")</f>
        <v>Assets</v>
      </c>
      <c r="I516" s="4">
        <f t="shared" si="24"/>
        <v>30428.639999999999</v>
      </c>
      <c r="J516">
        <f t="shared" si="25"/>
        <v>2024</v>
      </c>
      <c r="K516" s="5">
        <f t="shared" si="26"/>
        <v>45292</v>
      </c>
    </row>
    <row r="517" spans="1:11" x14ac:dyDescent="0.25">
      <c r="A517" t="s">
        <v>2148</v>
      </c>
      <c r="B517" s="3">
        <v>45292</v>
      </c>
      <c r="C517">
        <v>4010</v>
      </c>
      <c r="D517" s="1">
        <v>0</v>
      </c>
      <c r="E517" s="1">
        <v>30428.639999999999</v>
      </c>
      <c r="F517" t="s">
        <v>2149</v>
      </c>
      <c r="G517" t="str">
        <f>_xlfn.XLOOKUP(C517,tblCOA[AccountNo],tblCOA[AccountName],"Unmapped")</f>
        <v>Product Sales</v>
      </c>
      <c r="H517" t="str">
        <f>_xlfn.XLOOKUP(C517,tblCOA[AccountNo],tblCOA[Category],"Unmapped")</f>
        <v>Revenue</v>
      </c>
      <c r="I517" s="4">
        <f t="shared" si="24"/>
        <v>-30428.639999999999</v>
      </c>
      <c r="J517">
        <f t="shared" si="25"/>
        <v>2024</v>
      </c>
      <c r="K517" s="5">
        <f t="shared" si="26"/>
        <v>45292</v>
      </c>
    </row>
    <row r="518" spans="1:11" x14ac:dyDescent="0.25">
      <c r="A518" t="s">
        <v>3410</v>
      </c>
      <c r="B518" s="3">
        <v>45301</v>
      </c>
      <c r="C518">
        <v>1200</v>
      </c>
      <c r="D518" s="1">
        <v>34993.660000000003</v>
      </c>
      <c r="E518" s="1">
        <v>0</v>
      </c>
      <c r="F518" t="s">
        <v>3411</v>
      </c>
      <c r="G518" t="str">
        <f>_xlfn.XLOOKUP(C518,tblCOA[AccountNo],tblCOA[AccountName],"Unmapped")</f>
        <v>Accounts Receivable</v>
      </c>
      <c r="H518" t="str">
        <f>_xlfn.XLOOKUP(C518,tblCOA[AccountNo],tblCOA[Category],"Unmapped")</f>
        <v>Assets</v>
      </c>
      <c r="I518" s="4">
        <f t="shared" si="24"/>
        <v>34993.660000000003</v>
      </c>
      <c r="J518">
        <f t="shared" si="25"/>
        <v>2024</v>
      </c>
      <c r="K518" s="5">
        <f t="shared" si="26"/>
        <v>45292</v>
      </c>
    </row>
    <row r="519" spans="1:11" x14ac:dyDescent="0.25">
      <c r="A519" t="s">
        <v>3412</v>
      </c>
      <c r="B519" s="3">
        <v>45301</v>
      </c>
      <c r="C519">
        <v>4010</v>
      </c>
      <c r="D519" s="1">
        <v>0</v>
      </c>
      <c r="E519" s="1">
        <v>34993.660000000003</v>
      </c>
      <c r="F519" t="s">
        <v>3413</v>
      </c>
      <c r="G519" t="str">
        <f>_xlfn.XLOOKUP(C519,tblCOA[AccountNo],tblCOA[AccountName],"Unmapped")</f>
        <v>Product Sales</v>
      </c>
      <c r="H519" t="str">
        <f>_xlfn.XLOOKUP(C519,tblCOA[AccountNo],tblCOA[Category],"Unmapped")</f>
        <v>Revenue</v>
      </c>
      <c r="I519" s="4">
        <f t="shared" si="24"/>
        <v>-34993.660000000003</v>
      </c>
      <c r="J519">
        <f t="shared" si="25"/>
        <v>2024</v>
      </c>
      <c r="K519" s="5">
        <f t="shared" si="26"/>
        <v>45292</v>
      </c>
    </row>
    <row r="520" spans="1:11" x14ac:dyDescent="0.25">
      <c r="A520" t="s">
        <v>958</v>
      </c>
      <c r="B520" s="3">
        <v>45303</v>
      </c>
      <c r="C520">
        <v>5010</v>
      </c>
      <c r="D520" s="1">
        <v>7621.71</v>
      </c>
      <c r="E520" s="1">
        <v>0</v>
      </c>
      <c r="F520" t="s">
        <v>959</v>
      </c>
      <c r="G520" t="str">
        <f>_xlfn.XLOOKUP(C520,tblCOA[AccountNo],tblCOA[AccountName],"Unmapped")</f>
        <v>Cost of Goods Sold</v>
      </c>
      <c r="H520" t="str">
        <f>_xlfn.XLOOKUP(C520,tblCOA[AccountNo],tblCOA[Category],"Unmapped")</f>
        <v>Expenses</v>
      </c>
      <c r="I520" s="4">
        <f t="shared" si="24"/>
        <v>7621.71</v>
      </c>
      <c r="J520">
        <f t="shared" si="25"/>
        <v>2024</v>
      </c>
      <c r="K520" s="5">
        <f t="shared" si="26"/>
        <v>45292</v>
      </c>
    </row>
    <row r="521" spans="1:11" x14ac:dyDescent="0.25">
      <c r="A521" t="s">
        <v>960</v>
      </c>
      <c r="B521" s="3">
        <v>45303</v>
      </c>
      <c r="C521">
        <v>2010</v>
      </c>
      <c r="D521" s="1">
        <v>0</v>
      </c>
      <c r="E521" s="1">
        <v>7621.71</v>
      </c>
      <c r="F521" t="s">
        <v>961</v>
      </c>
      <c r="G521" t="str">
        <f>_xlfn.XLOOKUP(C521,tblCOA[AccountNo],tblCOA[AccountName],"Unmapped")</f>
        <v>Accounts Payable</v>
      </c>
      <c r="H521" t="str">
        <f>_xlfn.XLOOKUP(C521,tblCOA[AccountNo],tblCOA[Category],"Unmapped")</f>
        <v>Liabilities</v>
      </c>
      <c r="I521" s="4">
        <f t="shared" si="24"/>
        <v>-7621.71</v>
      </c>
      <c r="J521">
        <f t="shared" si="25"/>
        <v>2024</v>
      </c>
      <c r="K521" s="5">
        <f t="shared" si="26"/>
        <v>45292</v>
      </c>
    </row>
    <row r="522" spans="1:11" x14ac:dyDescent="0.25">
      <c r="A522" t="s">
        <v>3638</v>
      </c>
      <c r="B522" s="3">
        <v>45304</v>
      </c>
      <c r="C522">
        <v>5010</v>
      </c>
      <c r="D522" s="1">
        <v>12682.88</v>
      </c>
      <c r="E522" s="1">
        <v>0</v>
      </c>
      <c r="F522" t="s">
        <v>3639</v>
      </c>
      <c r="G522" t="str">
        <f>_xlfn.XLOOKUP(C522,tblCOA[AccountNo],tblCOA[AccountName],"Unmapped")</f>
        <v>Cost of Goods Sold</v>
      </c>
      <c r="H522" t="str">
        <f>_xlfn.XLOOKUP(C522,tblCOA[AccountNo],tblCOA[Category],"Unmapped")</f>
        <v>Expenses</v>
      </c>
      <c r="I522" s="4">
        <f t="shared" si="24"/>
        <v>12682.88</v>
      </c>
      <c r="J522">
        <f t="shared" si="25"/>
        <v>2024</v>
      </c>
      <c r="K522" s="5">
        <f t="shared" si="26"/>
        <v>45292</v>
      </c>
    </row>
    <row r="523" spans="1:11" x14ac:dyDescent="0.25">
      <c r="A523" t="s">
        <v>3640</v>
      </c>
      <c r="B523" s="3">
        <v>45304</v>
      </c>
      <c r="C523">
        <v>2010</v>
      </c>
      <c r="D523" s="1">
        <v>0</v>
      </c>
      <c r="E523" s="1">
        <v>12682.88</v>
      </c>
      <c r="F523" t="s">
        <v>3641</v>
      </c>
      <c r="G523" t="str">
        <f>_xlfn.XLOOKUP(C523,tblCOA[AccountNo],tblCOA[AccountName],"Unmapped")</f>
        <v>Accounts Payable</v>
      </c>
      <c r="H523" t="str">
        <f>_xlfn.XLOOKUP(C523,tblCOA[AccountNo],tblCOA[Category],"Unmapped")</f>
        <v>Liabilities</v>
      </c>
      <c r="I523" s="4">
        <f t="shared" si="24"/>
        <v>-12682.88</v>
      </c>
      <c r="J523">
        <f t="shared" si="25"/>
        <v>2024</v>
      </c>
      <c r="K523" s="5">
        <f t="shared" si="26"/>
        <v>45292</v>
      </c>
    </row>
    <row r="524" spans="1:11" x14ac:dyDescent="0.25">
      <c r="A524" t="s">
        <v>1338</v>
      </c>
      <c r="B524" s="3">
        <v>45304</v>
      </c>
      <c r="C524">
        <v>1200</v>
      </c>
      <c r="D524" s="1">
        <v>18645.41</v>
      </c>
      <c r="E524" s="1">
        <v>0</v>
      </c>
      <c r="F524" t="s">
        <v>1339</v>
      </c>
      <c r="G524" t="str">
        <f>_xlfn.XLOOKUP(C524,tblCOA[AccountNo],tblCOA[AccountName],"Unmapped")</f>
        <v>Accounts Receivable</v>
      </c>
      <c r="H524" t="str">
        <f>_xlfn.XLOOKUP(C524,tblCOA[AccountNo],tblCOA[Category],"Unmapped")</f>
        <v>Assets</v>
      </c>
      <c r="I524" s="4">
        <f t="shared" si="24"/>
        <v>18645.41</v>
      </c>
      <c r="J524">
        <f t="shared" si="25"/>
        <v>2024</v>
      </c>
      <c r="K524" s="5">
        <f t="shared" si="26"/>
        <v>45292</v>
      </c>
    </row>
    <row r="525" spans="1:11" x14ac:dyDescent="0.25">
      <c r="A525" t="s">
        <v>1340</v>
      </c>
      <c r="B525" s="3">
        <v>45304</v>
      </c>
      <c r="C525">
        <v>4010</v>
      </c>
      <c r="D525" s="1">
        <v>0</v>
      </c>
      <c r="E525" s="1">
        <v>18645.41</v>
      </c>
      <c r="F525" t="s">
        <v>1341</v>
      </c>
      <c r="G525" t="str">
        <f>_xlfn.XLOOKUP(C525,tblCOA[AccountNo],tblCOA[AccountName],"Unmapped")</f>
        <v>Product Sales</v>
      </c>
      <c r="H525" t="str">
        <f>_xlfn.XLOOKUP(C525,tblCOA[AccountNo],tblCOA[Category],"Unmapped")</f>
        <v>Revenue</v>
      </c>
      <c r="I525" s="4">
        <f t="shared" si="24"/>
        <v>-18645.41</v>
      </c>
      <c r="J525">
        <f t="shared" si="25"/>
        <v>2024</v>
      </c>
      <c r="K525" s="5">
        <f t="shared" si="26"/>
        <v>45292</v>
      </c>
    </row>
    <row r="526" spans="1:11" x14ac:dyDescent="0.25">
      <c r="A526" t="s">
        <v>1774</v>
      </c>
      <c r="B526" s="3">
        <v>45304</v>
      </c>
      <c r="C526">
        <v>5010</v>
      </c>
      <c r="D526" s="1">
        <v>16484.599999999999</v>
      </c>
      <c r="E526" s="1">
        <v>0</v>
      </c>
      <c r="F526" t="s">
        <v>1775</v>
      </c>
      <c r="G526" t="str">
        <f>_xlfn.XLOOKUP(C526,tblCOA[AccountNo],tblCOA[AccountName],"Unmapped")</f>
        <v>Cost of Goods Sold</v>
      </c>
      <c r="H526" t="str">
        <f>_xlfn.XLOOKUP(C526,tblCOA[AccountNo],tblCOA[Category],"Unmapped")</f>
        <v>Expenses</v>
      </c>
      <c r="I526" s="4">
        <f t="shared" si="24"/>
        <v>16484.599999999999</v>
      </c>
      <c r="J526">
        <f t="shared" si="25"/>
        <v>2024</v>
      </c>
      <c r="K526" s="5">
        <f t="shared" si="26"/>
        <v>45292</v>
      </c>
    </row>
    <row r="527" spans="1:11" x14ac:dyDescent="0.25">
      <c r="A527" t="s">
        <v>1776</v>
      </c>
      <c r="B527" s="3">
        <v>45304</v>
      </c>
      <c r="C527">
        <v>2010</v>
      </c>
      <c r="D527" s="1">
        <v>0</v>
      </c>
      <c r="E527" s="1">
        <v>16484.599999999999</v>
      </c>
      <c r="F527" t="s">
        <v>1777</v>
      </c>
      <c r="G527" t="str">
        <f>_xlfn.XLOOKUP(C527,tblCOA[AccountNo],tblCOA[AccountName],"Unmapped")</f>
        <v>Accounts Payable</v>
      </c>
      <c r="H527" t="str">
        <f>_xlfn.XLOOKUP(C527,tblCOA[AccountNo],tblCOA[Category],"Unmapped")</f>
        <v>Liabilities</v>
      </c>
      <c r="I527" s="4">
        <f t="shared" si="24"/>
        <v>-16484.599999999999</v>
      </c>
      <c r="J527">
        <f t="shared" si="25"/>
        <v>2024</v>
      </c>
      <c r="K527" s="5">
        <f t="shared" si="26"/>
        <v>45292</v>
      </c>
    </row>
    <row r="528" spans="1:11" x14ac:dyDescent="0.25">
      <c r="A528" t="s">
        <v>3906</v>
      </c>
      <c r="B528" s="3">
        <v>45305</v>
      </c>
      <c r="C528">
        <v>1200</v>
      </c>
      <c r="D528" s="1">
        <v>24095.98</v>
      </c>
      <c r="E528" s="1">
        <v>0</v>
      </c>
      <c r="F528" t="s">
        <v>3907</v>
      </c>
      <c r="G528" t="str">
        <f>_xlfn.XLOOKUP(C528,tblCOA[AccountNo],tblCOA[AccountName],"Unmapped")</f>
        <v>Accounts Receivable</v>
      </c>
      <c r="H528" t="str">
        <f>_xlfn.XLOOKUP(C528,tblCOA[AccountNo],tblCOA[Category],"Unmapped")</f>
        <v>Assets</v>
      </c>
      <c r="I528" s="4">
        <f t="shared" si="24"/>
        <v>24095.98</v>
      </c>
      <c r="J528">
        <f t="shared" si="25"/>
        <v>2024</v>
      </c>
      <c r="K528" s="5">
        <f t="shared" si="26"/>
        <v>45292</v>
      </c>
    </row>
    <row r="529" spans="1:11" x14ac:dyDescent="0.25">
      <c r="A529" t="s">
        <v>3908</v>
      </c>
      <c r="B529" s="3">
        <v>45305</v>
      </c>
      <c r="C529">
        <v>4010</v>
      </c>
      <c r="D529" s="1">
        <v>0</v>
      </c>
      <c r="E529" s="1">
        <v>24095.98</v>
      </c>
      <c r="F529" t="s">
        <v>3909</v>
      </c>
      <c r="G529" t="str">
        <f>_xlfn.XLOOKUP(C529,tblCOA[AccountNo],tblCOA[AccountName],"Unmapped")</f>
        <v>Product Sales</v>
      </c>
      <c r="H529" t="str">
        <f>_xlfn.XLOOKUP(C529,tblCOA[AccountNo],tblCOA[Category],"Unmapped")</f>
        <v>Revenue</v>
      </c>
      <c r="I529" s="4">
        <f t="shared" si="24"/>
        <v>-24095.98</v>
      </c>
      <c r="J529">
        <f t="shared" si="25"/>
        <v>2024</v>
      </c>
      <c r="K529" s="5">
        <f t="shared" si="26"/>
        <v>45292</v>
      </c>
    </row>
    <row r="530" spans="1:11" x14ac:dyDescent="0.25">
      <c r="A530" t="s">
        <v>2606</v>
      </c>
      <c r="B530" s="3">
        <v>45306</v>
      </c>
      <c r="C530">
        <v>5010</v>
      </c>
      <c r="D530" s="1">
        <v>13738.91</v>
      </c>
      <c r="E530" s="1">
        <v>0</v>
      </c>
      <c r="F530" t="s">
        <v>2607</v>
      </c>
      <c r="G530" t="str">
        <f>_xlfn.XLOOKUP(C530,tblCOA[AccountNo],tblCOA[AccountName],"Unmapped")</f>
        <v>Cost of Goods Sold</v>
      </c>
      <c r="H530" t="str">
        <f>_xlfn.XLOOKUP(C530,tblCOA[AccountNo],tblCOA[Category],"Unmapped")</f>
        <v>Expenses</v>
      </c>
      <c r="I530" s="4">
        <f t="shared" si="24"/>
        <v>13738.91</v>
      </c>
      <c r="J530">
        <f t="shared" si="25"/>
        <v>2024</v>
      </c>
      <c r="K530" s="5">
        <f t="shared" si="26"/>
        <v>45292</v>
      </c>
    </row>
    <row r="531" spans="1:11" x14ac:dyDescent="0.25">
      <c r="A531" t="s">
        <v>2608</v>
      </c>
      <c r="B531" s="3">
        <v>45306</v>
      </c>
      <c r="C531">
        <v>2010</v>
      </c>
      <c r="D531" s="1">
        <v>0</v>
      </c>
      <c r="E531" s="1">
        <v>13738.91</v>
      </c>
      <c r="F531" t="s">
        <v>2609</v>
      </c>
      <c r="G531" t="str">
        <f>_xlfn.XLOOKUP(C531,tblCOA[AccountNo],tblCOA[AccountName],"Unmapped")</f>
        <v>Accounts Payable</v>
      </c>
      <c r="H531" t="str">
        <f>_xlfn.XLOOKUP(C531,tblCOA[AccountNo],tblCOA[Category],"Unmapped")</f>
        <v>Liabilities</v>
      </c>
      <c r="I531" s="4">
        <f t="shared" si="24"/>
        <v>-13738.91</v>
      </c>
      <c r="J531">
        <f t="shared" si="25"/>
        <v>2024</v>
      </c>
      <c r="K531" s="5">
        <f t="shared" si="26"/>
        <v>45292</v>
      </c>
    </row>
    <row r="532" spans="1:11" x14ac:dyDescent="0.25">
      <c r="A532" t="s">
        <v>2182</v>
      </c>
      <c r="B532" s="3">
        <v>45308</v>
      </c>
      <c r="C532">
        <v>5010</v>
      </c>
      <c r="D532" s="1">
        <v>7861.04</v>
      </c>
      <c r="E532" s="1">
        <v>0</v>
      </c>
      <c r="F532" t="s">
        <v>2183</v>
      </c>
      <c r="G532" t="str">
        <f>_xlfn.XLOOKUP(C532,tblCOA[AccountNo],tblCOA[AccountName],"Unmapped")</f>
        <v>Cost of Goods Sold</v>
      </c>
      <c r="H532" t="str">
        <f>_xlfn.XLOOKUP(C532,tblCOA[AccountNo],tblCOA[Category],"Unmapped")</f>
        <v>Expenses</v>
      </c>
      <c r="I532" s="4">
        <f t="shared" si="24"/>
        <v>7861.04</v>
      </c>
      <c r="J532">
        <f t="shared" si="25"/>
        <v>2024</v>
      </c>
      <c r="K532" s="5">
        <f t="shared" si="26"/>
        <v>45292</v>
      </c>
    </row>
    <row r="533" spans="1:11" x14ac:dyDescent="0.25">
      <c r="A533" t="s">
        <v>2184</v>
      </c>
      <c r="B533" s="3">
        <v>45308</v>
      </c>
      <c r="C533">
        <v>2010</v>
      </c>
      <c r="D533" s="1">
        <v>0</v>
      </c>
      <c r="E533" s="1">
        <v>7861.04</v>
      </c>
      <c r="F533" t="s">
        <v>2185</v>
      </c>
      <c r="G533" t="str">
        <f>_xlfn.XLOOKUP(C533,tblCOA[AccountNo],tblCOA[AccountName],"Unmapped")</f>
        <v>Accounts Payable</v>
      </c>
      <c r="H533" t="str">
        <f>_xlfn.XLOOKUP(C533,tblCOA[AccountNo],tblCOA[Category],"Unmapped")</f>
        <v>Liabilities</v>
      </c>
      <c r="I533" s="4">
        <f t="shared" si="24"/>
        <v>-7861.04</v>
      </c>
      <c r="J533">
        <f t="shared" si="25"/>
        <v>2024</v>
      </c>
      <c r="K533" s="5">
        <f t="shared" si="26"/>
        <v>45292</v>
      </c>
    </row>
    <row r="534" spans="1:11" x14ac:dyDescent="0.25">
      <c r="A534" t="s">
        <v>3926</v>
      </c>
      <c r="B534" s="3">
        <v>45308</v>
      </c>
      <c r="C534">
        <v>5010</v>
      </c>
      <c r="D534" s="1">
        <v>18118.3</v>
      </c>
      <c r="E534" s="1">
        <v>0</v>
      </c>
      <c r="F534" t="s">
        <v>3927</v>
      </c>
      <c r="G534" t="str">
        <f>_xlfn.XLOOKUP(C534,tblCOA[AccountNo],tblCOA[AccountName],"Unmapped")</f>
        <v>Cost of Goods Sold</v>
      </c>
      <c r="H534" t="str">
        <f>_xlfn.XLOOKUP(C534,tblCOA[AccountNo],tblCOA[Category],"Unmapped")</f>
        <v>Expenses</v>
      </c>
      <c r="I534" s="4">
        <f t="shared" si="24"/>
        <v>18118.3</v>
      </c>
      <c r="J534">
        <f t="shared" si="25"/>
        <v>2024</v>
      </c>
      <c r="K534" s="5">
        <f t="shared" si="26"/>
        <v>45292</v>
      </c>
    </row>
    <row r="535" spans="1:11" x14ac:dyDescent="0.25">
      <c r="A535" t="s">
        <v>3928</v>
      </c>
      <c r="B535" s="3">
        <v>45308</v>
      </c>
      <c r="C535">
        <v>2010</v>
      </c>
      <c r="D535" s="1">
        <v>0</v>
      </c>
      <c r="E535" s="1">
        <v>18118.3</v>
      </c>
      <c r="F535" t="s">
        <v>3929</v>
      </c>
      <c r="G535" t="str">
        <f>_xlfn.XLOOKUP(C535,tblCOA[AccountNo],tblCOA[AccountName],"Unmapped")</f>
        <v>Accounts Payable</v>
      </c>
      <c r="H535" t="str">
        <f>_xlfn.XLOOKUP(C535,tblCOA[AccountNo],tblCOA[Category],"Unmapped")</f>
        <v>Liabilities</v>
      </c>
      <c r="I535" s="4">
        <f t="shared" si="24"/>
        <v>-18118.3</v>
      </c>
      <c r="J535">
        <f t="shared" si="25"/>
        <v>2024</v>
      </c>
      <c r="K535" s="5">
        <f t="shared" si="26"/>
        <v>45292</v>
      </c>
    </row>
    <row r="536" spans="1:11" x14ac:dyDescent="0.25">
      <c r="A536" t="s">
        <v>3382</v>
      </c>
      <c r="B536" s="3">
        <v>45309</v>
      </c>
      <c r="C536">
        <v>5010</v>
      </c>
      <c r="D536" s="1">
        <v>17546.169999999998</v>
      </c>
      <c r="E536" s="1">
        <v>0</v>
      </c>
      <c r="F536" t="s">
        <v>3383</v>
      </c>
      <c r="G536" t="str">
        <f>_xlfn.XLOOKUP(C536,tblCOA[AccountNo],tblCOA[AccountName],"Unmapped")</f>
        <v>Cost of Goods Sold</v>
      </c>
      <c r="H536" t="str">
        <f>_xlfn.XLOOKUP(C536,tblCOA[AccountNo],tblCOA[Category],"Unmapped")</f>
        <v>Expenses</v>
      </c>
      <c r="I536" s="4">
        <f t="shared" si="24"/>
        <v>17546.169999999998</v>
      </c>
      <c r="J536">
        <f t="shared" si="25"/>
        <v>2024</v>
      </c>
      <c r="K536" s="5">
        <f t="shared" si="26"/>
        <v>45292</v>
      </c>
    </row>
    <row r="537" spans="1:11" x14ac:dyDescent="0.25">
      <c r="A537" t="s">
        <v>3384</v>
      </c>
      <c r="B537" s="3">
        <v>45309</v>
      </c>
      <c r="C537">
        <v>2010</v>
      </c>
      <c r="D537" s="1">
        <v>0</v>
      </c>
      <c r="E537" s="1">
        <v>17546.169999999998</v>
      </c>
      <c r="F537" t="s">
        <v>3385</v>
      </c>
      <c r="G537" t="str">
        <f>_xlfn.XLOOKUP(C537,tblCOA[AccountNo],tblCOA[AccountName],"Unmapped")</f>
        <v>Accounts Payable</v>
      </c>
      <c r="H537" t="str">
        <f>_xlfn.XLOOKUP(C537,tblCOA[AccountNo],tblCOA[Category],"Unmapped")</f>
        <v>Liabilities</v>
      </c>
      <c r="I537" s="4">
        <f t="shared" si="24"/>
        <v>-17546.169999999998</v>
      </c>
      <c r="J537">
        <f t="shared" si="25"/>
        <v>2024</v>
      </c>
      <c r="K537" s="5">
        <f t="shared" si="26"/>
        <v>45292</v>
      </c>
    </row>
    <row r="538" spans="1:11" x14ac:dyDescent="0.25">
      <c r="A538" t="s">
        <v>2662</v>
      </c>
      <c r="B538" s="3">
        <v>45311</v>
      </c>
      <c r="C538">
        <v>5010</v>
      </c>
      <c r="D538" s="1">
        <v>8901.84</v>
      </c>
      <c r="E538" s="1">
        <v>0</v>
      </c>
      <c r="F538" t="s">
        <v>2663</v>
      </c>
      <c r="G538" t="str">
        <f>_xlfn.XLOOKUP(C538,tblCOA[AccountNo],tblCOA[AccountName],"Unmapped")</f>
        <v>Cost of Goods Sold</v>
      </c>
      <c r="H538" t="str">
        <f>_xlfn.XLOOKUP(C538,tblCOA[AccountNo],tblCOA[Category],"Unmapped")</f>
        <v>Expenses</v>
      </c>
      <c r="I538" s="4">
        <f t="shared" si="24"/>
        <v>8901.84</v>
      </c>
      <c r="J538">
        <f t="shared" si="25"/>
        <v>2024</v>
      </c>
      <c r="K538" s="5">
        <f t="shared" si="26"/>
        <v>45292</v>
      </c>
    </row>
    <row r="539" spans="1:11" x14ac:dyDescent="0.25">
      <c r="A539" t="s">
        <v>2664</v>
      </c>
      <c r="B539" s="3">
        <v>45311</v>
      </c>
      <c r="C539">
        <v>2010</v>
      </c>
      <c r="D539" s="1">
        <v>0</v>
      </c>
      <c r="E539" s="1">
        <v>8901.84</v>
      </c>
      <c r="F539" t="s">
        <v>2665</v>
      </c>
      <c r="G539" t="str">
        <f>_xlfn.XLOOKUP(C539,tblCOA[AccountNo],tblCOA[AccountName],"Unmapped")</f>
        <v>Accounts Payable</v>
      </c>
      <c r="H539" t="str">
        <f>_xlfn.XLOOKUP(C539,tblCOA[AccountNo],tblCOA[Category],"Unmapped")</f>
        <v>Liabilities</v>
      </c>
      <c r="I539" s="4">
        <f t="shared" si="24"/>
        <v>-8901.84</v>
      </c>
      <c r="J539">
        <f t="shared" si="25"/>
        <v>2024</v>
      </c>
      <c r="K539" s="5">
        <f t="shared" si="26"/>
        <v>45292</v>
      </c>
    </row>
    <row r="540" spans="1:11" x14ac:dyDescent="0.25">
      <c r="A540" t="s">
        <v>3062</v>
      </c>
      <c r="B540" s="3">
        <v>45312</v>
      </c>
      <c r="C540">
        <v>5010</v>
      </c>
      <c r="D540" s="1">
        <v>18736.13</v>
      </c>
      <c r="E540" s="1">
        <v>0</v>
      </c>
      <c r="F540" t="s">
        <v>3063</v>
      </c>
      <c r="G540" t="str">
        <f>_xlfn.XLOOKUP(C540,tblCOA[AccountNo],tblCOA[AccountName],"Unmapped")</f>
        <v>Cost of Goods Sold</v>
      </c>
      <c r="H540" t="str">
        <f>_xlfn.XLOOKUP(C540,tblCOA[AccountNo],tblCOA[Category],"Unmapped")</f>
        <v>Expenses</v>
      </c>
      <c r="I540" s="4">
        <f t="shared" si="24"/>
        <v>18736.13</v>
      </c>
      <c r="J540">
        <f t="shared" si="25"/>
        <v>2024</v>
      </c>
      <c r="K540" s="5">
        <f t="shared" si="26"/>
        <v>45292</v>
      </c>
    </row>
    <row r="541" spans="1:11" x14ac:dyDescent="0.25">
      <c r="A541" t="s">
        <v>3064</v>
      </c>
      <c r="B541" s="3">
        <v>45312</v>
      </c>
      <c r="C541">
        <v>2010</v>
      </c>
      <c r="D541" s="1">
        <v>0</v>
      </c>
      <c r="E541" s="1">
        <v>18736.13</v>
      </c>
      <c r="F541" t="s">
        <v>3065</v>
      </c>
      <c r="G541" t="str">
        <f>_xlfn.XLOOKUP(C541,tblCOA[AccountNo],tblCOA[AccountName],"Unmapped")</f>
        <v>Accounts Payable</v>
      </c>
      <c r="H541" t="str">
        <f>_xlfn.XLOOKUP(C541,tblCOA[AccountNo],tblCOA[Category],"Unmapped")</f>
        <v>Liabilities</v>
      </c>
      <c r="I541" s="4">
        <f t="shared" si="24"/>
        <v>-18736.13</v>
      </c>
      <c r="J541">
        <f t="shared" si="25"/>
        <v>2024</v>
      </c>
      <c r="K541" s="5">
        <f t="shared" si="26"/>
        <v>45292</v>
      </c>
    </row>
    <row r="542" spans="1:11" x14ac:dyDescent="0.25">
      <c r="A542" t="s">
        <v>1194</v>
      </c>
      <c r="B542" s="3">
        <v>45313</v>
      </c>
      <c r="C542">
        <v>1200</v>
      </c>
      <c r="D542" s="1">
        <v>46003.74</v>
      </c>
      <c r="E542" s="1">
        <v>0</v>
      </c>
      <c r="F542" t="s">
        <v>1195</v>
      </c>
      <c r="G542" t="str">
        <f>_xlfn.XLOOKUP(C542,tblCOA[AccountNo],tblCOA[AccountName],"Unmapped")</f>
        <v>Accounts Receivable</v>
      </c>
      <c r="H542" t="str">
        <f>_xlfn.XLOOKUP(C542,tblCOA[AccountNo],tblCOA[Category],"Unmapped")</f>
        <v>Assets</v>
      </c>
      <c r="I542" s="4">
        <f t="shared" si="24"/>
        <v>46003.74</v>
      </c>
      <c r="J542">
        <f t="shared" si="25"/>
        <v>2024</v>
      </c>
      <c r="K542" s="5">
        <f t="shared" si="26"/>
        <v>45292</v>
      </c>
    </row>
    <row r="543" spans="1:11" x14ac:dyDescent="0.25">
      <c r="A543" t="s">
        <v>1196</v>
      </c>
      <c r="B543" s="3">
        <v>45313</v>
      </c>
      <c r="C543">
        <v>4010</v>
      </c>
      <c r="D543" s="1">
        <v>0</v>
      </c>
      <c r="E543" s="1">
        <v>46003.74</v>
      </c>
      <c r="F543" t="s">
        <v>1197</v>
      </c>
      <c r="G543" t="str">
        <f>_xlfn.XLOOKUP(C543,tblCOA[AccountNo],tblCOA[AccountName],"Unmapped")</f>
        <v>Product Sales</v>
      </c>
      <c r="H543" t="str">
        <f>_xlfn.XLOOKUP(C543,tblCOA[AccountNo],tblCOA[Category],"Unmapped")</f>
        <v>Revenue</v>
      </c>
      <c r="I543" s="4">
        <f t="shared" si="24"/>
        <v>-46003.74</v>
      </c>
      <c r="J543">
        <f t="shared" si="25"/>
        <v>2024</v>
      </c>
      <c r="K543" s="5">
        <f t="shared" si="26"/>
        <v>45292</v>
      </c>
    </row>
    <row r="544" spans="1:11" x14ac:dyDescent="0.25">
      <c r="A544" t="s">
        <v>1042</v>
      </c>
      <c r="B544" s="3">
        <v>45318</v>
      </c>
      <c r="C544">
        <v>1200</v>
      </c>
      <c r="D544" s="1">
        <v>3009.61</v>
      </c>
      <c r="E544" s="1">
        <v>0</v>
      </c>
      <c r="F544" t="s">
        <v>1043</v>
      </c>
      <c r="G544" t="str">
        <f>_xlfn.XLOOKUP(C544,tblCOA[AccountNo],tblCOA[AccountName],"Unmapped")</f>
        <v>Accounts Receivable</v>
      </c>
      <c r="H544" t="str">
        <f>_xlfn.XLOOKUP(C544,tblCOA[AccountNo],tblCOA[Category],"Unmapped")</f>
        <v>Assets</v>
      </c>
      <c r="I544" s="4">
        <f t="shared" si="24"/>
        <v>3009.61</v>
      </c>
      <c r="J544">
        <f t="shared" si="25"/>
        <v>2024</v>
      </c>
      <c r="K544" s="5">
        <f t="shared" si="26"/>
        <v>45292</v>
      </c>
    </row>
    <row r="545" spans="1:11" x14ac:dyDescent="0.25">
      <c r="A545" t="s">
        <v>1044</v>
      </c>
      <c r="B545" s="3">
        <v>45318</v>
      </c>
      <c r="C545">
        <v>4010</v>
      </c>
      <c r="D545" s="1">
        <v>0</v>
      </c>
      <c r="E545" s="1">
        <v>3009.61</v>
      </c>
      <c r="F545" t="s">
        <v>1045</v>
      </c>
      <c r="G545" t="str">
        <f>_xlfn.XLOOKUP(C545,tblCOA[AccountNo],tblCOA[AccountName],"Unmapped")</f>
        <v>Product Sales</v>
      </c>
      <c r="H545" t="str">
        <f>_xlfn.XLOOKUP(C545,tblCOA[AccountNo],tblCOA[Category],"Unmapped")</f>
        <v>Revenue</v>
      </c>
      <c r="I545" s="4">
        <f t="shared" si="24"/>
        <v>-3009.61</v>
      </c>
      <c r="J545">
        <f t="shared" si="25"/>
        <v>2024</v>
      </c>
      <c r="K545" s="5">
        <f t="shared" si="26"/>
        <v>45292</v>
      </c>
    </row>
    <row r="546" spans="1:11" x14ac:dyDescent="0.25">
      <c r="A546" t="s">
        <v>1718</v>
      </c>
      <c r="B546" s="3">
        <v>45318</v>
      </c>
      <c r="C546">
        <v>5010</v>
      </c>
      <c r="D546" s="1">
        <v>15031.37</v>
      </c>
      <c r="E546" s="1">
        <v>0</v>
      </c>
      <c r="F546" t="s">
        <v>1719</v>
      </c>
      <c r="G546" t="str">
        <f>_xlfn.XLOOKUP(C546,tblCOA[AccountNo],tblCOA[AccountName],"Unmapped")</f>
        <v>Cost of Goods Sold</v>
      </c>
      <c r="H546" t="str">
        <f>_xlfn.XLOOKUP(C546,tblCOA[AccountNo],tblCOA[Category],"Unmapped")</f>
        <v>Expenses</v>
      </c>
      <c r="I546" s="4">
        <f t="shared" si="24"/>
        <v>15031.37</v>
      </c>
      <c r="J546">
        <f t="shared" si="25"/>
        <v>2024</v>
      </c>
      <c r="K546" s="5">
        <f t="shared" si="26"/>
        <v>45292</v>
      </c>
    </row>
    <row r="547" spans="1:11" x14ac:dyDescent="0.25">
      <c r="A547" t="s">
        <v>1720</v>
      </c>
      <c r="B547" s="3">
        <v>45318</v>
      </c>
      <c r="C547">
        <v>2010</v>
      </c>
      <c r="D547" s="1">
        <v>0</v>
      </c>
      <c r="E547" s="1">
        <v>15031.37</v>
      </c>
      <c r="F547" t="s">
        <v>1721</v>
      </c>
      <c r="G547" t="str">
        <f>_xlfn.XLOOKUP(C547,tblCOA[AccountNo],tblCOA[AccountName],"Unmapped")</f>
        <v>Accounts Payable</v>
      </c>
      <c r="H547" t="str">
        <f>_xlfn.XLOOKUP(C547,tblCOA[AccountNo],tblCOA[Category],"Unmapped")</f>
        <v>Liabilities</v>
      </c>
      <c r="I547" s="4">
        <f t="shared" si="24"/>
        <v>-15031.37</v>
      </c>
      <c r="J547">
        <f t="shared" si="25"/>
        <v>2024</v>
      </c>
      <c r="K547" s="5">
        <f t="shared" si="26"/>
        <v>45292</v>
      </c>
    </row>
    <row r="548" spans="1:11" x14ac:dyDescent="0.25">
      <c r="A548" t="s">
        <v>1938</v>
      </c>
      <c r="B548" s="3">
        <v>45318</v>
      </c>
      <c r="C548">
        <v>1200</v>
      </c>
      <c r="D548" s="1">
        <v>31795.15</v>
      </c>
      <c r="E548" s="1">
        <v>0</v>
      </c>
      <c r="F548" t="s">
        <v>1939</v>
      </c>
      <c r="G548" t="str">
        <f>_xlfn.XLOOKUP(C548,tblCOA[AccountNo],tblCOA[AccountName],"Unmapped")</f>
        <v>Accounts Receivable</v>
      </c>
      <c r="H548" t="str">
        <f>_xlfn.XLOOKUP(C548,tblCOA[AccountNo],tblCOA[Category],"Unmapped")</f>
        <v>Assets</v>
      </c>
      <c r="I548" s="4">
        <f t="shared" si="24"/>
        <v>31795.15</v>
      </c>
      <c r="J548">
        <f t="shared" si="25"/>
        <v>2024</v>
      </c>
      <c r="K548" s="5">
        <f t="shared" si="26"/>
        <v>45292</v>
      </c>
    </row>
    <row r="549" spans="1:11" x14ac:dyDescent="0.25">
      <c r="A549" t="s">
        <v>1940</v>
      </c>
      <c r="B549" s="3">
        <v>45318</v>
      </c>
      <c r="C549">
        <v>4010</v>
      </c>
      <c r="D549" s="1">
        <v>0</v>
      </c>
      <c r="E549" s="1">
        <v>31795.15</v>
      </c>
      <c r="F549" t="s">
        <v>1941</v>
      </c>
      <c r="G549" t="str">
        <f>_xlfn.XLOOKUP(C549,tblCOA[AccountNo],tblCOA[AccountName],"Unmapped")</f>
        <v>Product Sales</v>
      </c>
      <c r="H549" t="str">
        <f>_xlfn.XLOOKUP(C549,tblCOA[AccountNo],tblCOA[Category],"Unmapped")</f>
        <v>Revenue</v>
      </c>
      <c r="I549" s="4">
        <f t="shared" si="24"/>
        <v>-31795.15</v>
      </c>
      <c r="J549">
        <f t="shared" si="25"/>
        <v>2024</v>
      </c>
      <c r="K549" s="5">
        <f t="shared" si="26"/>
        <v>45292</v>
      </c>
    </row>
    <row r="550" spans="1:11" x14ac:dyDescent="0.25">
      <c r="A550" t="s">
        <v>2342</v>
      </c>
      <c r="B550" s="3">
        <v>45321</v>
      </c>
      <c r="C550">
        <v>5010</v>
      </c>
      <c r="D550" s="1">
        <v>8745.84</v>
      </c>
      <c r="E550" s="1">
        <v>0</v>
      </c>
      <c r="F550" t="s">
        <v>2343</v>
      </c>
      <c r="G550" t="str">
        <f>_xlfn.XLOOKUP(C550,tblCOA[AccountNo],tblCOA[AccountName],"Unmapped")</f>
        <v>Cost of Goods Sold</v>
      </c>
      <c r="H550" t="str">
        <f>_xlfn.XLOOKUP(C550,tblCOA[AccountNo],tblCOA[Category],"Unmapped")</f>
        <v>Expenses</v>
      </c>
      <c r="I550" s="4">
        <f t="shared" si="24"/>
        <v>8745.84</v>
      </c>
      <c r="J550">
        <f t="shared" si="25"/>
        <v>2024</v>
      </c>
      <c r="K550" s="5">
        <f t="shared" si="26"/>
        <v>45292</v>
      </c>
    </row>
    <row r="551" spans="1:11" x14ac:dyDescent="0.25">
      <c r="A551" t="s">
        <v>2344</v>
      </c>
      <c r="B551" s="3">
        <v>45321</v>
      </c>
      <c r="C551">
        <v>2010</v>
      </c>
      <c r="D551" s="1">
        <v>0</v>
      </c>
      <c r="E551" s="1">
        <v>8745.84</v>
      </c>
      <c r="F551" t="s">
        <v>2345</v>
      </c>
      <c r="G551" t="str">
        <f>_xlfn.XLOOKUP(C551,tblCOA[AccountNo],tblCOA[AccountName],"Unmapped")</f>
        <v>Accounts Payable</v>
      </c>
      <c r="H551" t="str">
        <f>_xlfn.XLOOKUP(C551,tblCOA[AccountNo],tblCOA[Category],"Unmapped")</f>
        <v>Liabilities</v>
      </c>
      <c r="I551" s="4">
        <f t="shared" si="24"/>
        <v>-8745.84</v>
      </c>
      <c r="J551">
        <f t="shared" si="25"/>
        <v>2024</v>
      </c>
      <c r="K551" s="5">
        <f t="shared" si="26"/>
        <v>45292</v>
      </c>
    </row>
    <row r="552" spans="1:11" x14ac:dyDescent="0.25">
      <c r="A552" t="s">
        <v>3986</v>
      </c>
      <c r="B552" s="3">
        <v>45321</v>
      </c>
      <c r="C552">
        <v>1200</v>
      </c>
      <c r="D552" s="1">
        <v>18652.27</v>
      </c>
      <c r="E552" s="1">
        <v>0</v>
      </c>
      <c r="F552" t="s">
        <v>3987</v>
      </c>
      <c r="G552" t="str">
        <f>_xlfn.XLOOKUP(C552,tblCOA[AccountNo],tblCOA[AccountName],"Unmapped")</f>
        <v>Accounts Receivable</v>
      </c>
      <c r="H552" t="str">
        <f>_xlfn.XLOOKUP(C552,tblCOA[AccountNo],tblCOA[Category],"Unmapped")</f>
        <v>Assets</v>
      </c>
      <c r="I552" s="4">
        <f t="shared" si="24"/>
        <v>18652.27</v>
      </c>
      <c r="J552">
        <f t="shared" si="25"/>
        <v>2024</v>
      </c>
      <c r="K552" s="5">
        <f t="shared" si="26"/>
        <v>45292</v>
      </c>
    </row>
    <row r="553" spans="1:11" x14ac:dyDescent="0.25">
      <c r="A553" t="s">
        <v>3988</v>
      </c>
      <c r="B553" s="3">
        <v>45321</v>
      </c>
      <c r="C553">
        <v>4010</v>
      </c>
      <c r="D553" s="1">
        <v>0</v>
      </c>
      <c r="E553" s="1">
        <v>18652.27</v>
      </c>
      <c r="F553" t="s">
        <v>3989</v>
      </c>
      <c r="G553" t="str">
        <f>_xlfn.XLOOKUP(C553,tblCOA[AccountNo],tblCOA[AccountName],"Unmapped")</f>
        <v>Product Sales</v>
      </c>
      <c r="H553" t="str">
        <f>_xlfn.XLOOKUP(C553,tblCOA[AccountNo],tblCOA[Category],"Unmapped")</f>
        <v>Revenue</v>
      </c>
      <c r="I553" s="4">
        <f t="shared" si="24"/>
        <v>-18652.27</v>
      </c>
      <c r="J553">
        <f t="shared" si="25"/>
        <v>2024</v>
      </c>
      <c r="K553" s="5">
        <f t="shared" si="26"/>
        <v>45292</v>
      </c>
    </row>
    <row r="554" spans="1:11" x14ac:dyDescent="0.25">
      <c r="A554" t="s">
        <v>834</v>
      </c>
      <c r="B554" s="3">
        <v>45323</v>
      </c>
      <c r="C554">
        <v>1200</v>
      </c>
      <c r="D554" s="1">
        <v>11863.85</v>
      </c>
      <c r="E554" s="1">
        <v>0</v>
      </c>
      <c r="F554" t="s">
        <v>835</v>
      </c>
      <c r="G554" t="str">
        <f>_xlfn.XLOOKUP(C554,tblCOA[AccountNo],tblCOA[AccountName],"Unmapped")</f>
        <v>Accounts Receivable</v>
      </c>
      <c r="H554" t="str">
        <f>_xlfn.XLOOKUP(C554,tblCOA[AccountNo],tblCOA[Category],"Unmapped")</f>
        <v>Assets</v>
      </c>
      <c r="I554" s="4">
        <f t="shared" si="24"/>
        <v>11863.85</v>
      </c>
      <c r="J554">
        <f t="shared" si="25"/>
        <v>2024</v>
      </c>
      <c r="K554" s="5">
        <f t="shared" si="26"/>
        <v>45323</v>
      </c>
    </row>
    <row r="555" spans="1:11" x14ac:dyDescent="0.25">
      <c r="A555" t="s">
        <v>836</v>
      </c>
      <c r="B555" s="3">
        <v>45323</v>
      </c>
      <c r="C555">
        <v>4010</v>
      </c>
      <c r="D555" s="1">
        <v>0</v>
      </c>
      <c r="E555" s="1">
        <v>11863.85</v>
      </c>
      <c r="F555" t="s">
        <v>837</v>
      </c>
      <c r="G555" t="str">
        <f>_xlfn.XLOOKUP(C555,tblCOA[AccountNo],tblCOA[AccountName],"Unmapped")</f>
        <v>Product Sales</v>
      </c>
      <c r="H555" t="str">
        <f>_xlfn.XLOOKUP(C555,tblCOA[AccountNo],tblCOA[Category],"Unmapped")</f>
        <v>Revenue</v>
      </c>
      <c r="I555" s="4">
        <f t="shared" si="24"/>
        <v>-11863.85</v>
      </c>
      <c r="J555">
        <f t="shared" si="25"/>
        <v>2024</v>
      </c>
      <c r="K555" s="5">
        <f t="shared" si="26"/>
        <v>45323</v>
      </c>
    </row>
    <row r="556" spans="1:11" x14ac:dyDescent="0.25">
      <c r="A556" t="s">
        <v>1794</v>
      </c>
      <c r="B556" s="3">
        <v>45323</v>
      </c>
      <c r="C556">
        <v>1200</v>
      </c>
      <c r="D556" s="1">
        <v>19818.330000000002</v>
      </c>
      <c r="E556" s="1">
        <v>0</v>
      </c>
      <c r="F556" t="s">
        <v>1795</v>
      </c>
      <c r="G556" t="str">
        <f>_xlfn.XLOOKUP(C556,tblCOA[AccountNo],tblCOA[AccountName],"Unmapped")</f>
        <v>Accounts Receivable</v>
      </c>
      <c r="H556" t="str">
        <f>_xlfn.XLOOKUP(C556,tblCOA[AccountNo],tblCOA[Category],"Unmapped")</f>
        <v>Assets</v>
      </c>
      <c r="I556" s="4">
        <f t="shared" si="24"/>
        <v>19818.330000000002</v>
      </c>
      <c r="J556">
        <f t="shared" si="25"/>
        <v>2024</v>
      </c>
      <c r="K556" s="5">
        <f t="shared" si="26"/>
        <v>45323</v>
      </c>
    </row>
    <row r="557" spans="1:11" x14ac:dyDescent="0.25">
      <c r="A557" t="s">
        <v>1796</v>
      </c>
      <c r="B557" s="3">
        <v>45323</v>
      </c>
      <c r="C557">
        <v>4010</v>
      </c>
      <c r="D557" s="1">
        <v>0</v>
      </c>
      <c r="E557" s="1">
        <v>19818.330000000002</v>
      </c>
      <c r="F557" t="s">
        <v>1797</v>
      </c>
      <c r="G557" t="str">
        <f>_xlfn.XLOOKUP(C557,tblCOA[AccountNo],tblCOA[AccountName],"Unmapped")</f>
        <v>Product Sales</v>
      </c>
      <c r="H557" t="str">
        <f>_xlfn.XLOOKUP(C557,tblCOA[AccountNo],tblCOA[Category],"Unmapped")</f>
        <v>Revenue</v>
      </c>
      <c r="I557" s="4">
        <f t="shared" si="24"/>
        <v>-19818.330000000002</v>
      </c>
      <c r="J557">
        <f t="shared" si="25"/>
        <v>2024</v>
      </c>
      <c r="K557" s="5">
        <f t="shared" si="26"/>
        <v>45323</v>
      </c>
    </row>
    <row r="558" spans="1:11" x14ac:dyDescent="0.25">
      <c r="A558" t="s">
        <v>3210</v>
      </c>
      <c r="B558" s="3">
        <v>45324</v>
      </c>
      <c r="C558">
        <v>1200</v>
      </c>
      <c r="D558" s="1">
        <v>13878.4</v>
      </c>
      <c r="E558" s="1">
        <v>0</v>
      </c>
      <c r="F558" t="s">
        <v>3211</v>
      </c>
      <c r="G558" t="str">
        <f>_xlfn.XLOOKUP(C558,tblCOA[AccountNo],tblCOA[AccountName],"Unmapped")</f>
        <v>Accounts Receivable</v>
      </c>
      <c r="H558" t="str">
        <f>_xlfn.XLOOKUP(C558,tblCOA[AccountNo],tblCOA[Category],"Unmapped")</f>
        <v>Assets</v>
      </c>
      <c r="I558" s="4">
        <f t="shared" si="24"/>
        <v>13878.4</v>
      </c>
      <c r="J558">
        <f t="shared" si="25"/>
        <v>2024</v>
      </c>
      <c r="K558" s="5">
        <f t="shared" si="26"/>
        <v>45323</v>
      </c>
    </row>
    <row r="559" spans="1:11" x14ac:dyDescent="0.25">
      <c r="A559" t="s">
        <v>3212</v>
      </c>
      <c r="B559" s="3">
        <v>45324</v>
      </c>
      <c r="C559">
        <v>4010</v>
      </c>
      <c r="D559" s="1">
        <v>0</v>
      </c>
      <c r="E559" s="1">
        <v>13878.4</v>
      </c>
      <c r="F559" t="s">
        <v>3213</v>
      </c>
      <c r="G559" t="str">
        <f>_xlfn.XLOOKUP(C559,tblCOA[AccountNo],tblCOA[AccountName],"Unmapped")</f>
        <v>Product Sales</v>
      </c>
      <c r="H559" t="str">
        <f>_xlfn.XLOOKUP(C559,tblCOA[AccountNo],tblCOA[Category],"Unmapped")</f>
        <v>Revenue</v>
      </c>
      <c r="I559" s="4">
        <f t="shared" si="24"/>
        <v>-13878.4</v>
      </c>
      <c r="J559">
        <f t="shared" si="25"/>
        <v>2024</v>
      </c>
      <c r="K559" s="5">
        <f t="shared" si="26"/>
        <v>45323</v>
      </c>
    </row>
    <row r="560" spans="1:11" x14ac:dyDescent="0.25">
      <c r="A560" t="s">
        <v>3790</v>
      </c>
      <c r="B560" s="3">
        <v>45324</v>
      </c>
      <c r="C560">
        <v>5010</v>
      </c>
      <c r="D560" s="1">
        <v>17812.68</v>
      </c>
      <c r="E560" s="1">
        <v>0</v>
      </c>
      <c r="F560" t="s">
        <v>3791</v>
      </c>
      <c r="G560" t="str">
        <f>_xlfn.XLOOKUP(C560,tblCOA[AccountNo],tblCOA[AccountName],"Unmapped")</f>
        <v>Cost of Goods Sold</v>
      </c>
      <c r="H560" t="str">
        <f>_xlfn.XLOOKUP(C560,tblCOA[AccountNo],tblCOA[Category],"Unmapped")</f>
        <v>Expenses</v>
      </c>
      <c r="I560" s="4">
        <f t="shared" si="24"/>
        <v>17812.68</v>
      </c>
      <c r="J560">
        <f t="shared" si="25"/>
        <v>2024</v>
      </c>
      <c r="K560" s="5">
        <f t="shared" si="26"/>
        <v>45323</v>
      </c>
    </row>
    <row r="561" spans="1:11" x14ac:dyDescent="0.25">
      <c r="A561" t="s">
        <v>3792</v>
      </c>
      <c r="B561" s="3">
        <v>45324</v>
      </c>
      <c r="C561">
        <v>2010</v>
      </c>
      <c r="D561" s="1">
        <v>0</v>
      </c>
      <c r="E561" s="1">
        <v>17812.68</v>
      </c>
      <c r="F561" t="s">
        <v>3793</v>
      </c>
      <c r="G561" t="str">
        <f>_xlfn.XLOOKUP(C561,tblCOA[AccountNo],tblCOA[AccountName],"Unmapped")</f>
        <v>Accounts Payable</v>
      </c>
      <c r="H561" t="str">
        <f>_xlfn.XLOOKUP(C561,tblCOA[AccountNo],tblCOA[Category],"Unmapped")</f>
        <v>Liabilities</v>
      </c>
      <c r="I561" s="4">
        <f t="shared" si="24"/>
        <v>-17812.68</v>
      </c>
      <c r="J561">
        <f t="shared" si="25"/>
        <v>2024</v>
      </c>
      <c r="K561" s="5">
        <f t="shared" si="26"/>
        <v>45323</v>
      </c>
    </row>
    <row r="562" spans="1:11" x14ac:dyDescent="0.25">
      <c r="A562" t="s">
        <v>3098</v>
      </c>
      <c r="B562" s="3">
        <v>45325</v>
      </c>
      <c r="C562">
        <v>1200</v>
      </c>
      <c r="D562" s="1">
        <v>45724.5</v>
      </c>
      <c r="E562" s="1">
        <v>0</v>
      </c>
      <c r="F562" t="s">
        <v>3099</v>
      </c>
      <c r="G562" t="str">
        <f>_xlfn.XLOOKUP(C562,tblCOA[AccountNo],tblCOA[AccountName],"Unmapped")</f>
        <v>Accounts Receivable</v>
      </c>
      <c r="H562" t="str">
        <f>_xlfn.XLOOKUP(C562,tblCOA[AccountNo],tblCOA[Category],"Unmapped")</f>
        <v>Assets</v>
      </c>
      <c r="I562" s="4">
        <f t="shared" si="24"/>
        <v>45724.5</v>
      </c>
      <c r="J562">
        <f t="shared" si="25"/>
        <v>2024</v>
      </c>
      <c r="K562" s="5">
        <f t="shared" si="26"/>
        <v>45323</v>
      </c>
    </row>
    <row r="563" spans="1:11" x14ac:dyDescent="0.25">
      <c r="A563" t="s">
        <v>3100</v>
      </c>
      <c r="B563" s="3">
        <v>45325</v>
      </c>
      <c r="C563">
        <v>4010</v>
      </c>
      <c r="D563" s="1">
        <v>0</v>
      </c>
      <c r="E563" s="1">
        <v>45724.5</v>
      </c>
      <c r="F563" t="s">
        <v>3101</v>
      </c>
      <c r="G563" t="str">
        <f>_xlfn.XLOOKUP(C563,tblCOA[AccountNo],tblCOA[AccountName],"Unmapped")</f>
        <v>Product Sales</v>
      </c>
      <c r="H563" t="str">
        <f>_xlfn.XLOOKUP(C563,tblCOA[AccountNo],tblCOA[Category],"Unmapped")</f>
        <v>Revenue</v>
      </c>
      <c r="I563" s="4">
        <f t="shared" si="24"/>
        <v>-45724.5</v>
      </c>
      <c r="J563">
        <f t="shared" si="25"/>
        <v>2024</v>
      </c>
      <c r="K563" s="5">
        <f t="shared" si="26"/>
        <v>45323</v>
      </c>
    </row>
    <row r="564" spans="1:11" x14ac:dyDescent="0.25">
      <c r="A564" t="s">
        <v>3634</v>
      </c>
      <c r="B564" s="3">
        <v>45326</v>
      </c>
      <c r="C564">
        <v>1200</v>
      </c>
      <c r="D564" s="1">
        <v>15609.87</v>
      </c>
      <c r="E564" s="1">
        <v>0</v>
      </c>
      <c r="F564" t="s">
        <v>3635</v>
      </c>
      <c r="G564" t="str">
        <f>_xlfn.XLOOKUP(C564,tblCOA[AccountNo],tblCOA[AccountName],"Unmapped")</f>
        <v>Accounts Receivable</v>
      </c>
      <c r="H564" t="str">
        <f>_xlfn.XLOOKUP(C564,tblCOA[AccountNo],tblCOA[Category],"Unmapped")</f>
        <v>Assets</v>
      </c>
      <c r="I564" s="4">
        <f t="shared" si="24"/>
        <v>15609.87</v>
      </c>
      <c r="J564">
        <f t="shared" si="25"/>
        <v>2024</v>
      </c>
      <c r="K564" s="5">
        <f t="shared" si="26"/>
        <v>45323</v>
      </c>
    </row>
    <row r="565" spans="1:11" x14ac:dyDescent="0.25">
      <c r="A565" t="s">
        <v>3636</v>
      </c>
      <c r="B565" s="3">
        <v>45326</v>
      </c>
      <c r="C565">
        <v>4010</v>
      </c>
      <c r="D565" s="1">
        <v>0</v>
      </c>
      <c r="E565" s="1">
        <v>15609.87</v>
      </c>
      <c r="F565" t="s">
        <v>3637</v>
      </c>
      <c r="G565" t="str">
        <f>_xlfn.XLOOKUP(C565,tblCOA[AccountNo],tblCOA[AccountName],"Unmapped")</f>
        <v>Product Sales</v>
      </c>
      <c r="H565" t="str">
        <f>_xlfn.XLOOKUP(C565,tblCOA[AccountNo],tblCOA[Category],"Unmapped")</f>
        <v>Revenue</v>
      </c>
      <c r="I565" s="4">
        <f t="shared" si="24"/>
        <v>-15609.87</v>
      </c>
      <c r="J565">
        <f t="shared" si="25"/>
        <v>2024</v>
      </c>
      <c r="K565" s="5">
        <f t="shared" si="26"/>
        <v>45323</v>
      </c>
    </row>
    <row r="566" spans="1:11" x14ac:dyDescent="0.25">
      <c r="A566" t="s">
        <v>1234</v>
      </c>
      <c r="B566" s="3">
        <v>45326</v>
      </c>
      <c r="C566">
        <v>1200</v>
      </c>
      <c r="D566" s="1">
        <v>8998.39</v>
      </c>
      <c r="E566" s="1">
        <v>0</v>
      </c>
      <c r="F566" t="s">
        <v>1235</v>
      </c>
      <c r="G566" t="str">
        <f>_xlfn.XLOOKUP(C566,tblCOA[AccountNo],tblCOA[AccountName],"Unmapped")</f>
        <v>Accounts Receivable</v>
      </c>
      <c r="H566" t="str">
        <f>_xlfn.XLOOKUP(C566,tblCOA[AccountNo],tblCOA[Category],"Unmapped")</f>
        <v>Assets</v>
      </c>
      <c r="I566" s="4">
        <f t="shared" si="24"/>
        <v>8998.39</v>
      </c>
      <c r="J566">
        <f t="shared" si="25"/>
        <v>2024</v>
      </c>
      <c r="K566" s="5">
        <f t="shared" si="26"/>
        <v>45323</v>
      </c>
    </row>
    <row r="567" spans="1:11" x14ac:dyDescent="0.25">
      <c r="A567" t="s">
        <v>1236</v>
      </c>
      <c r="B567" s="3">
        <v>45326</v>
      </c>
      <c r="C567">
        <v>4010</v>
      </c>
      <c r="D567" s="1">
        <v>0</v>
      </c>
      <c r="E567" s="1">
        <v>8998.39</v>
      </c>
      <c r="F567" t="s">
        <v>1237</v>
      </c>
      <c r="G567" t="str">
        <f>_xlfn.XLOOKUP(C567,tblCOA[AccountNo],tblCOA[AccountName],"Unmapped")</f>
        <v>Product Sales</v>
      </c>
      <c r="H567" t="str">
        <f>_xlfn.XLOOKUP(C567,tblCOA[AccountNo],tblCOA[Category],"Unmapped")</f>
        <v>Revenue</v>
      </c>
      <c r="I567" s="4">
        <f t="shared" si="24"/>
        <v>-8998.39</v>
      </c>
      <c r="J567">
        <f t="shared" si="25"/>
        <v>2024</v>
      </c>
      <c r="K567" s="5">
        <f t="shared" si="26"/>
        <v>45323</v>
      </c>
    </row>
    <row r="568" spans="1:11" x14ac:dyDescent="0.25">
      <c r="A568" t="s">
        <v>242</v>
      </c>
      <c r="B568" s="3">
        <v>45327</v>
      </c>
      <c r="C568">
        <v>1200</v>
      </c>
      <c r="D568" s="1">
        <v>25380.35</v>
      </c>
      <c r="E568" s="1">
        <v>0</v>
      </c>
      <c r="F568" t="s">
        <v>243</v>
      </c>
      <c r="G568" t="str">
        <f>_xlfn.XLOOKUP(C568,tblCOA[AccountNo],tblCOA[AccountName],"Unmapped")</f>
        <v>Accounts Receivable</v>
      </c>
      <c r="H568" t="str">
        <f>_xlfn.XLOOKUP(C568,tblCOA[AccountNo],tblCOA[Category],"Unmapped")</f>
        <v>Assets</v>
      </c>
      <c r="I568" s="4">
        <f t="shared" si="24"/>
        <v>25380.35</v>
      </c>
      <c r="J568">
        <f t="shared" si="25"/>
        <v>2024</v>
      </c>
      <c r="K568" s="5">
        <f t="shared" si="26"/>
        <v>45323</v>
      </c>
    </row>
    <row r="569" spans="1:11" x14ac:dyDescent="0.25">
      <c r="A569" t="s">
        <v>244</v>
      </c>
      <c r="B569" s="3">
        <v>45327</v>
      </c>
      <c r="C569">
        <v>4010</v>
      </c>
      <c r="D569" s="1">
        <v>0</v>
      </c>
      <c r="E569" s="1">
        <v>25380.35</v>
      </c>
      <c r="F569" t="s">
        <v>245</v>
      </c>
      <c r="G569" t="str">
        <f>_xlfn.XLOOKUP(C569,tblCOA[AccountNo],tblCOA[AccountName],"Unmapped")</f>
        <v>Product Sales</v>
      </c>
      <c r="H569" t="str">
        <f>_xlfn.XLOOKUP(C569,tblCOA[AccountNo],tblCOA[Category],"Unmapped")</f>
        <v>Revenue</v>
      </c>
      <c r="I569" s="4">
        <f t="shared" si="24"/>
        <v>-25380.35</v>
      </c>
      <c r="J569">
        <f t="shared" si="25"/>
        <v>2024</v>
      </c>
      <c r="K569" s="5">
        <f t="shared" si="26"/>
        <v>45323</v>
      </c>
    </row>
    <row r="570" spans="1:11" x14ac:dyDescent="0.25">
      <c r="A570" t="s">
        <v>3290</v>
      </c>
      <c r="B570" s="3">
        <v>45327</v>
      </c>
      <c r="C570">
        <v>1200</v>
      </c>
      <c r="D570" s="1">
        <v>29061.14</v>
      </c>
      <c r="E570" s="1">
        <v>0</v>
      </c>
      <c r="F570" t="s">
        <v>3291</v>
      </c>
      <c r="G570" t="str">
        <f>_xlfn.XLOOKUP(C570,tblCOA[AccountNo],tblCOA[AccountName],"Unmapped")</f>
        <v>Accounts Receivable</v>
      </c>
      <c r="H570" t="str">
        <f>_xlfn.XLOOKUP(C570,tblCOA[AccountNo],tblCOA[Category],"Unmapped")</f>
        <v>Assets</v>
      </c>
      <c r="I570" s="4">
        <f t="shared" si="24"/>
        <v>29061.14</v>
      </c>
      <c r="J570">
        <f t="shared" si="25"/>
        <v>2024</v>
      </c>
      <c r="K570" s="5">
        <f t="shared" si="26"/>
        <v>45323</v>
      </c>
    </row>
    <row r="571" spans="1:11" x14ac:dyDescent="0.25">
      <c r="A571" t="s">
        <v>3292</v>
      </c>
      <c r="B571" s="3">
        <v>45327</v>
      </c>
      <c r="C571">
        <v>4010</v>
      </c>
      <c r="D571" s="1">
        <v>0</v>
      </c>
      <c r="E571" s="1">
        <v>29061.14</v>
      </c>
      <c r="F571" t="s">
        <v>3293</v>
      </c>
      <c r="G571" t="str">
        <f>_xlfn.XLOOKUP(C571,tblCOA[AccountNo],tblCOA[AccountName],"Unmapped")</f>
        <v>Product Sales</v>
      </c>
      <c r="H571" t="str">
        <f>_xlfn.XLOOKUP(C571,tblCOA[AccountNo],tblCOA[Category],"Unmapped")</f>
        <v>Revenue</v>
      </c>
      <c r="I571" s="4">
        <f t="shared" si="24"/>
        <v>-29061.14</v>
      </c>
      <c r="J571">
        <f t="shared" si="25"/>
        <v>2024</v>
      </c>
      <c r="K571" s="5">
        <f t="shared" si="26"/>
        <v>45323</v>
      </c>
    </row>
    <row r="572" spans="1:11" x14ac:dyDescent="0.25">
      <c r="A572" t="s">
        <v>2554</v>
      </c>
      <c r="B572" s="3">
        <v>45328</v>
      </c>
      <c r="C572">
        <v>1200</v>
      </c>
      <c r="D572" s="1">
        <v>22607.88</v>
      </c>
      <c r="E572" s="1">
        <v>0</v>
      </c>
      <c r="F572" t="s">
        <v>2555</v>
      </c>
      <c r="G572" t="str">
        <f>_xlfn.XLOOKUP(C572,tblCOA[AccountNo],tblCOA[AccountName],"Unmapped")</f>
        <v>Accounts Receivable</v>
      </c>
      <c r="H572" t="str">
        <f>_xlfn.XLOOKUP(C572,tblCOA[AccountNo],tblCOA[Category],"Unmapped")</f>
        <v>Assets</v>
      </c>
      <c r="I572" s="4">
        <f t="shared" si="24"/>
        <v>22607.88</v>
      </c>
      <c r="J572">
        <f t="shared" si="25"/>
        <v>2024</v>
      </c>
      <c r="K572" s="5">
        <f t="shared" si="26"/>
        <v>45323</v>
      </c>
    </row>
    <row r="573" spans="1:11" x14ac:dyDescent="0.25">
      <c r="A573" t="s">
        <v>2556</v>
      </c>
      <c r="B573" s="3">
        <v>45328</v>
      </c>
      <c r="C573">
        <v>4010</v>
      </c>
      <c r="D573" s="1">
        <v>0</v>
      </c>
      <c r="E573" s="1">
        <v>22607.88</v>
      </c>
      <c r="F573" t="s">
        <v>2557</v>
      </c>
      <c r="G573" t="str">
        <f>_xlfn.XLOOKUP(C573,tblCOA[AccountNo],tblCOA[AccountName],"Unmapped")</f>
        <v>Product Sales</v>
      </c>
      <c r="H573" t="str">
        <f>_xlfn.XLOOKUP(C573,tblCOA[AccountNo],tblCOA[Category],"Unmapped")</f>
        <v>Revenue</v>
      </c>
      <c r="I573" s="4">
        <f t="shared" si="24"/>
        <v>-22607.88</v>
      </c>
      <c r="J573">
        <f t="shared" si="25"/>
        <v>2024</v>
      </c>
      <c r="K573" s="5">
        <f t="shared" si="26"/>
        <v>45323</v>
      </c>
    </row>
    <row r="574" spans="1:11" x14ac:dyDescent="0.25">
      <c r="A574" t="s">
        <v>2418</v>
      </c>
      <c r="B574" s="3">
        <v>45330</v>
      </c>
      <c r="C574">
        <v>1200</v>
      </c>
      <c r="D574" s="1">
        <v>23380.58</v>
      </c>
      <c r="E574" s="1">
        <v>0</v>
      </c>
      <c r="F574" t="s">
        <v>2419</v>
      </c>
      <c r="G574" t="str">
        <f>_xlfn.XLOOKUP(C574,tblCOA[AccountNo],tblCOA[AccountName],"Unmapped")</f>
        <v>Accounts Receivable</v>
      </c>
      <c r="H574" t="str">
        <f>_xlfn.XLOOKUP(C574,tblCOA[AccountNo],tblCOA[Category],"Unmapped")</f>
        <v>Assets</v>
      </c>
      <c r="I574" s="4">
        <f t="shared" si="24"/>
        <v>23380.58</v>
      </c>
      <c r="J574">
        <f t="shared" si="25"/>
        <v>2024</v>
      </c>
      <c r="K574" s="5">
        <f t="shared" si="26"/>
        <v>45323</v>
      </c>
    </row>
    <row r="575" spans="1:11" x14ac:dyDescent="0.25">
      <c r="A575" t="s">
        <v>2420</v>
      </c>
      <c r="B575" s="3">
        <v>45330</v>
      </c>
      <c r="C575">
        <v>4010</v>
      </c>
      <c r="D575" s="1">
        <v>0</v>
      </c>
      <c r="E575" s="1">
        <v>23380.58</v>
      </c>
      <c r="F575" t="s">
        <v>2421</v>
      </c>
      <c r="G575" t="str">
        <f>_xlfn.XLOOKUP(C575,tblCOA[AccountNo],tblCOA[AccountName],"Unmapped")</f>
        <v>Product Sales</v>
      </c>
      <c r="H575" t="str">
        <f>_xlfn.XLOOKUP(C575,tblCOA[AccountNo],tblCOA[Category],"Unmapped")</f>
        <v>Revenue</v>
      </c>
      <c r="I575" s="4">
        <f t="shared" si="24"/>
        <v>-23380.58</v>
      </c>
      <c r="J575">
        <f t="shared" si="25"/>
        <v>2024</v>
      </c>
      <c r="K575" s="5">
        <f t="shared" si="26"/>
        <v>45323</v>
      </c>
    </row>
    <row r="576" spans="1:11" x14ac:dyDescent="0.25">
      <c r="A576" t="s">
        <v>1146</v>
      </c>
      <c r="B576" s="3">
        <v>45330</v>
      </c>
      <c r="C576">
        <v>1200</v>
      </c>
      <c r="D576" s="1">
        <v>16013.49</v>
      </c>
      <c r="E576" s="1">
        <v>0</v>
      </c>
      <c r="F576" t="s">
        <v>1147</v>
      </c>
      <c r="G576" t="str">
        <f>_xlfn.XLOOKUP(C576,tblCOA[AccountNo],tblCOA[AccountName],"Unmapped")</f>
        <v>Accounts Receivable</v>
      </c>
      <c r="H576" t="str">
        <f>_xlfn.XLOOKUP(C576,tblCOA[AccountNo],tblCOA[Category],"Unmapped")</f>
        <v>Assets</v>
      </c>
      <c r="I576" s="4">
        <f t="shared" si="24"/>
        <v>16013.49</v>
      </c>
      <c r="J576">
        <f t="shared" si="25"/>
        <v>2024</v>
      </c>
      <c r="K576" s="5">
        <f t="shared" si="26"/>
        <v>45323</v>
      </c>
    </row>
    <row r="577" spans="1:11" x14ac:dyDescent="0.25">
      <c r="A577" t="s">
        <v>1148</v>
      </c>
      <c r="B577" s="3">
        <v>45330</v>
      </c>
      <c r="C577">
        <v>4010</v>
      </c>
      <c r="D577" s="1">
        <v>0</v>
      </c>
      <c r="E577" s="1">
        <v>16013.49</v>
      </c>
      <c r="F577" t="s">
        <v>1149</v>
      </c>
      <c r="G577" t="str">
        <f>_xlfn.XLOOKUP(C577,tblCOA[AccountNo],tblCOA[AccountName],"Unmapped")</f>
        <v>Product Sales</v>
      </c>
      <c r="H577" t="str">
        <f>_xlfn.XLOOKUP(C577,tblCOA[AccountNo],tblCOA[Category],"Unmapped")</f>
        <v>Revenue</v>
      </c>
      <c r="I577" s="4">
        <f t="shared" si="24"/>
        <v>-16013.49</v>
      </c>
      <c r="J577">
        <f t="shared" si="25"/>
        <v>2024</v>
      </c>
      <c r="K577" s="5">
        <f t="shared" si="26"/>
        <v>45323</v>
      </c>
    </row>
    <row r="578" spans="1:11" x14ac:dyDescent="0.25">
      <c r="A578" t="s">
        <v>254</v>
      </c>
      <c r="B578" s="3">
        <v>45331</v>
      </c>
      <c r="C578">
        <v>5010</v>
      </c>
      <c r="D578" s="1">
        <v>11743.68</v>
      </c>
      <c r="E578" s="1">
        <v>0</v>
      </c>
      <c r="F578" t="s">
        <v>255</v>
      </c>
      <c r="G578" t="str">
        <f>_xlfn.XLOOKUP(C578,tblCOA[AccountNo],tblCOA[AccountName],"Unmapped")</f>
        <v>Cost of Goods Sold</v>
      </c>
      <c r="H578" t="str">
        <f>_xlfn.XLOOKUP(C578,tblCOA[AccountNo],tblCOA[Category],"Unmapped")</f>
        <v>Expenses</v>
      </c>
      <c r="I578" s="4">
        <f t="shared" ref="I578:I641" si="27">D578-E578</f>
        <v>11743.68</v>
      </c>
      <c r="J578">
        <f t="shared" ref="J578:J641" si="28">YEAR(B578)</f>
        <v>2024</v>
      </c>
      <c r="K578" s="5">
        <f t="shared" ref="K578:K641" si="29">DATE(YEAR(B578),MONTH(B578),1)</f>
        <v>45323</v>
      </c>
    </row>
    <row r="579" spans="1:11" x14ac:dyDescent="0.25">
      <c r="A579" t="s">
        <v>256</v>
      </c>
      <c r="B579" s="3">
        <v>45331</v>
      </c>
      <c r="C579">
        <v>2010</v>
      </c>
      <c r="D579" s="1">
        <v>0</v>
      </c>
      <c r="E579" s="1">
        <v>11743.68</v>
      </c>
      <c r="F579" t="s">
        <v>257</v>
      </c>
      <c r="G579" t="str">
        <f>_xlfn.XLOOKUP(C579,tblCOA[AccountNo],tblCOA[AccountName],"Unmapped")</f>
        <v>Accounts Payable</v>
      </c>
      <c r="H579" t="str">
        <f>_xlfn.XLOOKUP(C579,tblCOA[AccountNo],tblCOA[Category],"Unmapped")</f>
        <v>Liabilities</v>
      </c>
      <c r="I579" s="4">
        <f t="shared" si="27"/>
        <v>-11743.68</v>
      </c>
      <c r="J579">
        <f t="shared" si="28"/>
        <v>2024</v>
      </c>
      <c r="K579" s="5">
        <f t="shared" si="29"/>
        <v>45323</v>
      </c>
    </row>
    <row r="580" spans="1:11" x14ac:dyDescent="0.25">
      <c r="A580" t="s">
        <v>354</v>
      </c>
      <c r="B580" s="3">
        <v>45332</v>
      </c>
      <c r="C580">
        <v>1200</v>
      </c>
      <c r="D580" s="1">
        <v>29847.360000000001</v>
      </c>
      <c r="E580" s="1">
        <v>0</v>
      </c>
      <c r="F580" t="s">
        <v>355</v>
      </c>
      <c r="G580" t="str">
        <f>_xlfn.XLOOKUP(C580,tblCOA[AccountNo],tblCOA[AccountName],"Unmapped")</f>
        <v>Accounts Receivable</v>
      </c>
      <c r="H580" t="str">
        <f>_xlfn.XLOOKUP(C580,tblCOA[AccountNo],tblCOA[Category],"Unmapped")</f>
        <v>Assets</v>
      </c>
      <c r="I580" s="4">
        <f t="shared" si="27"/>
        <v>29847.360000000001</v>
      </c>
      <c r="J580">
        <f t="shared" si="28"/>
        <v>2024</v>
      </c>
      <c r="K580" s="5">
        <f t="shared" si="29"/>
        <v>45323</v>
      </c>
    </row>
    <row r="581" spans="1:11" x14ac:dyDescent="0.25">
      <c r="A581" t="s">
        <v>356</v>
      </c>
      <c r="B581" s="3">
        <v>45332</v>
      </c>
      <c r="C581">
        <v>4010</v>
      </c>
      <c r="D581" s="1">
        <v>0</v>
      </c>
      <c r="E581" s="1">
        <v>29847.360000000001</v>
      </c>
      <c r="F581" t="s">
        <v>357</v>
      </c>
      <c r="G581" t="str">
        <f>_xlfn.XLOOKUP(C581,tblCOA[AccountNo],tblCOA[AccountName],"Unmapped")</f>
        <v>Product Sales</v>
      </c>
      <c r="H581" t="str">
        <f>_xlfn.XLOOKUP(C581,tblCOA[AccountNo],tblCOA[Category],"Unmapped")</f>
        <v>Revenue</v>
      </c>
      <c r="I581" s="4">
        <f t="shared" si="27"/>
        <v>-29847.360000000001</v>
      </c>
      <c r="J581">
        <f t="shared" si="28"/>
        <v>2024</v>
      </c>
      <c r="K581" s="5">
        <f t="shared" si="29"/>
        <v>45323</v>
      </c>
    </row>
    <row r="582" spans="1:11" x14ac:dyDescent="0.25">
      <c r="A582" t="s">
        <v>2522</v>
      </c>
      <c r="B582" s="3">
        <v>45333</v>
      </c>
      <c r="C582">
        <v>1200</v>
      </c>
      <c r="D582" s="1">
        <v>38717.58</v>
      </c>
      <c r="E582" s="1">
        <v>0</v>
      </c>
      <c r="F582" t="s">
        <v>2523</v>
      </c>
      <c r="G582" t="str">
        <f>_xlfn.XLOOKUP(C582,tblCOA[AccountNo],tblCOA[AccountName],"Unmapped")</f>
        <v>Accounts Receivable</v>
      </c>
      <c r="H582" t="str">
        <f>_xlfn.XLOOKUP(C582,tblCOA[AccountNo],tblCOA[Category],"Unmapped")</f>
        <v>Assets</v>
      </c>
      <c r="I582" s="4">
        <f t="shared" si="27"/>
        <v>38717.58</v>
      </c>
      <c r="J582">
        <f t="shared" si="28"/>
        <v>2024</v>
      </c>
      <c r="K582" s="5">
        <f t="shared" si="29"/>
        <v>45323</v>
      </c>
    </row>
    <row r="583" spans="1:11" x14ac:dyDescent="0.25">
      <c r="A583" t="s">
        <v>2524</v>
      </c>
      <c r="B583" s="3">
        <v>45333</v>
      </c>
      <c r="C583">
        <v>4010</v>
      </c>
      <c r="D583" s="1">
        <v>0</v>
      </c>
      <c r="E583" s="1">
        <v>38717.58</v>
      </c>
      <c r="F583" t="s">
        <v>2525</v>
      </c>
      <c r="G583" t="str">
        <f>_xlfn.XLOOKUP(C583,tblCOA[AccountNo],tblCOA[AccountName],"Unmapped")</f>
        <v>Product Sales</v>
      </c>
      <c r="H583" t="str">
        <f>_xlfn.XLOOKUP(C583,tblCOA[AccountNo],tblCOA[Category],"Unmapped")</f>
        <v>Revenue</v>
      </c>
      <c r="I583" s="4">
        <f t="shared" si="27"/>
        <v>-38717.58</v>
      </c>
      <c r="J583">
        <f t="shared" si="28"/>
        <v>2024</v>
      </c>
      <c r="K583" s="5">
        <f t="shared" si="29"/>
        <v>45323</v>
      </c>
    </row>
    <row r="584" spans="1:11" x14ac:dyDescent="0.25">
      <c r="A584" t="s">
        <v>2686</v>
      </c>
      <c r="B584" s="3">
        <v>45335</v>
      </c>
      <c r="C584">
        <v>5010</v>
      </c>
      <c r="D584" s="1">
        <v>13352.71</v>
      </c>
      <c r="E584" s="1">
        <v>0</v>
      </c>
      <c r="F584" t="s">
        <v>2687</v>
      </c>
      <c r="G584" t="str">
        <f>_xlfn.XLOOKUP(C584,tblCOA[AccountNo],tblCOA[AccountName],"Unmapped")</f>
        <v>Cost of Goods Sold</v>
      </c>
      <c r="H584" t="str">
        <f>_xlfn.XLOOKUP(C584,tblCOA[AccountNo],tblCOA[Category],"Unmapped")</f>
        <v>Expenses</v>
      </c>
      <c r="I584" s="4">
        <f t="shared" si="27"/>
        <v>13352.71</v>
      </c>
      <c r="J584">
        <f t="shared" si="28"/>
        <v>2024</v>
      </c>
      <c r="K584" s="5">
        <f t="shared" si="29"/>
        <v>45323</v>
      </c>
    </row>
    <row r="585" spans="1:11" x14ac:dyDescent="0.25">
      <c r="A585" t="s">
        <v>2688</v>
      </c>
      <c r="B585" s="3">
        <v>45335</v>
      </c>
      <c r="C585">
        <v>2010</v>
      </c>
      <c r="D585" s="1">
        <v>0</v>
      </c>
      <c r="E585" s="1">
        <v>13352.71</v>
      </c>
      <c r="F585" t="s">
        <v>2689</v>
      </c>
      <c r="G585" t="str">
        <f>_xlfn.XLOOKUP(C585,tblCOA[AccountNo],tblCOA[AccountName],"Unmapped")</f>
        <v>Accounts Payable</v>
      </c>
      <c r="H585" t="str">
        <f>_xlfn.XLOOKUP(C585,tblCOA[AccountNo],tblCOA[Category],"Unmapped")</f>
        <v>Liabilities</v>
      </c>
      <c r="I585" s="4">
        <f t="shared" si="27"/>
        <v>-13352.71</v>
      </c>
      <c r="J585">
        <f t="shared" si="28"/>
        <v>2024</v>
      </c>
      <c r="K585" s="5">
        <f t="shared" si="29"/>
        <v>45323</v>
      </c>
    </row>
    <row r="586" spans="1:11" x14ac:dyDescent="0.25">
      <c r="A586" t="s">
        <v>1102</v>
      </c>
      <c r="B586" s="3">
        <v>45336</v>
      </c>
      <c r="C586">
        <v>5010</v>
      </c>
      <c r="D586" s="1">
        <v>4887.0600000000004</v>
      </c>
      <c r="E586" s="1">
        <v>0</v>
      </c>
      <c r="F586" t="s">
        <v>1103</v>
      </c>
      <c r="G586" t="str">
        <f>_xlfn.XLOOKUP(C586,tblCOA[AccountNo],tblCOA[AccountName],"Unmapped")</f>
        <v>Cost of Goods Sold</v>
      </c>
      <c r="H586" t="str">
        <f>_xlfn.XLOOKUP(C586,tblCOA[AccountNo],tblCOA[Category],"Unmapped")</f>
        <v>Expenses</v>
      </c>
      <c r="I586" s="4">
        <f t="shared" si="27"/>
        <v>4887.0600000000004</v>
      </c>
      <c r="J586">
        <f t="shared" si="28"/>
        <v>2024</v>
      </c>
      <c r="K586" s="5">
        <f t="shared" si="29"/>
        <v>45323</v>
      </c>
    </row>
    <row r="587" spans="1:11" x14ac:dyDescent="0.25">
      <c r="A587" t="s">
        <v>1104</v>
      </c>
      <c r="B587" s="3">
        <v>45336</v>
      </c>
      <c r="C587">
        <v>2010</v>
      </c>
      <c r="D587" s="1">
        <v>0</v>
      </c>
      <c r="E587" s="1">
        <v>4887.0600000000004</v>
      </c>
      <c r="F587" t="s">
        <v>1105</v>
      </c>
      <c r="G587" t="str">
        <f>_xlfn.XLOOKUP(C587,tblCOA[AccountNo],tblCOA[AccountName],"Unmapped")</f>
        <v>Accounts Payable</v>
      </c>
      <c r="H587" t="str">
        <f>_xlfn.XLOOKUP(C587,tblCOA[AccountNo],tblCOA[Category],"Unmapped")</f>
        <v>Liabilities</v>
      </c>
      <c r="I587" s="4">
        <f t="shared" si="27"/>
        <v>-4887.0600000000004</v>
      </c>
      <c r="J587">
        <f t="shared" si="28"/>
        <v>2024</v>
      </c>
      <c r="K587" s="5">
        <f t="shared" si="29"/>
        <v>45323</v>
      </c>
    </row>
    <row r="588" spans="1:11" x14ac:dyDescent="0.25">
      <c r="A588" t="s">
        <v>1594</v>
      </c>
      <c r="B588" s="3">
        <v>45339</v>
      </c>
      <c r="C588">
        <v>1200</v>
      </c>
      <c r="D588" s="1">
        <v>16332.73</v>
      </c>
      <c r="E588" s="1">
        <v>0</v>
      </c>
      <c r="F588" t="s">
        <v>1595</v>
      </c>
      <c r="G588" t="str">
        <f>_xlfn.XLOOKUP(C588,tblCOA[AccountNo],tblCOA[AccountName],"Unmapped")</f>
        <v>Accounts Receivable</v>
      </c>
      <c r="H588" t="str">
        <f>_xlfn.XLOOKUP(C588,tblCOA[AccountNo],tblCOA[Category],"Unmapped")</f>
        <v>Assets</v>
      </c>
      <c r="I588" s="4">
        <f t="shared" si="27"/>
        <v>16332.73</v>
      </c>
      <c r="J588">
        <f t="shared" si="28"/>
        <v>2024</v>
      </c>
      <c r="K588" s="5">
        <f t="shared" si="29"/>
        <v>45323</v>
      </c>
    </row>
    <row r="589" spans="1:11" x14ac:dyDescent="0.25">
      <c r="A589" t="s">
        <v>1596</v>
      </c>
      <c r="B589" s="3">
        <v>45339</v>
      </c>
      <c r="C589">
        <v>4010</v>
      </c>
      <c r="D589" s="1">
        <v>0</v>
      </c>
      <c r="E589" s="1">
        <v>16332.73</v>
      </c>
      <c r="F589" t="s">
        <v>1597</v>
      </c>
      <c r="G589" t="str">
        <f>_xlfn.XLOOKUP(C589,tblCOA[AccountNo],tblCOA[AccountName],"Unmapped")</f>
        <v>Product Sales</v>
      </c>
      <c r="H589" t="str">
        <f>_xlfn.XLOOKUP(C589,tblCOA[AccountNo],tblCOA[Category],"Unmapped")</f>
        <v>Revenue</v>
      </c>
      <c r="I589" s="4">
        <f t="shared" si="27"/>
        <v>-16332.73</v>
      </c>
      <c r="J589">
        <f t="shared" si="28"/>
        <v>2024</v>
      </c>
      <c r="K589" s="5">
        <f t="shared" si="29"/>
        <v>45323</v>
      </c>
    </row>
    <row r="590" spans="1:11" x14ac:dyDescent="0.25">
      <c r="A590" t="s">
        <v>2126</v>
      </c>
      <c r="B590" s="3">
        <v>45340</v>
      </c>
      <c r="C590">
        <v>5010</v>
      </c>
      <c r="D590" s="1">
        <v>14160.12</v>
      </c>
      <c r="E590" s="1">
        <v>0</v>
      </c>
      <c r="F590" t="s">
        <v>2127</v>
      </c>
      <c r="G590" t="str">
        <f>_xlfn.XLOOKUP(C590,tblCOA[AccountNo],tblCOA[AccountName],"Unmapped")</f>
        <v>Cost of Goods Sold</v>
      </c>
      <c r="H590" t="str">
        <f>_xlfn.XLOOKUP(C590,tblCOA[AccountNo],tblCOA[Category],"Unmapped")</f>
        <v>Expenses</v>
      </c>
      <c r="I590" s="4">
        <f t="shared" si="27"/>
        <v>14160.12</v>
      </c>
      <c r="J590">
        <f t="shared" si="28"/>
        <v>2024</v>
      </c>
      <c r="K590" s="5">
        <f t="shared" si="29"/>
        <v>45323</v>
      </c>
    </row>
    <row r="591" spans="1:11" x14ac:dyDescent="0.25">
      <c r="A591" t="s">
        <v>2128</v>
      </c>
      <c r="B591" s="3">
        <v>45340</v>
      </c>
      <c r="C591">
        <v>2010</v>
      </c>
      <c r="D591" s="1">
        <v>0</v>
      </c>
      <c r="E591" s="1">
        <v>14160.12</v>
      </c>
      <c r="F591" t="s">
        <v>2129</v>
      </c>
      <c r="G591" t="str">
        <f>_xlfn.XLOOKUP(C591,tblCOA[AccountNo],tblCOA[AccountName],"Unmapped")</f>
        <v>Accounts Payable</v>
      </c>
      <c r="H591" t="str">
        <f>_xlfn.XLOOKUP(C591,tblCOA[AccountNo],tblCOA[Category],"Unmapped")</f>
        <v>Liabilities</v>
      </c>
      <c r="I591" s="4">
        <f t="shared" si="27"/>
        <v>-14160.12</v>
      </c>
      <c r="J591">
        <f t="shared" si="28"/>
        <v>2024</v>
      </c>
      <c r="K591" s="5">
        <f t="shared" si="29"/>
        <v>45323</v>
      </c>
    </row>
    <row r="592" spans="1:11" x14ac:dyDescent="0.25">
      <c r="A592" t="s">
        <v>3202</v>
      </c>
      <c r="B592" s="3">
        <v>45340</v>
      </c>
      <c r="C592">
        <v>1200</v>
      </c>
      <c r="D592" s="1">
        <v>21896.98</v>
      </c>
      <c r="E592" s="1">
        <v>0</v>
      </c>
      <c r="F592" t="s">
        <v>3203</v>
      </c>
      <c r="G592" t="str">
        <f>_xlfn.XLOOKUP(C592,tblCOA[AccountNo],tblCOA[AccountName],"Unmapped")</f>
        <v>Accounts Receivable</v>
      </c>
      <c r="H592" t="str">
        <f>_xlfn.XLOOKUP(C592,tblCOA[AccountNo],tblCOA[Category],"Unmapped")</f>
        <v>Assets</v>
      </c>
      <c r="I592" s="4">
        <f t="shared" si="27"/>
        <v>21896.98</v>
      </c>
      <c r="J592">
        <f t="shared" si="28"/>
        <v>2024</v>
      </c>
      <c r="K592" s="5">
        <f t="shared" si="29"/>
        <v>45323</v>
      </c>
    </row>
    <row r="593" spans="1:11" x14ac:dyDescent="0.25">
      <c r="A593" t="s">
        <v>3204</v>
      </c>
      <c r="B593" s="3">
        <v>45340</v>
      </c>
      <c r="C593">
        <v>4010</v>
      </c>
      <c r="D593" s="1">
        <v>0</v>
      </c>
      <c r="E593" s="1">
        <v>21896.98</v>
      </c>
      <c r="F593" t="s">
        <v>3205</v>
      </c>
      <c r="G593" t="str">
        <f>_xlfn.XLOOKUP(C593,tblCOA[AccountNo],tblCOA[AccountName],"Unmapped")</f>
        <v>Product Sales</v>
      </c>
      <c r="H593" t="str">
        <f>_xlfn.XLOOKUP(C593,tblCOA[AccountNo],tblCOA[Category],"Unmapped")</f>
        <v>Revenue</v>
      </c>
      <c r="I593" s="4">
        <f t="shared" si="27"/>
        <v>-21896.98</v>
      </c>
      <c r="J593">
        <f t="shared" si="28"/>
        <v>2024</v>
      </c>
      <c r="K593" s="5">
        <f t="shared" si="29"/>
        <v>45323</v>
      </c>
    </row>
    <row r="594" spans="1:11" x14ac:dyDescent="0.25">
      <c r="A594" t="s">
        <v>1670</v>
      </c>
      <c r="B594" s="3">
        <v>45340</v>
      </c>
      <c r="C594">
        <v>5010</v>
      </c>
      <c r="D594" s="1">
        <v>1911.64</v>
      </c>
      <c r="E594" s="1">
        <v>0</v>
      </c>
      <c r="F594" t="s">
        <v>1671</v>
      </c>
      <c r="G594" t="str">
        <f>_xlfn.XLOOKUP(C594,tblCOA[AccountNo],tblCOA[AccountName],"Unmapped")</f>
        <v>Cost of Goods Sold</v>
      </c>
      <c r="H594" t="str">
        <f>_xlfn.XLOOKUP(C594,tblCOA[AccountNo],tblCOA[Category],"Unmapped")</f>
        <v>Expenses</v>
      </c>
      <c r="I594" s="4">
        <f t="shared" si="27"/>
        <v>1911.64</v>
      </c>
      <c r="J594">
        <f t="shared" si="28"/>
        <v>2024</v>
      </c>
      <c r="K594" s="5">
        <f t="shared" si="29"/>
        <v>45323</v>
      </c>
    </row>
    <row r="595" spans="1:11" x14ac:dyDescent="0.25">
      <c r="A595" t="s">
        <v>1672</v>
      </c>
      <c r="B595" s="3">
        <v>45340</v>
      </c>
      <c r="C595">
        <v>2010</v>
      </c>
      <c r="D595" s="1">
        <v>0</v>
      </c>
      <c r="E595" s="1">
        <v>1911.64</v>
      </c>
      <c r="F595" t="s">
        <v>1673</v>
      </c>
      <c r="G595" t="str">
        <f>_xlfn.XLOOKUP(C595,tblCOA[AccountNo],tblCOA[AccountName],"Unmapped")</f>
        <v>Accounts Payable</v>
      </c>
      <c r="H595" t="str">
        <f>_xlfn.XLOOKUP(C595,tblCOA[AccountNo],tblCOA[Category],"Unmapped")</f>
        <v>Liabilities</v>
      </c>
      <c r="I595" s="4">
        <f t="shared" si="27"/>
        <v>-1911.64</v>
      </c>
      <c r="J595">
        <f t="shared" si="28"/>
        <v>2024</v>
      </c>
      <c r="K595" s="5">
        <f t="shared" si="29"/>
        <v>45323</v>
      </c>
    </row>
    <row r="596" spans="1:11" x14ac:dyDescent="0.25">
      <c r="A596" t="s">
        <v>1558</v>
      </c>
      <c r="B596" s="3">
        <v>45341</v>
      </c>
      <c r="C596">
        <v>5010</v>
      </c>
      <c r="D596" s="1">
        <v>16778</v>
      </c>
      <c r="E596" s="1">
        <v>0</v>
      </c>
      <c r="F596" t="s">
        <v>1559</v>
      </c>
      <c r="G596" t="str">
        <f>_xlfn.XLOOKUP(C596,tblCOA[AccountNo],tblCOA[AccountName],"Unmapped")</f>
        <v>Cost of Goods Sold</v>
      </c>
      <c r="H596" t="str">
        <f>_xlfn.XLOOKUP(C596,tblCOA[AccountNo],tblCOA[Category],"Unmapped")</f>
        <v>Expenses</v>
      </c>
      <c r="I596" s="4">
        <f t="shared" si="27"/>
        <v>16778</v>
      </c>
      <c r="J596">
        <f t="shared" si="28"/>
        <v>2024</v>
      </c>
      <c r="K596" s="5">
        <f t="shared" si="29"/>
        <v>45323</v>
      </c>
    </row>
    <row r="597" spans="1:11" x14ac:dyDescent="0.25">
      <c r="A597" t="s">
        <v>1560</v>
      </c>
      <c r="B597" s="3">
        <v>45341</v>
      </c>
      <c r="C597">
        <v>2010</v>
      </c>
      <c r="D597" s="1">
        <v>0</v>
      </c>
      <c r="E597" s="1">
        <v>16778</v>
      </c>
      <c r="F597" t="s">
        <v>1561</v>
      </c>
      <c r="G597" t="str">
        <f>_xlfn.XLOOKUP(C597,tblCOA[AccountNo],tblCOA[AccountName],"Unmapped")</f>
        <v>Accounts Payable</v>
      </c>
      <c r="H597" t="str">
        <f>_xlfn.XLOOKUP(C597,tblCOA[AccountNo],tblCOA[Category],"Unmapped")</f>
        <v>Liabilities</v>
      </c>
      <c r="I597" s="4">
        <f t="shared" si="27"/>
        <v>-16778</v>
      </c>
      <c r="J597">
        <f t="shared" si="28"/>
        <v>2024</v>
      </c>
      <c r="K597" s="5">
        <f t="shared" si="29"/>
        <v>45323</v>
      </c>
    </row>
    <row r="598" spans="1:11" x14ac:dyDescent="0.25">
      <c r="A598" t="s">
        <v>3798</v>
      </c>
      <c r="B598" s="3">
        <v>45342</v>
      </c>
      <c r="C598">
        <v>5010</v>
      </c>
      <c r="D598" s="1">
        <v>18726.98</v>
      </c>
      <c r="E598" s="1">
        <v>0</v>
      </c>
      <c r="F598" t="s">
        <v>3799</v>
      </c>
      <c r="G598" t="str">
        <f>_xlfn.XLOOKUP(C598,tblCOA[AccountNo],tblCOA[AccountName],"Unmapped")</f>
        <v>Cost of Goods Sold</v>
      </c>
      <c r="H598" t="str">
        <f>_xlfn.XLOOKUP(C598,tblCOA[AccountNo],tblCOA[Category],"Unmapped")</f>
        <v>Expenses</v>
      </c>
      <c r="I598" s="4">
        <f t="shared" si="27"/>
        <v>18726.98</v>
      </c>
      <c r="J598">
        <f t="shared" si="28"/>
        <v>2024</v>
      </c>
      <c r="K598" s="5">
        <f t="shared" si="29"/>
        <v>45323</v>
      </c>
    </row>
    <row r="599" spans="1:11" x14ac:dyDescent="0.25">
      <c r="A599" t="s">
        <v>3800</v>
      </c>
      <c r="B599" s="3">
        <v>45342</v>
      </c>
      <c r="C599">
        <v>2010</v>
      </c>
      <c r="D599" s="1">
        <v>0</v>
      </c>
      <c r="E599" s="1">
        <v>18726.98</v>
      </c>
      <c r="F599" t="s">
        <v>3801</v>
      </c>
      <c r="G599" t="str">
        <f>_xlfn.XLOOKUP(C599,tblCOA[AccountNo],tblCOA[AccountName],"Unmapped")</f>
        <v>Accounts Payable</v>
      </c>
      <c r="H599" t="str">
        <f>_xlfn.XLOOKUP(C599,tblCOA[AccountNo],tblCOA[Category],"Unmapped")</f>
        <v>Liabilities</v>
      </c>
      <c r="I599" s="4">
        <f t="shared" si="27"/>
        <v>-18726.98</v>
      </c>
      <c r="J599">
        <f t="shared" si="28"/>
        <v>2024</v>
      </c>
      <c r="K599" s="5">
        <f t="shared" si="29"/>
        <v>45323</v>
      </c>
    </row>
    <row r="600" spans="1:11" x14ac:dyDescent="0.25">
      <c r="A600" t="s">
        <v>3146</v>
      </c>
      <c r="B600" s="3">
        <v>45346</v>
      </c>
      <c r="C600">
        <v>1200</v>
      </c>
      <c r="D600" s="1">
        <v>15434.26</v>
      </c>
      <c r="E600" s="1">
        <v>0</v>
      </c>
      <c r="F600" t="s">
        <v>3147</v>
      </c>
      <c r="G600" t="str">
        <f>_xlfn.XLOOKUP(C600,tblCOA[AccountNo],tblCOA[AccountName],"Unmapped")</f>
        <v>Accounts Receivable</v>
      </c>
      <c r="H600" t="str">
        <f>_xlfn.XLOOKUP(C600,tblCOA[AccountNo],tblCOA[Category],"Unmapped")</f>
        <v>Assets</v>
      </c>
      <c r="I600" s="4">
        <f t="shared" si="27"/>
        <v>15434.26</v>
      </c>
      <c r="J600">
        <f t="shared" si="28"/>
        <v>2024</v>
      </c>
      <c r="K600" s="5">
        <f t="shared" si="29"/>
        <v>45323</v>
      </c>
    </row>
    <row r="601" spans="1:11" x14ac:dyDescent="0.25">
      <c r="A601" t="s">
        <v>3148</v>
      </c>
      <c r="B601" s="3">
        <v>45346</v>
      </c>
      <c r="C601">
        <v>4010</v>
      </c>
      <c r="D601" s="1">
        <v>0</v>
      </c>
      <c r="E601" s="1">
        <v>15434.26</v>
      </c>
      <c r="F601" t="s">
        <v>3149</v>
      </c>
      <c r="G601" t="str">
        <f>_xlfn.XLOOKUP(C601,tblCOA[AccountNo],tblCOA[AccountName],"Unmapped")</f>
        <v>Product Sales</v>
      </c>
      <c r="H601" t="str">
        <f>_xlfn.XLOOKUP(C601,tblCOA[AccountNo],tblCOA[Category],"Unmapped")</f>
        <v>Revenue</v>
      </c>
      <c r="I601" s="4">
        <f t="shared" si="27"/>
        <v>-15434.26</v>
      </c>
      <c r="J601">
        <f t="shared" si="28"/>
        <v>2024</v>
      </c>
      <c r="K601" s="5">
        <f t="shared" si="29"/>
        <v>45323</v>
      </c>
    </row>
    <row r="602" spans="1:11" x14ac:dyDescent="0.25">
      <c r="A602" t="s">
        <v>2882</v>
      </c>
      <c r="B602" s="3">
        <v>45347</v>
      </c>
      <c r="C602">
        <v>1200</v>
      </c>
      <c r="D602" s="1">
        <v>15019.57</v>
      </c>
      <c r="E602" s="1">
        <v>0</v>
      </c>
      <c r="F602" t="s">
        <v>2883</v>
      </c>
      <c r="G602" t="str">
        <f>_xlfn.XLOOKUP(C602,tblCOA[AccountNo],tblCOA[AccountName],"Unmapped")</f>
        <v>Accounts Receivable</v>
      </c>
      <c r="H602" t="str">
        <f>_xlfn.XLOOKUP(C602,tblCOA[AccountNo],tblCOA[Category],"Unmapped")</f>
        <v>Assets</v>
      </c>
      <c r="I602" s="4">
        <f t="shared" si="27"/>
        <v>15019.57</v>
      </c>
      <c r="J602">
        <f t="shared" si="28"/>
        <v>2024</v>
      </c>
      <c r="K602" s="5">
        <f t="shared" si="29"/>
        <v>45323</v>
      </c>
    </row>
    <row r="603" spans="1:11" x14ac:dyDescent="0.25">
      <c r="A603" t="s">
        <v>2884</v>
      </c>
      <c r="B603" s="3">
        <v>45347</v>
      </c>
      <c r="C603">
        <v>4010</v>
      </c>
      <c r="D603" s="1">
        <v>0</v>
      </c>
      <c r="E603" s="1">
        <v>15019.57</v>
      </c>
      <c r="F603" t="s">
        <v>2885</v>
      </c>
      <c r="G603" t="str">
        <f>_xlfn.XLOOKUP(C603,tblCOA[AccountNo],tblCOA[AccountName],"Unmapped")</f>
        <v>Product Sales</v>
      </c>
      <c r="H603" t="str">
        <f>_xlfn.XLOOKUP(C603,tblCOA[AccountNo],tblCOA[Category],"Unmapped")</f>
        <v>Revenue</v>
      </c>
      <c r="I603" s="4">
        <f t="shared" si="27"/>
        <v>-15019.57</v>
      </c>
      <c r="J603">
        <f t="shared" si="28"/>
        <v>2024</v>
      </c>
      <c r="K603" s="5">
        <f t="shared" si="29"/>
        <v>45323</v>
      </c>
    </row>
    <row r="604" spans="1:11" x14ac:dyDescent="0.25">
      <c r="A604" t="s">
        <v>3110</v>
      </c>
      <c r="B604" s="3">
        <v>45348</v>
      </c>
      <c r="C604">
        <v>5010</v>
      </c>
      <c r="D604" s="1">
        <v>10569.26</v>
      </c>
      <c r="E604" s="1">
        <v>0</v>
      </c>
      <c r="F604" t="s">
        <v>3111</v>
      </c>
      <c r="G604" t="str">
        <f>_xlfn.XLOOKUP(C604,tblCOA[AccountNo],tblCOA[AccountName],"Unmapped")</f>
        <v>Cost of Goods Sold</v>
      </c>
      <c r="H604" t="str">
        <f>_xlfn.XLOOKUP(C604,tblCOA[AccountNo],tblCOA[Category],"Unmapped")</f>
        <v>Expenses</v>
      </c>
      <c r="I604" s="4">
        <f t="shared" si="27"/>
        <v>10569.26</v>
      </c>
      <c r="J604">
        <f t="shared" si="28"/>
        <v>2024</v>
      </c>
      <c r="K604" s="5">
        <f t="shared" si="29"/>
        <v>45323</v>
      </c>
    </row>
    <row r="605" spans="1:11" x14ac:dyDescent="0.25">
      <c r="A605" t="s">
        <v>3112</v>
      </c>
      <c r="B605" s="3">
        <v>45348</v>
      </c>
      <c r="C605">
        <v>2010</v>
      </c>
      <c r="D605" s="1">
        <v>0</v>
      </c>
      <c r="E605" s="1">
        <v>10569.26</v>
      </c>
      <c r="F605" t="s">
        <v>3113</v>
      </c>
      <c r="G605" t="str">
        <f>_xlfn.XLOOKUP(C605,tblCOA[AccountNo],tblCOA[AccountName],"Unmapped")</f>
        <v>Accounts Payable</v>
      </c>
      <c r="H605" t="str">
        <f>_xlfn.XLOOKUP(C605,tblCOA[AccountNo],tblCOA[Category],"Unmapped")</f>
        <v>Liabilities</v>
      </c>
      <c r="I605" s="4">
        <f t="shared" si="27"/>
        <v>-10569.26</v>
      </c>
      <c r="J605">
        <f t="shared" si="28"/>
        <v>2024</v>
      </c>
      <c r="K605" s="5">
        <f t="shared" si="29"/>
        <v>45323</v>
      </c>
    </row>
    <row r="606" spans="1:11" x14ac:dyDescent="0.25">
      <c r="A606" t="s">
        <v>1038</v>
      </c>
      <c r="B606" s="3">
        <v>45349</v>
      </c>
      <c r="C606">
        <v>5010</v>
      </c>
      <c r="D606" s="1">
        <v>11079.64</v>
      </c>
      <c r="E606" s="1">
        <v>0</v>
      </c>
      <c r="F606" t="s">
        <v>1039</v>
      </c>
      <c r="G606" t="str">
        <f>_xlfn.XLOOKUP(C606,tblCOA[AccountNo],tblCOA[AccountName],"Unmapped")</f>
        <v>Cost of Goods Sold</v>
      </c>
      <c r="H606" t="str">
        <f>_xlfn.XLOOKUP(C606,tblCOA[AccountNo],tblCOA[Category],"Unmapped")</f>
        <v>Expenses</v>
      </c>
      <c r="I606" s="4">
        <f t="shared" si="27"/>
        <v>11079.64</v>
      </c>
      <c r="J606">
        <f t="shared" si="28"/>
        <v>2024</v>
      </c>
      <c r="K606" s="5">
        <f t="shared" si="29"/>
        <v>45323</v>
      </c>
    </row>
    <row r="607" spans="1:11" x14ac:dyDescent="0.25">
      <c r="A607" t="s">
        <v>1040</v>
      </c>
      <c r="B607" s="3">
        <v>45349</v>
      </c>
      <c r="C607">
        <v>2010</v>
      </c>
      <c r="D607" s="1">
        <v>0</v>
      </c>
      <c r="E607" s="1">
        <v>11079.64</v>
      </c>
      <c r="F607" t="s">
        <v>1041</v>
      </c>
      <c r="G607" t="str">
        <f>_xlfn.XLOOKUP(C607,tblCOA[AccountNo],tblCOA[AccountName],"Unmapped")</f>
        <v>Accounts Payable</v>
      </c>
      <c r="H607" t="str">
        <f>_xlfn.XLOOKUP(C607,tblCOA[AccountNo],tblCOA[Category],"Unmapped")</f>
        <v>Liabilities</v>
      </c>
      <c r="I607" s="4">
        <f t="shared" si="27"/>
        <v>-11079.64</v>
      </c>
      <c r="J607">
        <f t="shared" si="28"/>
        <v>2024</v>
      </c>
      <c r="K607" s="5">
        <f t="shared" si="29"/>
        <v>45323</v>
      </c>
    </row>
    <row r="608" spans="1:11" x14ac:dyDescent="0.25">
      <c r="A608" t="s">
        <v>746</v>
      </c>
      <c r="B608" s="3">
        <v>45353</v>
      </c>
      <c r="C608">
        <v>1200</v>
      </c>
      <c r="D608" s="1">
        <v>34365.879999999997</v>
      </c>
      <c r="E608" s="1">
        <v>0</v>
      </c>
      <c r="F608" t="s">
        <v>747</v>
      </c>
      <c r="G608" t="str">
        <f>_xlfn.XLOOKUP(C608,tblCOA[AccountNo],tblCOA[AccountName],"Unmapped")</f>
        <v>Accounts Receivable</v>
      </c>
      <c r="H608" t="str">
        <f>_xlfn.XLOOKUP(C608,tblCOA[AccountNo],tblCOA[Category],"Unmapped")</f>
        <v>Assets</v>
      </c>
      <c r="I608" s="4">
        <f t="shared" si="27"/>
        <v>34365.879999999997</v>
      </c>
      <c r="J608">
        <f t="shared" si="28"/>
        <v>2024</v>
      </c>
      <c r="K608" s="5">
        <f t="shared" si="29"/>
        <v>45352</v>
      </c>
    </row>
    <row r="609" spans="1:11" x14ac:dyDescent="0.25">
      <c r="A609" t="s">
        <v>748</v>
      </c>
      <c r="B609" s="3">
        <v>45353</v>
      </c>
      <c r="C609">
        <v>4010</v>
      </c>
      <c r="D609" s="1">
        <v>0</v>
      </c>
      <c r="E609" s="1">
        <v>34365.879999999997</v>
      </c>
      <c r="F609" t="s">
        <v>749</v>
      </c>
      <c r="G609" t="str">
        <f>_xlfn.XLOOKUP(C609,tblCOA[AccountNo],tblCOA[AccountName],"Unmapped")</f>
        <v>Product Sales</v>
      </c>
      <c r="H609" t="str">
        <f>_xlfn.XLOOKUP(C609,tblCOA[AccountNo],tblCOA[Category],"Unmapped")</f>
        <v>Revenue</v>
      </c>
      <c r="I609" s="4">
        <f t="shared" si="27"/>
        <v>-34365.879999999997</v>
      </c>
      <c r="J609">
        <f t="shared" si="28"/>
        <v>2024</v>
      </c>
      <c r="K609" s="5">
        <f t="shared" si="29"/>
        <v>45352</v>
      </c>
    </row>
    <row r="610" spans="1:11" x14ac:dyDescent="0.25">
      <c r="A610" t="s">
        <v>2450</v>
      </c>
      <c r="B610" s="3">
        <v>45354</v>
      </c>
      <c r="C610">
        <v>1200</v>
      </c>
      <c r="D610" s="1">
        <v>8498.1200000000008</v>
      </c>
      <c r="E610" s="1">
        <v>0</v>
      </c>
      <c r="F610" t="s">
        <v>2451</v>
      </c>
      <c r="G610" t="str">
        <f>_xlfn.XLOOKUP(C610,tblCOA[AccountNo],tblCOA[AccountName],"Unmapped")</f>
        <v>Accounts Receivable</v>
      </c>
      <c r="H610" t="str">
        <f>_xlfn.XLOOKUP(C610,tblCOA[AccountNo],tblCOA[Category],"Unmapped")</f>
        <v>Assets</v>
      </c>
      <c r="I610" s="4">
        <f t="shared" si="27"/>
        <v>8498.1200000000008</v>
      </c>
      <c r="J610">
        <f t="shared" si="28"/>
        <v>2024</v>
      </c>
      <c r="K610" s="5">
        <f t="shared" si="29"/>
        <v>45352</v>
      </c>
    </row>
    <row r="611" spans="1:11" x14ac:dyDescent="0.25">
      <c r="A611" t="s">
        <v>2452</v>
      </c>
      <c r="B611" s="3">
        <v>45354</v>
      </c>
      <c r="C611">
        <v>4010</v>
      </c>
      <c r="D611" s="1">
        <v>0</v>
      </c>
      <c r="E611" s="1">
        <v>8498.1200000000008</v>
      </c>
      <c r="F611" t="s">
        <v>2453</v>
      </c>
      <c r="G611" t="str">
        <f>_xlfn.XLOOKUP(C611,tblCOA[AccountNo],tblCOA[AccountName],"Unmapped")</f>
        <v>Product Sales</v>
      </c>
      <c r="H611" t="str">
        <f>_xlfn.XLOOKUP(C611,tblCOA[AccountNo],tblCOA[Category],"Unmapped")</f>
        <v>Revenue</v>
      </c>
      <c r="I611" s="4">
        <f t="shared" si="27"/>
        <v>-8498.1200000000008</v>
      </c>
      <c r="J611">
        <f t="shared" si="28"/>
        <v>2024</v>
      </c>
      <c r="K611" s="5">
        <f t="shared" si="29"/>
        <v>45352</v>
      </c>
    </row>
    <row r="612" spans="1:11" x14ac:dyDescent="0.25">
      <c r="A612" t="s">
        <v>2646</v>
      </c>
      <c r="B612" s="3">
        <v>45356</v>
      </c>
      <c r="C612">
        <v>5010</v>
      </c>
      <c r="D612" s="1">
        <v>18911.63</v>
      </c>
      <c r="E612" s="1">
        <v>0</v>
      </c>
      <c r="F612" t="s">
        <v>2647</v>
      </c>
      <c r="G612" t="str">
        <f>_xlfn.XLOOKUP(C612,tblCOA[AccountNo],tblCOA[AccountName],"Unmapped")</f>
        <v>Cost of Goods Sold</v>
      </c>
      <c r="H612" t="str">
        <f>_xlfn.XLOOKUP(C612,tblCOA[AccountNo],tblCOA[Category],"Unmapped")</f>
        <v>Expenses</v>
      </c>
      <c r="I612" s="4">
        <f t="shared" si="27"/>
        <v>18911.63</v>
      </c>
      <c r="J612">
        <f t="shared" si="28"/>
        <v>2024</v>
      </c>
      <c r="K612" s="5">
        <f t="shared" si="29"/>
        <v>45352</v>
      </c>
    </row>
    <row r="613" spans="1:11" x14ac:dyDescent="0.25">
      <c r="A613" t="s">
        <v>2648</v>
      </c>
      <c r="B613" s="3">
        <v>45356</v>
      </c>
      <c r="C613">
        <v>2010</v>
      </c>
      <c r="D613" s="1">
        <v>0</v>
      </c>
      <c r="E613" s="1">
        <v>18911.63</v>
      </c>
      <c r="F613" t="s">
        <v>2649</v>
      </c>
      <c r="G613" t="str">
        <f>_xlfn.XLOOKUP(C613,tblCOA[AccountNo],tblCOA[AccountName],"Unmapped")</f>
        <v>Accounts Payable</v>
      </c>
      <c r="H613" t="str">
        <f>_xlfn.XLOOKUP(C613,tblCOA[AccountNo],tblCOA[Category],"Unmapped")</f>
        <v>Liabilities</v>
      </c>
      <c r="I613" s="4">
        <f t="shared" si="27"/>
        <v>-18911.63</v>
      </c>
      <c r="J613">
        <f t="shared" si="28"/>
        <v>2024</v>
      </c>
      <c r="K613" s="5">
        <f t="shared" si="29"/>
        <v>45352</v>
      </c>
    </row>
    <row r="614" spans="1:11" x14ac:dyDescent="0.25">
      <c r="A614" t="s">
        <v>694</v>
      </c>
      <c r="B614" s="3">
        <v>45356</v>
      </c>
      <c r="C614">
        <v>5010</v>
      </c>
      <c r="D614" s="1">
        <v>19531.830000000002</v>
      </c>
      <c r="E614" s="1">
        <v>0</v>
      </c>
      <c r="F614" t="s">
        <v>695</v>
      </c>
      <c r="G614" t="str">
        <f>_xlfn.XLOOKUP(C614,tblCOA[AccountNo],tblCOA[AccountName],"Unmapped")</f>
        <v>Cost of Goods Sold</v>
      </c>
      <c r="H614" t="str">
        <f>_xlfn.XLOOKUP(C614,tblCOA[AccountNo],tblCOA[Category],"Unmapped")</f>
        <v>Expenses</v>
      </c>
      <c r="I614" s="4">
        <f t="shared" si="27"/>
        <v>19531.830000000002</v>
      </c>
      <c r="J614">
        <f t="shared" si="28"/>
        <v>2024</v>
      </c>
      <c r="K614" s="5">
        <f t="shared" si="29"/>
        <v>45352</v>
      </c>
    </row>
    <row r="615" spans="1:11" x14ac:dyDescent="0.25">
      <c r="A615" t="s">
        <v>696</v>
      </c>
      <c r="B615" s="3">
        <v>45356</v>
      </c>
      <c r="C615">
        <v>2010</v>
      </c>
      <c r="D615" s="1">
        <v>0</v>
      </c>
      <c r="E615" s="1">
        <v>19531.830000000002</v>
      </c>
      <c r="F615" t="s">
        <v>697</v>
      </c>
      <c r="G615" t="str">
        <f>_xlfn.XLOOKUP(C615,tblCOA[AccountNo],tblCOA[AccountName],"Unmapped")</f>
        <v>Accounts Payable</v>
      </c>
      <c r="H615" t="str">
        <f>_xlfn.XLOOKUP(C615,tblCOA[AccountNo],tblCOA[Category],"Unmapped")</f>
        <v>Liabilities</v>
      </c>
      <c r="I615" s="4">
        <f t="shared" si="27"/>
        <v>-19531.830000000002</v>
      </c>
      <c r="J615">
        <f t="shared" si="28"/>
        <v>2024</v>
      </c>
      <c r="K615" s="5">
        <f t="shared" si="29"/>
        <v>45352</v>
      </c>
    </row>
    <row r="616" spans="1:11" x14ac:dyDescent="0.25">
      <c r="A616" t="s">
        <v>2198</v>
      </c>
      <c r="B616" s="3">
        <v>45358</v>
      </c>
      <c r="C616">
        <v>5010</v>
      </c>
      <c r="D616" s="1">
        <v>2711.96</v>
      </c>
      <c r="E616" s="1">
        <v>0</v>
      </c>
      <c r="F616" t="s">
        <v>2199</v>
      </c>
      <c r="G616" t="str">
        <f>_xlfn.XLOOKUP(C616,tblCOA[AccountNo],tblCOA[AccountName],"Unmapped")</f>
        <v>Cost of Goods Sold</v>
      </c>
      <c r="H616" t="str">
        <f>_xlfn.XLOOKUP(C616,tblCOA[AccountNo],tblCOA[Category],"Unmapped")</f>
        <v>Expenses</v>
      </c>
      <c r="I616" s="4">
        <f t="shared" si="27"/>
        <v>2711.96</v>
      </c>
      <c r="J616">
        <f t="shared" si="28"/>
        <v>2024</v>
      </c>
      <c r="K616" s="5">
        <f t="shared" si="29"/>
        <v>45352</v>
      </c>
    </row>
    <row r="617" spans="1:11" x14ac:dyDescent="0.25">
      <c r="A617" t="s">
        <v>2200</v>
      </c>
      <c r="B617" s="3">
        <v>45358</v>
      </c>
      <c r="C617">
        <v>2010</v>
      </c>
      <c r="D617" s="1">
        <v>0</v>
      </c>
      <c r="E617" s="1">
        <v>2711.96</v>
      </c>
      <c r="F617" t="s">
        <v>2201</v>
      </c>
      <c r="G617" t="str">
        <f>_xlfn.XLOOKUP(C617,tblCOA[AccountNo],tblCOA[AccountName],"Unmapped")</f>
        <v>Accounts Payable</v>
      </c>
      <c r="H617" t="str">
        <f>_xlfn.XLOOKUP(C617,tblCOA[AccountNo],tblCOA[Category],"Unmapped")</f>
        <v>Liabilities</v>
      </c>
      <c r="I617" s="4">
        <f t="shared" si="27"/>
        <v>-2711.96</v>
      </c>
      <c r="J617">
        <f t="shared" si="28"/>
        <v>2024</v>
      </c>
      <c r="K617" s="5">
        <f t="shared" si="29"/>
        <v>45352</v>
      </c>
    </row>
    <row r="618" spans="1:11" x14ac:dyDescent="0.25">
      <c r="A618" t="s">
        <v>1394</v>
      </c>
      <c r="B618" s="3">
        <v>45359</v>
      </c>
      <c r="C618">
        <v>1200</v>
      </c>
      <c r="D618" s="1">
        <v>8867.57</v>
      </c>
      <c r="E618" s="1">
        <v>0</v>
      </c>
      <c r="F618" t="s">
        <v>1395</v>
      </c>
      <c r="G618" t="str">
        <f>_xlfn.XLOOKUP(C618,tblCOA[AccountNo],tblCOA[AccountName],"Unmapped")</f>
        <v>Accounts Receivable</v>
      </c>
      <c r="H618" t="str">
        <f>_xlfn.XLOOKUP(C618,tblCOA[AccountNo],tblCOA[Category],"Unmapped")</f>
        <v>Assets</v>
      </c>
      <c r="I618" s="4">
        <f t="shared" si="27"/>
        <v>8867.57</v>
      </c>
      <c r="J618">
        <f t="shared" si="28"/>
        <v>2024</v>
      </c>
      <c r="K618" s="5">
        <f t="shared" si="29"/>
        <v>45352</v>
      </c>
    </row>
    <row r="619" spans="1:11" x14ac:dyDescent="0.25">
      <c r="A619" t="s">
        <v>1396</v>
      </c>
      <c r="B619" s="3">
        <v>45359</v>
      </c>
      <c r="C619">
        <v>4010</v>
      </c>
      <c r="D619" s="1">
        <v>0</v>
      </c>
      <c r="E619" s="1">
        <v>8867.57</v>
      </c>
      <c r="F619" t="s">
        <v>1397</v>
      </c>
      <c r="G619" t="str">
        <f>_xlfn.XLOOKUP(C619,tblCOA[AccountNo],tblCOA[AccountName],"Unmapped")</f>
        <v>Product Sales</v>
      </c>
      <c r="H619" t="str">
        <f>_xlfn.XLOOKUP(C619,tblCOA[AccountNo],tblCOA[Category],"Unmapped")</f>
        <v>Revenue</v>
      </c>
      <c r="I619" s="4">
        <f t="shared" si="27"/>
        <v>-8867.57</v>
      </c>
      <c r="J619">
        <f t="shared" si="28"/>
        <v>2024</v>
      </c>
      <c r="K619" s="5">
        <f t="shared" si="29"/>
        <v>45352</v>
      </c>
    </row>
    <row r="620" spans="1:11" x14ac:dyDescent="0.25">
      <c r="A620" t="s">
        <v>3014</v>
      </c>
      <c r="B620" s="3">
        <v>45361</v>
      </c>
      <c r="C620">
        <v>5010</v>
      </c>
      <c r="D620" s="1">
        <v>18010.759999999998</v>
      </c>
      <c r="E620" s="1">
        <v>0</v>
      </c>
      <c r="F620" t="s">
        <v>3015</v>
      </c>
      <c r="G620" t="str">
        <f>_xlfn.XLOOKUP(C620,tblCOA[AccountNo],tblCOA[AccountName],"Unmapped")</f>
        <v>Cost of Goods Sold</v>
      </c>
      <c r="H620" t="str">
        <f>_xlfn.XLOOKUP(C620,tblCOA[AccountNo],tblCOA[Category],"Unmapped")</f>
        <v>Expenses</v>
      </c>
      <c r="I620" s="4">
        <f t="shared" si="27"/>
        <v>18010.759999999998</v>
      </c>
      <c r="J620">
        <f t="shared" si="28"/>
        <v>2024</v>
      </c>
      <c r="K620" s="5">
        <f t="shared" si="29"/>
        <v>45352</v>
      </c>
    </row>
    <row r="621" spans="1:11" x14ac:dyDescent="0.25">
      <c r="A621" t="s">
        <v>3016</v>
      </c>
      <c r="B621" s="3">
        <v>45361</v>
      </c>
      <c r="C621">
        <v>2010</v>
      </c>
      <c r="D621" s="1">
        <v>0</v>
      </c>
      <c r="E621" s="1">
        <v>18010.759999999998</v>
      </c>
      <c r="F621" t="s">
        <v>3017</v>
      </c>
      <c r="G621" t="str">
        <f>_xlfn.XLOOKUP(C621,tblCOA[AccountNo],tblCOA[AccountName],"Unmapped")</f>
        <v>Accounts Payable</v>
      </c>
      <c r="H621" t="str">
        <f>_xlfn.XLOOKUP(C621,tblCOA[AccountNo],tblCOA[Category],"Unmapped")</f>
        <v>Liabilities</v>
      </c>
      <c r="I621" s="4">
        <f t="shared" si="27"/>
        <v>-18010.759999999998</v>
      </c>
      <c r="J621">
        <f t="shared" si="28"/>
        <v>2024</v>
      </c>
      <c r="K621" s="5">
        <f t="shared" si="29"/>
        <v>45352</v>
      </c>
    </row>
    <row r="622" spans="1:11" x14ac:dyDescent="0.25">
      <c r="A622" t="s">
        <v>2004</v>
      </c>
      <c r="B622" s="3">
        <v>45364</v>
      </c>
      <c r="C622">
        <v>4010</v>
      </c>
      <c r="D622" s="1">
        <v>0</v>
      </c>
      <c r="E622" s="1">
        <v>39380.36</v>
      </c>
      <c r="F622" t="s">
        <v>2005</v>
      </c>
      <c r="G622" t="str">
        <f>_xlfn.XLOOKUP(C622,tblCOA[AccountNo],tblCOA[AccountName],"Unmapped")</f>
        <v>Product Sales</v>
      </c>
      <c r="H622" t="str">
        <f>_xlfn.XLOOKUP(C622,tblCOA[AccountNo],tblCOA[Category],"Unmapped")</f>
        <v>Revenue</v>
      </c>
      <c r="I622" s="4">
        <f t="shared" si="27"/>
        <v>-39380.36</v>
      </c>
      <c r="J622">
        <f t="shared" si="28"/>
        <v>2024</v>
      </c>
      <c r="K622" s="5">
        <f t="shared" si="29"/>
        <v>45352</v>
      </c>
    </row>
    <row r="623" spans="1:11" x14ac:dyDescent="0.25">
      <c r="A623" t="s">
        <v>2002</v>
      </c>
      <c r="B623" s="3">
        <v>45364</v>
      </c>
      <c r="C623">
        <v>1200</v>
      </c>
      <c r="D623" s="1">
        <v>39380.36</v>
      </c>
      <c r="E623" s="1">
        <v>0</v>
      </c>
      <c r="F623" t="s">
        <v>2003</v>
      </c>
      <c r="G623" t="str">
        <f>_xlfn.XLOOKUP(C623,tblCOA[AccountNo],tblCOA[AccountName],"Unmapped")</f>
        <v>Accounts Receivable</v>
      </c>
      <c r="H623" t="str">
        <f>_xlfn.XLOOKUP(C623,tblCOA[AccountNo],tblCOA[Category],"Unmapped")</f>
        <v>Assets</v>
      </c>
      <c r="I623" s="4">
        <f t="shared" si="27"/>
        <v>39380.36</v>
      </c>
      <c r="J623">
        <f t="shared" si="28"/>
        <v>2024</v>
      </c>
      <c r="K623" s="5">
        <f t="shared" si="29"/>
        <v>45352</v>
      </c>
    </row>
    <row r="624" spans="1:11" x14ac:dyDescent="0.25">
      <c r="A624" t="s">
        <v>2470</v>
      </c>
      <c r="B624" s="3">
        <v>45366</v>
      </c>
      <c r="C624">
        <v>5010</v>
      </c>
      <c r="D624" s="1">
        <v>7871.58</v>
      </c>
      <c r="E624" s="1">
        <v>0</v>
      </c>
      <c r="F624" t="s">
        <v>2471</v>
      </c>
      <c r="G624" t="str">
        <f>_xlfn.XLOOKUP(C624,tblCOA[AccountNo],tblCOA[AccountName],"Unmapped")</f>
        <v>Cost of Goods Sold</v>
      </c>
      <c r="H624" t="str">
        <f>_xlfn.XLOOKUP(C624,tblCOA[AccountNo],tblCOA[Category],"Unmapped")</f>
        <v>Expenses</v>
      </c>
      <c r="I624" s="4">
        <f t="shared" si="27"/>
        <v>7871.58</v>
      </c>
      <c r="J624">
        <f t="shared" si="28"/>
        <v>2024</v>
      </c>
      <c r="K624" s="5">
        <f t="shared" si="29"/>
        <v>45352</v>
      </c>
    </row>
    <row r="625" spans="1:11" x14ac:dyDescent="0.25">
      <c r="A625" t="s">
        <v>2472</v>
      </c>
      <c r="B625" s="3">
        <v>45366</v>
      </c>
      <c r="C625">
        <v>2010</v>
      </c>
      <c r="D625" s="1">
        <v>0</v>
      </c>
      <c r="E625" s="1">
        <v>7871.58</v>
      </c>
      <c r="F625" t="s">
        <v>2473</v>
      </c>
      <c r="G625" t="str">
        <f>_xlfn.XLOOKUP(C625,tblCOA[AccountNo],tblCOA[AccountName],"Unmapped")</f>
        <v>Accounts Payable</v>
      </c>
      <c r="H625" t="str">
        <f>_xlfn.XLOOKUP(C625,tblCOA[AccountNo],tblCOA[Category],"Unmapped")</f>
        <v>Liabilities</v>
      </c>
      <c r="I625" s="4">
        <f t="shared" si="27"/>
        <v>-7871.58</v>
      </c>
      <c r="J625">
        <f t="shared" si="28"/>
        <v>2024</v>
      </c>
      <c r="K625" s="5">
        <f t="shared" si="29"/>
        <v>45352</v>
      </c>
    </row>
    <row r="626" spans="1:11" x14ac:dyDescent="0.25">
      <c r="A626" t="s">
        <v>74</v>
      </c>
      <c r="B626" s="3">
        <v>45366</v>
      </c>
      <c r="C626">
        <v>1200</v>
      </c>
      <c r="D626" s="1">
        <v>34496.639999999999</v>
      </c>
      <c r="E626" s="1">
        <v>0</v>
      </c>
      <c r="F626" t="s">
        <v>75</v>
      </c>
      <c r="G626" t="str">
        <f>_xlfn.XLOOKUP(C626,tblCOA[AccountNo],tblCOA[AccountName],"Unmapped")</f>
        <v>Accounts Receivable</v>
      </c>
      <c r="H626" t="str">
        <f>_xlfn.XLOOKUP(C626,tblCOA[AccountNo],tblCOA[Category],"Unmapped")</f>
        <v>Assets</v>
      </c>
      <c r="I626" s="4">
        <f t="shared" si="27"/>
        <v>34496.639999999999</v>
      </c>
      <c r="J626">
        <f t="shared" si="28"/>
        <v>2024</v>
      </c>
      <c r="K626" s="5">
        <f t="shared" si="29"/>
        <v>45352</v>
      </c>
    </row>
    <row r="627" spans="1:11" x14ac:dyDescent="0.25">
      <c r="A627" t="s">
        <v>76</v>
      </c>
      <c r="B627" s="3">
        <v>45366</v>
      </c>
      <c r="C627">
        <v>4010</v>
      </c>
      <c r="D627" s="1">
        <v>0</v>
      </c>
      <c r="E627" s="1">
        <v>34496.639999999999</v>
      </c>
      <c r="F627" t="s">
        <v>77</v>
      </c>
      <c r="G627" t="str">
        <f>_xlfn.XLOOKUP(C627,tblCOA[AccountNo],tblCOA[AccountName],"Unmapped")</f>
        <v>Product Sales</v>
      </c>
      <c r="H627" t="str">
        <f>_xlfn.XLOOKUP(C627,tblCOA[AccountNo],tblCOA[Category],"Unmapped")</f>
        <v>Revenue</v>
      </c>
      <c r="I627" s="4">
        <f t="shared" si="27"/>
        <v>-34496.639999999999</v>
      </c>
      <c r="J627">
        <f t="shared" si="28"/>
        <v>2024</v>
      </c>
      <c r="K627" s="5">
        <f t="shared" si="29"/>
        <v>45352</v>
      </c>
    </row>
    <row r="628" spans="1:11" x14ac:dyDescent="0.25">
      <c r="A628" t="s">
        <v>754</v>
      </c>
      <c r="B628" s="3">
        <v>45366</v>
      </c>
      <c r="C628">
        <v>1200</v>
      </c>
      <c r="D628" s="1">
        <v>21465.67</v>
      </c>
      <c r="E628" s="1">
        <v>0</v>
      </c>
      <c r="F628" t="s">
        <v>755</v>
      </c>
      <c r="G628" t="str">
        <f>_xlfn.XLOOKUP(C628,tblCOA[AccountNo],tblCOA[AccountName],"Unmapped")</f>
        <v>Accounts Receivable</v>
      </c>
      <c r="H628" t="str">
        <f>_xlfn.XLOOKUP(C628,tblCOA[AccountNo],tblCOA[Category],"Unmapped")</f>
        <v>Assets</v>
      </c>
      <c r="I628" s="4">
        <f t="shared" si="27"/>
        <v>21465.67</v>
      </c>
      <c r="J628">
        <f t="shared" si="28"/>
        <v>2024</v>
      </c>
      <c r="K628" s="5">
        <f t="shared" si="29"/>
        <v>45352</v>
      </c>
    </row>
    <row r="629" spans="1:11" x14ac:dyDescent="0.25">
      <c r="A629" t="s">
        <v>756</v>
      </c>
      <c r="B629" s="3">
        <v>45366</v>
      </c>
      <c r="C629">
        <v>4010</v>
      </c>
      <c r="D629" s="1">
        <v>0</v>
      </c>
      <c r="E629" s="1">
        <v>21465.67</v>
      </c>
      <c r="F629" t="s">
        <v>757</v>
      </c>
      <c r="G629" t="str">
        <f>_xlfn.XLOOKUP(C629,tblCOA[AccountNo],tblCOA[AccountName],"Unmapped")</f>
        <v>Product Sales</v>
      </c>
      <c r="H629" t="str">
        <f>_xlfn.XLOOKUP(C629,tblCOA[AccountNo],tblCOA[Category],"Unmapped")</f>
        <v>Revenue</v>
      </c>
      <c r="I629" s="4">
        <f t="shared" si="27"/>
        <v>-21465.67</v>
      </c>
      <c r="J629">
        <f t="shared" si="28"/>
        <v>2024</v>
      </c>
      <c r="K629" s="5">
        <f t="shared" si="29"/>
        <v>45352</v>
      </c>
    </row>
    <row r="630" spans="1:11" x14ac:dyDescent="0.25">
      <c r="A630" t="s">
        <v>1106</v>
      </c>
      <c r="B630" s="3">
        <v>45366</v>
      </c>
      <c r="C630">
        <v>1200</v>
      </c>
      <c r="D630" s="1">
        <v>25768.94</v>
      </c>
      <c r="E630" s="1">
        <v>0</v>
      </c>
      <c r="F630" t="s">
        <v>1107</v>
      </c>
      <c r="G630" t="str">
        <f>_xlfn.XLOOKUP(C630,tblCOA[AccountNo],tblCOA[AccountName],"Unmapped")</f>
        <v>Accounts Receivable</v>
      </c>
      <c r="H630" t="str">
        <f>_xlfn.XLOOKUP(C630,tblCOA[AccountNo],tblCOA[Category],"Unmapped")</f>
        <v>Assets</v>
      </c>
      <c r="I630" s="4">
        <f t="shared" si="27"/>
        <v>25768.94</v>
      </c>
      <c r="J630">
        <f t="shared" si="28"/>
        <v>2024</v>
      </c>
      <c r="K630" s="5">
        <f t="shared" si="29"/>
        <v>45352</v>
      </c>
    </row>
    <row r="631" spans="1:11" x14ac:dyDescent="0.25">
      <c r="A631" t="s">
        <v>1108</v>
      </c>
      <c r="B631" s="3">
        <v>45366</v>
      </c>
      <c r="C631">
        <v>4010</v>
      </c>
      <c r="D631" s="1">
        <v>0</v>
      </c>
      <c r="E631" s="1">
        <v>25768.94</v>
      </c>
      <c r="F631" t="s">
        <v>1109</v>
      </c>
      <c r="G631" t="str">
        <f>_xlfn.XLOOKUP(C631,tblCOA[AccountNo],tblCOA[AccountName],"Unmapped")</f>
        <v>Product Sales</v>
      </c>
      <c r="H631" t="str">
        <f>_xlfn.XLOOKUP(C631,tblCOA[AccountNo],tblCOA[Category],"Unmapped")</f>
        <v>Revenue</v>
      </c>
      <c r="I631" s="4">
        <f t="shared" si="27"/>
        <v>-25768.94</v>
      </c>
      <c r="J631">
        <f t="shared" si="28"/>
        <v>2024</v>
      </c>
      <c r="K631" s="5">
        <f t="shared" si="29"/>
        <v>45352</v>
      </c>
    </row>
    <row r="632" spans="1:11" x14ac:dyDescent="0.25">
      <c r="A632" t="s">
        <v>3450</v>
      </c>
      <c r="B632" s="3">
        <v>45367</v>
      </c>
      <c r="C632">
        <v>1200</v>
      </c>
      <c r="D632" s="1">
        <v>13980.78</v>
      </c>
      <c r="E632" s="1">
        <v>0</v>
      </c>
      <c r="F632" t="s">
        <v>3451</v>
      </c>
      <c r="G632" t="str">
        <f>_xlfn.XLOOKUP(C632,tblCOA[AccountNo],tblCOA[AccountName],"Unmapped")</f>
        <v>Accounts Receivable</v>
      </c>
      <c r="H632" t="str">
        <f>_xlfn.XLOOKUP(C632,tblCOA[AccountNo],tblCOA[Category],"Unmapped")</f>
        <v>Assets</v>
      </c>
      <c r="I632" s="4">
        <f t="shared" si="27"/>
        <v>13980.78</v>
      </c>
      <c r="J632">
        <f t="shared" si="28"/>
        <v>2024</v>
      </c>
      <c r="K632" s="5">
        <f t="shared" si="29"/>
        <v>45352</v>
      </c>
    </row>
    <row r="633" spans="1:11" x14ac:dyDescent="0.25">
      <c r="A633" t="s">
        <v>3452</v>
      </c>
      <c r="B633" s="3">
        <v>45367</v>
      </c>
      <c r="C633">
        <v>4010</v>
      </c>
      <c r="D633" s="1">
        <v>0</v>
      </c>
      <c r="E633" s="1">
        <v>13980.78</v>
      </c>
      <c r="F633" t="s">
        <v>3453</v>
      </c>
      <c r="G633" t="str">
        <f>_xlfn.XLOOKUP(C633,tblCOA[AccountNo],tblCOA[AccountName],"Unmapped")</f>
        <v>Product Sales</v>
      </c>
      <c r="H633" t="str">
        <f>_xlfn.XLOOKUP(C633,tblCOA[AccountNo],tblCOA[Category],"Unmapped")</f>
        <v>Revenue</v>
      </c>
      <c r="I633" s="4">
        <f t="shared" si="27"/>
        <v>-13980.78</v>
      </c>
      <c r="J633">
        <f t="shared" si="28"/>
        <v>2024</v>
      </c>
      <c r="K633" s="5">
        <f t="shared" si="29"/>
        <v>45352</v>
      </c>
    </row>
    <row r="634" spans="1:11" x14ac:dyDescent="0.25">
      <c r="A634" t="s">
        <v>1530</v>
      </c>
      <c r="B634" s="3">
        <v>45369</v>
      </c>
      <c r="C634">
        <v>1200</v>
      </c>
      <c r="D634" s="1">
        <v>39193.660000000003</v>
      </c>
      <c r="E634" s="1">
        <v>0</v>
      </c>
      <c r="F634" t="s">
        <v>1531</v>
      </c>
      <c r="G634" t="str">
        <f>_xlfn.XLOOKUP(C634,tblCOA[AccountNo],tblCOA[AccountName],"Unmapped")</f>
        <v>Accounts Receivable</v>
      </c>
      <c r="H634" t="str">
        <f>_xlfn.XLOOKUP(C634,tblCOA[AccountNo],tblCOA[Category],"Unmapped")</f>
        <v>Assets</v>
      </c>
      <c r="I634" s="4">
        <f t="shared" si="27"/>
        <v>39193.660000000003</v>
      </c>
      <c r="J634">
        <f t="shared" si="28"/>
        <v>2024</v>
      </c>
      <c r="K634" s="5">
        <f t="shared" si="29"/>
        <v>45352</v>
      </c>
    </row>
    <row r="635" spans="1:11" x14ac:dyDescent="0.25">
      <c r="A635" t="s">
        <v>1532</v>
      </c>
      <c r="B635" s="3">
        <v>45369</v>
      </c>
      <c r="C635">
        <v>4010</v>
      </c>
      <c r="D635" s="1">
        <v>0</v>
      </c>
      <c r="E635" s="1">
        <v>39193.660000000003</v>
      </c>
      <c r="F635" t="s">
        <v>1533</v>
      </c>
      <c r="G635" t="str">
        <f>_xlfn.XLOOKUP(C635,tblCOA[AccountNo],tblCOA[AccountName],"Unmapped")</f>
        <v>Product Sales</v>
      </c>
      <c r="H635" t="str">
        <f>_xlfn.XLOOKUP(C635,tblCOA[AccountNo],tblCOA[Category],"Unmapped")</f>
        <v>Revenue</v>
      </c>
      <c r="I635" s="4">
        <f t="shared" si="27"/>
        <v>-39193.660000000003</v>
      </c>
      <c r="J635">
        <f t="shared" si="28"/>
        <v>2024</v>
      </c>
      <c r="K635" s="5">
        <f t="shared" si="29"/>
        <v>45352</v>
      </c>
    </row>
    <row r="636" spans="1:11" x14ac:dyDescent="0.25">
      <c r="A636" t="s">
        <v>3138</v>
      </c>
      <c r="B636" s="3">
        <v>45370</v>
      </c>
      <c r="C636">
        <v>1200</v>
      </c>
      <c r="D636" s="1">
        <v>18996.2</v>
      </c>
      <c r="E636" s="1">
        <v>0</v>
      </c>
      <c r="F636" t="s">
        <v>3139</v>
      </c>
      <c r="G636" t="str">
        <f>_xlfn.XLOOKUP(C636,tblCOA[AccountNo],tblCOA[AccountName],"Unmapped")</f>
        <v>Accounts Receivable</v>
      </c>
      <c r="H636" t="str">
        <f>_xlfn.XLOOKUP(C636,tblCOA[AccountNo],tblCOA[Category],"Unmapped")</f>
        <v>Assets</v>
      </c>
      <c r="I636" s="4">
        <f t="shared" si="27"/>
        <v>18996.2</v>
      </c>
      <c r="J636">
        <f t="shared" si="28"/>
        <v>2024</v>
      </c>
      <c r="K636" s="5">
        <f t="shared" si="29"/>
        <v>45352</v>
      </c>
    </row>
    <row r="637" spans="1:11" x14ac:dyDescent="0.25">
      <c r="A637" t="s">
        <v>3140</v>
      </c>
      <c r="B637" s="3">
        <v>45370</v>
      </c>
      <c r="C637">
        <v>4010</v>
      </c>
      <c r="D637" s="1">
        <v>0</v>
      </c>
      <c r="E637" s="1">
        <v>18996.2</v>
      </c>
      <c r="F637" t="s">
        <v>3141</v>
      </c>
      <c r="G637" t="str">
        <f>_xlfn.XLOOKUP(C637,tblCOA[AccountNo],tblCOA[AccountName],"Unmapped")</f>
        <v>Product Sales</v>
      </c>
      <c r="H637" t="str">
        <f>_xlfn.XLOOKUP(C637,tblCOA[AccountNo],tblCOA[Category],"Unmapped")</f>
        <v>Revenue</v>
      </c>
      <c r="I637" s="4">
        <f t="shared" si="27"/>
        <v>-18996.2</v>
      </c>
      <c r="J637">
        <f t="shared" si="28"/>
        <v>2024</v>
      </c>
      <c r="K637" s="5">
        <f t="shared" si="29"/>
        <v>45352</v>
      </c>
    </row>
    <row r="638" spans="1:11" x14ac:dyDescent="0.25">
      <c r="A638" t="s">
        <v>3946</v>
      </c>
      <c r="B638" s="3">
        <v>45373</v>
      </c>
      <c r="C638">
        <v>1200</v>
      </c>
      <c r="D638" s="1">
        <v>42327.93</v>
      </c>
      <c r="E638" s="1">
        <v>0</v>
      </c>
      <c r="F638" t="s">
        <v>3947</v>
      </c>
      <c r="G638" t="str">
        <f>_xlfn.XLOOKUP(C638,tblCOA[AccountNo],tblCOA[AccountName],"Unmapped")</f>
        <v>Accounts Receivable</v>
      </c>
      <c r="H638" t="str">
        <f>_xlfn.XLOOKUP(C638,tblCOA[AccountNo],tblCOA[Category],"Unmapped")</f>
        <v>Assets</v>
      </c>
      <c r="I638" s="4">
        <f t="shared" si="27"/>
        <v>42327.93</v>
      </c>
      <c r="J638">
        <f t="shared" si="28"/>
        <v>2024</v>
      </c>
      <c r="K638" s="5">
        <f t="shared" si="29"/>
        <v>45352</v>
      </c>
    </row>
    <row r="639" spans="1:11" x14ac:dyDescent="0.25">
      <c r="A639" t="s">
        <v>3948</v>
      </c>
      <c r="B639" s="3">
        <v>45373</v>
      </c>
      <c r="C639">
        <v>4010</v>
      </c>
      <c r="D639" s="1">
        <v>0</v>
      </c>
      <c r="E639" s="1">
        <v>42327.93</v>
      </c>
      <c r="F639" t="s">
        <v>3949</v>
      </c>
      <c r="G639" t="str">
        <f>_xlfn.XLOOKUP(C639,tblCOA[AccountNo],tblCOA[AccountName],"Unmapped")</f>
        <v>Product Sales</v>
      </c>
      <c r="H639" t="str">
        <f>_xlfn.XLOOKUP(C639,tblCOA[AccountNo],tblCOA[Category],"Unmapped")</f>
        <v>Revenue</v>
      </c>
      <c r="I639" s="4">
        <f t="shared" si="27"/>
        <v>-42327.93</v>
      </c>
      <c r="J639">
        <f t="shared" si="28"/>
        <v>2024</v>
      </c>
      <c r="K639" s="5">
        <f t="shared" si="29"/>
        <v>45352</v>
      </c>
    </row>
    <row r="640" spans="1:11" x14ac:dyDescent="0.25">
      <c r="A640" t="s">
        <v>1734</v>
      </c>
      <c r="B640" s="3">
        <v>45373</v>
      </c>
      <c r="C640">
        <v>5010</v>
      </c>
      <c r="D640" s="1">
        <v>16997.650000000001</v>
      </c>
      <c r="E640" s="1">
        <v>0</v>
      </c>
      <c r="F640" t="s">
        <v>1735</v>
      </c>
      <c r="G640" t="str">
        <f>_xlfn.XLOOKUP(C640,tblCOA[AccountNo],tblCOA[AccountName],"Unmapped")</f>
        <v>Cost of Goods Sold</v>
      </c>
      <c r="H640" t="str">
        <f>_xlfn.XLOOKUP(C640,tblCOA[AccountNo],tblCOA[Category],"Unmapped")</f>
        <v>Expenses</v>
      </c>
      <c r="I640" s="4">
        <f t="shared" si="27"/>
        <v>16997.650000000001</v>
      </c>
      <c r="J640">
        <f t="shared" si="28"/>
        <v>2024</v>
      </c>
      <c r="K640" s="5">
        <f t="shared" si="29"/>
        <v>45352</v>
      </c>
    </row>
    <row r="641" spans="1:11" x14ac:dyDescent="0.25">
      <c r="A641" t="s">
        <v>1736</v>
      </c>
      <c r="B641" s="3">
        <v>45373</v>
      </c>
      <c r="C641">
        <v>2010</v>
      </c>
      <c r="D641" s="1">
        <v>0</v>
      </c>
      <c r="E641" s="1">
        <v>16997.650000000001</v>
      </c>
      <c r="F641" t="s">
        <v>1737</v>
      </c>
      <c r="G641" t="str">
        <f>_xlfn.XLOOKUP(C641,tblCOA[AccountNo],tblCOA[AccountName],"Unmapped")</f>
        <v>Accounts Payable</v>
      </c>
      <c r="H641" t="str">
        <f>_xlfn.XLOOKUP(C641,tblCOA[AccountNo],tblCOA[Category],"Unmapped")</f>
        <v>Liabilities</v>
      </c>
      <c r="I641" s="4">
        <f t="shared" si="27"/>
        <v>-16997.650000000001</v>
      </c>
      <c r="J641">
        <f t="shared" si="28"/>
        <v>2024</v>
      </c>
      <c r="K641" s="5">
        <f t="shared" si="29"/>
        <v>45352</v>
      </c>
    </row>
    <row r="642" spans="1:11" x14ac:dyDescent="0.25">
      <c r="A642" t="s">
        <v>226</v>
      </c>
      <c r="B642" s="3">
        <v>45374</v>
      </c>
      <c r="C642">
        <v>1200</v>
      </c>
      <c r="D642" s="1">
        <v>19067.45</v>
      </c>
      <c r="E642" s="1">
        <v>0</v>
      </c>
      <c r="F642" t="s">
        <v>227</v>
      </c>
      <c r="G642" t="str">
        <f>_xlfn.XLOOKUP(C642,tblCOA[AccountNo],tblCOA[AccountName],"Unmapped")</f>
        <v>Accounts Receivable</v>
      </c>
      <c r="H642" t="str">
        <f>_xlfn.XLOOKUP(C642,tblCOA[AccountNo],tblCOA[Category],"Unmapped")</f>
        <v>Assets</v>
      </c>
      <c r="I642" s="4">
        <f t="shared" ref="I642:I705" si="30">D642-E642</f>
        <v>19067.45</v>
      </c>
      <c r="J642">
        <f t="shared" ref="J642:J705" si="31">YEAR(B642)</f>
        <v>2024</v>
      </c>
      <c r="K642" s="5">
        <f t="shared" ref="K642:K705" si="32">DATE(YEAR(B642),MONTH(B642),1)</f>
        <v>45352</v>
      </c>
    </row>
    <row r="643" spans="1:11" x14ac:dyDescent="0.25">
      <c r="A643" t="s">
        <v>228</v>
      </c>
      <c r="B643" s="3">
        <v>45374</v>
      </c>
      <c r="C643">
        <v>4010</v>
      </c>
      <c r="D643" s="1">
        <v>0</v>
      </c>
      <c r="E643" s="1">
        <v>19067.45</v>
      </c>
      <c r="F643" t="s">
        <v>229</v>
      </c>
      <c r="G643" t="str">
        <f>_xlfn.XLOOKUP(C643,tblCOA[AccountNo],tblCOA[AccountName],"Unmapped")</f>
        <v>Product Sales</v>
      </c>
      <c r="H643" t="str">
        <f>_xlfn.XLOOKUP(C643,tblCOA[AccountNo],tblCOA[Category],"Unmapped")</f>
        <v>Revenue</v>
      </c>
      <c r="I643" s="4">
        <f t="shared" si="30"/>
        <v>-19067.45</v>
      </c>
      <c r="J643">
        <f t="shared" si="31"/>
        <v>2024</v>
      </c>
      <c r="K643" s="5">
        <f t="shared" si="32"/>
        <v>45352</v>
      </c>
    </row>
    <row r="644" spans="1:11" x14ac:dyDescent="0.25">
      <c r="A644" t="s">
        <v>14</v>
      </c>
      <c r="B644" s="3">
        <v>45376</v>
      </c>
      <c r="C644">
        <v>5010</v>
      </c>
      <c r="D644" s="1">
        <v>2076.71</v>
      </c>
      <c r="E644" s="1">
        <v>0</v>
      </c>
      <c r="F644" t="s">
        <v>15</v>
      </c>
      <c r="G644" t="str">
        <f>_xlfn.XLOOKUP(C644,tblCOA[AccountNo],tblCOA[AccountName],"Unmapped")</f>
        <v>Cost of Goods Sold</v>
      </c>
      <c r="H644" t="str">
        <f>_xlfn.XLOOKUP(C644,tblCOA[AccountNo],tblCOA[Category],"Unmapped")</f>
        <v>Expenses</v>
      </c>
      <c r="I644" s="4">
        <f t="shared" si="30"/>
        <v>2076.71</v>
      </c>
      <c r="J644">
        <f t="shared" si="31"/>
        <v>2024</v>
      </c>
      <c r="K644" s="5">
        <f t="shared" si="32"/>
        <v>45352</v>
      </c>
    </row>
    <row r="645" spans="1:11" x14ac:dyDescent="0.25">
      <c r="A645" t="s">
        <v>16</v>
      </c>
      <c r="B645" s="3">
        <v>45376</v>
      </c>
      <c r="C645">
        <v>2010</v>
      </c>
      <c r="D645" s="1">
        <v>0</v>
      </c>
      <c r="E645" s="1">
        <v>2076.71</v>
      </c>
      <c r="F645" t="s">
        <v>17</v>
      </c>
      <c r="G645" t="str">
        <f>_xlfn.XLOOKUP(C645,tblCOA[AccountNo],tblCOA[AccountName],"Unmapped")</f>
        <v>Accounts Payable</v>
      </c>
      <c r="H645" t="str">
        <f>_xlfn.XLOOKUP(C645,tblCOA[AccountNo],tblCOA[Category],"Unmapped")</f>
        <v>Liabilities</v>
      </c>
      <c r="I645" s="4">
        <f t="shared" si="30"/>
        <v>-2076.71</v>
      </c>
      <c r="J645">
        <f t="shared" si="31"/>
        <v>2024</v>
      </c>
      <c r="K645" s="5">
        <f t="shared" si="32"/>
        <v>45352</v>
      </c>
    </row>
    <row r="646" spans="1:11" x14ac:dyDescent="0.25">
      <c r="A646" t="s">
        <v>2058</v>
      </c>
      <c r="B646" s="3">
        <v>45377</v>
      </c>
      <c r="C646">
        <v>1200</v>
      </c>
      <c r="D646" s="1">
        <v>39136.22</v>
      </c>
      <c r="E646" s="1">
        <v>0</v>
      </c>
      <c r="F646" t="s">
        <v>2059</v>
      </c>
      <c r="G646" t="str">
        <f>_xlfn.XLOOKUP(C646,tblCOA[AccountNo],tblCOA[AccountName],"Unmapped")</f>
        <v>Accounts Receivable</v>
      </c>
      <c r="H646" t="str">
        <f>_xlfn.XLOOKUP(C646,tblCOA[AccountNo],tblCOA[Category],"Unmapped")</f>
        <v>Assets</v>
      </c>
      <c r="I646" s="4">
        <f t="shared" si="30"/>
        <v>39136.22</v>
      </c>
      <c r="J646">
        <f t="shared" si="31"/>
        <v>2024</v>
      </c>
      <c r="K646" s="5">
        <f t="shared" si="32"/>
        <v>45352</v>
      </c>
    </row>
    <row r="647" spans="1:11" x14ac:dyDescent="0.25">
      <c r="A647" t="s">
        <v>2060</v>
      </c>
      <c r="B647" s="3">
        <v>45377</v>
      </c>
      <c r="C647">
        <v>4010</v>
      </c>
      <c r="D647" s="1">
        <v>0</v>
      </c>
      <c r="E647" s="1">
        <v>39136.22</v>
      </c>
      <c r="F647" t="s">
        <v>2061</v>
      </c>
      <c r="G647" t="str">
        <f>_xlfn.XLOOKUP(C647,tblCOA[AccountNo],tblCOA[AccountName],"Unmapped")</f>
        <v>Product Sales</v>
      </c>
      <c r="H647" t="str">
        <f>_xlfn.XLOOKUP(C647,tblCOA[AccountNo],tblCOA[Category],"Unmapped")</f>
        <v>Revenue</v>
      </c>
      <c r="I647" s="4">
        <f t="shared" si="30"/>
        <v>-39136.22</v>
      </c>
      <c r="J647">
        <f t="shared" si="31"/>
        <v>2024</v>
      </c>
      <c r="K647" s="5">
        <f t="shared" si="32"/>
        <v>45352</v>
      </c>
    </row>
    <row r="648" spans="1:11" x14ac:dyDescent="0.25">
      <c r="A648" t="s">
        <v>2534</v>
      </c>
      <c r="B648" s="3">
        <v>45377</v>
      </c>
      <c r="C648">
        <v>5010</v>
      </c>
      <c r="D648" s="1">
        <v>15909.09</v>
      </c>
      <c r="E648" s="1">
        <v>0</v>
      </c>
      <c r="F648" t="s">
        <v>2535</v>
      </c>
      <c r="G648" t="str">
        <f>_xlfn.XLOOKUP(C648,tblCOA[AccountNo],tblCOA[AccountName],"Unmapped")</f>
        <v>Cost of Goods Sold</v>
      </c>
      <c r="H648" t="str">
        <f>_xlfn.XLOOKUP(C648,tblCOA[AccountNo],tblCOA[Category],"Unmapped")</f>
        <v>Expenses</v>
      </c>
      <c r="I648" s="4">
        <f t="shared" si="30"/>
        <v>15909.09</v>
      </c>
      <c r="J648">
        <f t="shared" si="31"/>
        <v>2024</v>
      </c>
      <c r="K648" s="5">
        <f t="shared" si="32"/>
        <v>45352</v>
      </c>
    </row>
    <row r="649" spans="1:11" x14ac:dyDescent="0.25">
      <c r="A649" t="s">
        <v>2536</v>
      </c>
      <c r="B649" s="3">
        <v>45377</v>
      </c>
      <c r="C649">
        <v>2010</v>
      </c>
      <c r="D649" s="1">
        <v>0</v>
      </c>
      <c r="E649" s="1">
        <v>15909.09</v>
      </c>
      <c r="F649" t="s">
        <v>2537</v>
      </c>
      <c r="G649" t="str">
        <f>_xlfn.XLOOKUP(C649,tblCOA[AccountNo],tblCOA[AccountName],"Unmapped")</f>
        <v>Accounts Payable</v>
      </c>
      <c r="H649" t="str">
        <f>_xlfn.XLOOKUP(C649,tblCOA[AccountNo],tblCOA[Category],"Unmapped")</f>
        <v>Liabilities</v>
      </c>
      <c r="I649" s="4">
        <f t="shared" si="30"/>
        <v>-15909.09</v>
      </c>
      <c r="J649">
        <f t="shared" si="31"/>
        <v>2024</v>
      </c>
      <c r="K649" s="5">
        <f t="shared" si="32"/>
        <v>45352</v>
      </c>
    </row>
    <row r="650" spans="1:11" x14ac:dyDescent="0.25">
      <c r="A650" t="s">
        <v>1834</v>
      </c>
      <c r="B650" s="3">
        <v>45379</v>
      </c>
      <c r="C650">
        <v>1200</v>
      </c>
      <c r="D650" s="1">
        <v>9269.9599999999991</v>
      </c>
      <c r="E650" s="1">
        <v>0</v>
      </c>
      <c r="F650" t="s">
        <v>1835</v>
      </c>
      <c r="G650" t="str">
        <f>_xlfn.XLOOKUP(C650,tblCOA[AccountNo],tblCOA[AccountName],"Unmapped")</f>
        <v>Accounts Receivable</v>
      </c>
      <c r="H650" t="str">
        <f>_xlfn.XLOOKUP(C650,tblCOA[AccountNo],tblCOA[Category],"Unmapped")</f>
        <v>Assets</v>
      </c>
      <c r="I650" s="4">
        <f t="shared" si="30"/>
        <v>9269.9599999999991</v>
      </c>
      <c r="J650">
        <f t="shared" si="31"/>
        <v>2024</v>
      </c>
      <c r="K650" s="5">
        <f t="shared" si="32"/>
        <v>45352</v>
      </c>
    </row>
    <row r="651" spans="1:11" x14ac:dyDescent="0.25">
      <c r="A651" t="s">
        <v>1836</v>
      </c>
      <c r="B651" s="3">
        <v>45379</v>
      </c>
      <c r="C651">
        <v>4010</v>
      </c>
      <c r="D651" s="1">
        <v>0</v>
      </c>
      <c r="E651" s="1">
        <v>9269.9599999999991</v>
      </c>
      <c r="F651" t="s">
        <v>1837</v>
      </c>
      <c r="G651" t="str">
        <f>_xlfn.XLOOKUP(C651,tblCOA[AccountNo],tblCOA[AccountName],"Unmapped")</f>
        <v>Product Sales</v>
      </c>
      <c r="H651" t="str">
        <f>_xlfn.XLOOKUP(C651,tblCOA[AccountNo],tblCOA[Category],"Unmapped")</f>
        <v>Revenue</v>
      </c>
      <c r="I651" s="4">
        <f t="shared" si="30"/>
        <v>-9269.9599999999991</v>
      </c>
      <c r="J651">
        <f t="shared" si="31"/>
        <v>2024</v>
      </c>
      <c r="K651" s="5">
        <f t="shared" si="32"/>
        <v>45352</v>
      </c>
    </row>
    <row r="652" spans="1:11" x14ac:dyDescent="0.25">
      <c r="A652" t="s">
        <v>198</v>
      </c>
      <c r="B652" s="3">
        <v>45380</v>
      </c>
      <c r="C652">
        <v>5010</v>
      </c>
      <c r="D652" s="1">
        <v>19321.37</v>
      </c>
      <c r="E652" s="1">
        <v>0</v>
      </c>
      <c r="F652" t="s">
        <v>199</v>
      </c>
      <c r="G652" t="str">
        <f>_xlfn.XLOOKUP(C652,tblCOA[AccountNo],tblCOA[AccountName],"Unmapped")</f>
        <v>Cost of Goods Sold</v>
      </c>
      <c r="H652" t="str">
        <f>_xlfn.XLOOKUP(C652,tblCOA[AccountNo],tblCOA[Category],"Unmapped")</f>
        <v>Expenses</v>
      </c>
      <c r="I652" s="4">
        <f t="shared" si="30"/>
        <v>19321.37</v>
      </c>
      <c r="J652">
        <f t="shared" si="31"/>
        <v>2024</v>
      </c>
      <c r="K652" s="5">
        <f t="shared" si="32"/>
        <v>45352</v>
      </c>
    </row>
    <row r="653" spans="1:11" x14ac:dyDescent="0.25">
      <c r="A653" t="s">
        <v>200</v>
      </c>
      <c r="B653" s="3">
        <v>45380</v>
      </c>
      <c r="C653">
        <v>2010</v>
      </c>
      <c r="D653" s="1">
        <v>0</v>
      </c>
      <c r="E653" s="1">
        <v>19321.37</v>
      </c>
      <c r="F653" t="s">
        <v>201</v>
      </c>
      <c r="G653" t="str">
        <f>_xlfn.XLOOKUP(C653,tblCOA[AccountNo],tblCOA[AccountName],"Unmapped")</f>
        <v>Accounts Payable</v>
      </c>
      <c r="H653" t="str">
        <f>_xlfn.XLOOKUP(C653,tblCOA[AccountNo],tblCOA[Category],"Unmapped")</f>
        <v>Liabilities</v>
      </c>
      <c r="I653" s="4">
        <f t="shared" si="30"/>
        <v>-19321.37</v>
      </c>
      <c r="J653">
        <f t="shared" si="31"/>
        <v>2024</v>
      </c>
      <c r="K653" s="5">
        <f t="shared" si="32"/>
        <v>45352</v>
      </c>
    </row>
    <row r="654" spans="1:11" x14ac:dyDescent="0.25">
      <c r="A654" t="s">
        <v>2042</v>
      </c>
      <c r="B654" s="3">
        <v>45381</v>
      </c>
      <c r="C654">
        <v>1200</v>
      </c>
      <c r="D654" s="1">
        <v>12124.84</v>
      </c>
      <c r="E654" s="1">
        <v>0</v>
      </c>
      <c r="F654" t="s">
        <v>2043</v>
      </c>
      <c r="G654" t="str">
        <f>_xlfn.XLOOKUP(C654,tblCOA[AccountNo],tblCOA[AccountName],"Unmapped")</f>
        <v>Accounts Receivable</v>
      </c>
      <c r="H654" t="str">
        <f>_xlfn.XLOOKUP(C654,tblCOA[AccountNo],tblCOA[Category],"Unmapped")</f>
        <v>Assets</v>
      </c>
      <c r="I654" s="4">
        <f t="shared" si="30"/>
        <v>12124.84</v>
      </c>
      <c r="J654">
        <f t="shared" si="31"/>
        <v>2024</v>
      </c>
      <c r="K654" s="5">
        <f t="shared" si="32"/>
        <v>45352</v>
      </c>
    </row>
    <row r="655" spans="1:11" x14ac:dyDescent="0.25">
      <c r="A655" t="s">
        <v>2044</v>
      </c>
      <c r="B655" s="3">
        <v>45381</v>
      </c>
      <c r="C655">
        <v>4010</v>
      </c>
      <c r="D655" s="1">
        <v>0</v>
      </c>
      <c r="E655" s="1">
        <v>12124.84</v>
      </c>
      <c r="F655" t="s">
        <v>2045</v>
      </c>
      <c r="G655" t="str">
        <f>_xlfn.XLOOKUP(C655,tblCOA[AccountNo],tblCOA[AccountName],"Unmapped")</f>
        <v>Product Sales</v>
      </c>
      <c r="H655" t="str">
        <f>_xlfn.XLOOKUP(C655,tblCOA[AccountNo],tblCOA[Category],"Unmapped")</f>
        <v>Revenue</v>
      </c>
      <c r="I655" s="4">
        <f t="shared" si="30"/>
        <v>-12124.84</v>
      </c>
      <c r="J655">
        <f t="shared" si="31"/>
        <v>2024</v>
      </c>
      <c r="K655" s="5">
        <f t="shared" si="32"/>
        <v>45352</v>
      </c>
    </row>
    <row r="656" spans="1:11" x14ac:dyDescent="0.25">
      <c r="A656" t="s">
        <v>3022</v>
      </c>
      <c r="B656" s="3">
        <v>45384</v>
      </c>
      <c r="C656">
        <v>5010</v>
      </c>
      <c r="D656" s="1">
        <v>4811.3100000000004</v>
      </c>
      <c r="E656" s="1">
        <v>0</v>
      </c>
      <c r="F656" t="s">
        <v>3023</v>
      </c>
      <c r="G656" t="str">
        <f>_xlfn.XLOOKUP(C656,tblCOA[AccountNo],tblCOA[AccountName],"Unmapped")</f>
        <v>Cost of Goods Sold</v>
      </c>
      <c r="H656" t="str">
        <f>_xlfn.XLOOKUP(C656,tblCOA[AccountNo],tblCOA[Category],"Unmapped")</f>
        <v>Expenses</v>
      </c>
      <c r="I656" s="4">
        <f t="shared" si="30"/>
        <v>4811.3100000000004</v>
      </c>
      <c r="J656">
        <f t="shared" si="31"/>
        <v>2024</v>
      </c>
      <c r="K656" s="5">
        <f t="shared" si="32"/>
        <v>45383</v>
      </c>
    </row>
    <row r="657" spans="1:11" x14ac:dyDescent="0.25">
      <c r="A657" t="s">
        <v>3024</v>
      </c>
      <c r="B657" s="3">
        <v>45384</v>
      </c>
      <c r="C657">
        <v>2010</v>
      </c>
      <c r="D657" s="1">
        <v>0</v>
      </c>
      <c r="E657" s="1">
        <v>4811.3100000000004</v>
      </c>
      <c r="F657" t="s">
        <v>3025</v>
      </c>
      <c r="G657" t="str">
        <f>_xlfn.XLOOKUP(C657,tblCOA[AccountNo],tblCOA[AccountName],"Unmapped")</f>
        <v>Accounts Payable</v>
      </c>
      <c r="H657" t="str">
        <f>_xlfn.XLOOKUP(C657,tblCOA[AccountNo],tblCOA[Category],"Unmapped")</f>
        <v>Liabilities</v>
      </c>
      <c r="I657" s="4">
        <f t="shared" si="30"/>
        <v>-4811.3100000000004</v>
      </c>
      <c r="J657">
        <f t="shared" si="31"/>
        <v>2024</v>
      </c>
      <c r="K657" s="5">
        <f t="shared" si="32"/>
        <v>45383</v>
      </c>
    </row>
    <row r="658" spans="1:11" x14ac:dyDescent="0.25">
      <c r="A658" t="s">
        <v>2322</v>
      </c>
      <c r="B658" s="3">
        <v>45386</v>
      </c>
      <c r="C658">
        <v>1200</v>
      </c>
      <c r="D658" s="1">
        <v>46477.16</v>
      </c>
      <c r="E658" s="1">
        <v>0</v>
      </c>
      <c r="F658" t="s">
        <v>2323</v>
      </c>
      <c r="G658" t="str">
        <f>_xlfn.XLOOKUP(C658,tblCOA[AccountNo],tblCOA[AccountName],"Unmapped")</f>
        <v>Accounts Receivable</v>
      </c>
      <c r="H658" t="str">
        <f>_xlfn.XLOOKUP(C658,tblCOA[AccountNo],tblCOA[Category],"Unmapped")</f>
        <v>Assets</v>
      </c>
      <c r="I658" s="4">
        <f t="shared" si="30"/>
        <v>46477.16</v>
      </c>
      <c r="J658">
        <f t="shared" si="31"/>
        <v>2024</v>
      </c>
      <c r="K658" s="5">
        <f t="shared" si="32"/>
        <v>45383</v>
      </c>
    </row>
    <row r="659" spans="1:11" x14ac:dyDescent="0.25">
      <c r="A659" t="s">
        <v>2324</v>
      </c>
      <c r="B659" s="3">
        <v>45386</v>
      </c>
      <c r="C659">
        <v>4010</v>
      </c>
      <c r="D659" s="1">
        <v>0</v>
      </c>
      <c r="E659" s="1">
        <v>46477.16</v>
      </c>
      <c r="F659" t="s">
        <v>2325</v>
      </c>
      <c r="G659" t="str">
        <f>_xlfn.XLOOKUP(C659,tblCOA[AccountNo],tblCOA[AccountName],"Unmapped")</f>
        <v>Product Sales</v>
      </c>
      <c r="H659" t="str">
        <f>_xlfn.XLOOKUP(C659,tblCOA[AccountNo],tblCOA[Category],"Unmapped")</f>
        <v>Revenue</v>
      </c>
      <c r="I659" s="4">
        <f t="shared" si="30"/>
        <v>-46477.16</v>
      </c>
      <c r="J659">
        <f t="shared" si="31"/>
        <v>2024</v>
      </c>
      <c r="K659" s="5">
        <f t="shared" si="32"/>
        <v>45383</v>
      </c>
    </row>
    <row r="660" spans="1:11" x14ac:dyDescent="0.25">
      <c r="A660" t="s">
        <v>82</v>
      </c>
      <c r="B660" s="3">
        <v>45387</v>
      </c>
      <c r="C660">
        <v>1200</v>
      </c>
      <c r="D660" s="1">
        <v>46056.76</v>
      </c>
      <c r="E660" s="1">
        <v>0</v>
      </c>
      <c r="F660" t="s">
        <v>83</v>
      </c>
      <c r="G660" t="str">
        <f>_xlfn.XLOOKUP(C660,tblCOA[AccountNo],tblCOA[AccountName],"Unmapped")</f>
        <v>Accounts Receivable</v>
      </c>
      <c r="H660" t="str">
        <f>_xlfn.XLOOKUP(C660,tblCOA[AccountNo],tblCOA[Category],"Unmapped")</f>
        <v>Assets</v>
      </c>
      <c r="I660" s="4">
        <f t="shared" si="30"/>
        <v>46056.76</v>
      </c>
      <c r="J660">
        <f t="shared" si="31"/>
        <v>2024</v>
      </c>
      <c r="K660" s="5">
        <f t="shared" si="32"/>
        <v>45383</v>
      </c>
    </row>
    <row r="661" spans="1:11" x14ac:dyDescent="0.25">
      <c r="A661" t="s">
        <v>84</v>
      </c>
      <c r="B661" s="3">
        <v>45387</v>
      </c>
      <c r="C661">
        <v>4010</v>
      </c>
      <c r="D661" s="1">
        <v>0</v>
      </c>
      <c r="E661" s="1">
        <v>46056.76</v>
      </c>
      <c r="F661" t="s">
        <v>85</v>
      </c>
      <c r="G661" t="str">
        <f>_xlfn.XLOOKUP(C661,tblCOA[AccountNo],tblCOA[AccountName],"Unmapped")</f>
        <v>Product Sales</v>
      </c>
      <c r="H661" t="str">
        <f>_xlfn.XLOOKUP(C661,tblCOA[AccountNo],tblCOA[Category],"Unmapped")</f>
        <v>Revenue</v>
      </c>
      <c r="I661" s="4">
        <f t="shared" si="30"/>
        <v>-46056.76</v>
      </c>
      <c r="J661">
        <f t="shared" si="31"/>
        <v>2024</v>
      </c>
      <c r="K661" s="5">
        <f t="shared" si="32"/>
        <v>45383</v>
      </c>
    </row>
    <row r="662" spans="1:11" x14ac:dyDescent="0.25">
      <c r="A662" t="s">
        <v>3430</v>
      </c>
      <c r="B662" s="3">
        <v>45389</v>
      </c>
      <c r="C662">
        <v>5010</v>
      </c>
      <c r="D662" s="1">
        <v>13416.37</v>
      </c>
      <c r="E662" s="1">
        <v>0</v>
      </c>
      <c r="F662" t="s">
        <v>3431</v>
      </c>
      <c r="G662" t="str">
        <f>_xlfn.XLOOKUP(C662,tblCOA[AccountNo],tblCOA[AccountName],"Unmapped")</f>
        <v>Cost of Goods Sold</v>
      </c>
      <c r="H662" t="str">
        <f>_xlfn.XLOOKUP(C662,tblCOA[AccountNo],tblCOA[Category],"Unmapped")</f>
        <v>Expenses</v>
      </c>
      <c r="I662" s="4">
        <f t="shared" si="30"/>
        <v>13416.37</v>
      </c>
      <c r="J662">
        <f t="shared" si="31"/>
        <v>2024</v>
      </c>
      <c r="K662" s="5">
        <f t="shared" si="32"/>
        <v>45383</v>
      </c>
    </row>
    <row r="663" spans="1:11" x14ac:dyDescent="0.25">
      <c r="A663" t="s">
        <v>3432</v>
      </c>
      <c r="B663" s="3">
        <v>45389</v>
      </c>
      <c r="C663">
        <v>2010</v>
      </c>
      <c r="D663" s="1">
        <v>0</v>
      </c>
      <c r="E663" s="1">
        <v>13416.37</v>
      </c>
      <c r="F663" t="s">
        <v>3433</v>
      </c>
      <c r="G663" t="str">
        <f>_xlfn.XLOOKUP(C663,tblCOA[AccountNo],tblCOA[AccountName],"Unmapped")</f>
        <v>Accounts Payable</v>
      </c>
      <c r="H663" t="str">
        <f>_xlfn.XLOOKUP(C663,tblCOA[AccountNo],tblCOA[Category],"Unmapped")</f>
        <v>Liabilities</v>
      </c>
      <c r="I663" s="4">
        <f t="shared" si="30"/>
        <v>-13416.37</v>
      </c>
      <c r="J663">
        <f t="shared" si="31"/>
        <v>2024</v>
      </c>
      <c r="K663" s="5">
        <f t="shared" si="32"/>
        <v>45383</v>
      </c>
    </row>
    <row r="664" spans="1:11" x14ac:dyDescent="0.25">
      <c r="A664" t="s">
        <v>1378</v>
      </c>
      <c r="B664" s="3">
        <v>45392</v>
      </c>
      <c r="C664">
        <v>1200</v>
      </c>
      <c r="D664" s="1">
        <v>45911.54</v>
      </c>
      <c r="E664" s="1">
        <v>0</v>
      </c>
      <c r="F664" t="s">
        <v>1379</v>
      </c>
      <c r="G664" t="str">
        <f>_xlfn.XLOOKUP(C664,tblCOA[AccountNo],tblCOA[AccountName],"Unmapped")</f>
        <v>Accounts Receivable</v>
      </c>
      <c r="H664" t="str">
        <f>_xlfn.XLOOKUP(C664,tblCOA[AccountNo],tblCOA[Category],"Unmapped")</f>
        <v>Assets</v>
      </c>
      <c r="I664" s="4">
        <f t="shared" si="30"/>
        <v>45911.54</v>
      </c>
      <c r="J664">
        <f t="shared" si="31"/>
        <v>2024</v>
      </c>
      <c r="K664" s="5">
        <f t="shared" si="32"/>
        <v>45383</v>
      </c>
    </row>
    <row r="665" spans="1:11" x14ac:dyDescent="0.25">
      <c r="A665" t="s">
        <v>1380</v>
      </c>
      <c r="B665" s="3">
        <v>45392</v>
      </c>
      <c r="C665">
        <v>4010</v>
      </c>
      <c r="D665" s="1">
        <v>0</v>
      </c>
      <c r="E665" s="1">
        <v>45911.54</v>
      </c>
      <c r="F665" t="s">
        <v>1381</v>
      </c>
      <c r="G665" t="str">
        <f>_xlfn.XLOOKUP(C665,tblCOA[AccountNo],tblCOA[AccountName],"Unmapped")</f>
        <v>Product Sales</v>
      </c>
      <c r="H665" t="str">
        <f>_xlfn.XLOOKUP(C665,tblCOA[AccountNo],tblCOA[Category],"Unmapped")</f>
        <v>Revenue</v>
      </c>
      <c r="I665" s="4">
        <f t="shared" si="30"/>
        <v>-45911.54</v>
      </c>
      <c r="J665">
        <f t="shared" si="31"/>
        <v>2024</v>
      </c>
      <c r="K665" s="5">
        <f t="shared" si="32"/>
        <v>45383</v>
      </c>
    </row>
    <row r="666" spans="1:11" x14ac:dyDescent="0.25">
      <c r="A666" t="s">
        <v>54</v>
      </c>
      <c r="B666" s="3">
        <v>45393</v>
      </c>
      <c r="C666">
        <v>5010</v>
      </c>
      <c r="D666" s="1">
        <v>9641.1200000000008</v>
      </c>
      <c r="E666" s="1">
        <v>0</v>
      </c>
      <c r="F666" t="s">
        <v>55</v>
      </c>
      <c r="G666" t="str">
        <f>_xlfn.XLOOKUP(C666,tblCOA[AccountNo],tblCOA[AccountName],"Unmapped")</f>
        <v>Cost of Goods Sold</v>
      </c>
      <c r="H666" t="str">
        <f>_xlfn.XLOOKUP(C666,tblCOA[AccountNo],tblCOA[Category],"Unmapped")</f>
        <v>Expenses</v>
      </c>
      <c r="I666" s="4">
        <f t="shared" si="30"/>
        <v>9641.1200000000008</v>
      </c>
      <c r="J666">
        <f t="shared" si="31"/>
        <v>2024</v>
      </c>
      <c r="K666" s="5">
        <f t="shared" si="32"/>
        <v>45383</v>
      </c>
    </row>
    <row r="667" spans="1:11" x14ac:dyDescent="0.25">
      <c r="A667" t="s">
        <v>56</v>
      </c>
      <c r="B667" s="3">
        <v>45393</v>
      </c>
      <c r="C667">
        <v>2010</v>
      </c>
      <c r="D667" s="1">
        <v>0</v>
      </c>
      <c r="E667" s="1">
        <v>9641.1200000000008</v>
      </c>
      <c r="F667" t="s">
        <v>57</v>
      </c>
      <c r="G667" t="str">
        <f>_xlfn.XLOOKUP(C667,tblCOA[AccountNo],tblCOA[AccountName],"Unmapped")</f>
        <v>Accounts Payable</v>
      </c>
      <c r="H667" t="str">
        <f>_xlfn.XLOOKUP(C667,tblCOA[AccountNo],tblCOA[Category],"Unmapped")</f>
        <v>Liabilities</v>
      </c>
      <c r="I667" s="4">
        <f t="shared" si="30"/>
        <v>-9641.1200000000008</v>
      </c>
      <c r="J667">
        <f t="shared" si="31"/>
        <v>2024</v>
      </c>
      <c r="K667" s="5">
        <f t="shared" si="32"/>
        <v>45383</v>
      </c>
    </row>
    <row r="668" spans="1:11" x14ac:dyDescent="0.25">
      <c r="A668" t="s">
        <v>3886</v>
      </c>
      <c r="B668" s="3">
        <v>45396</v>
      </c>
      <c r="C668">
        <v>5010</v>
      </c>
      <c r="D668" s="1">
        <v>16256.74</v>
      </c>
      <c r="E668" s="1">
        <v>0</v>
      </c>
      <c r="F668" t="s">
        <v>3887</v>
      </c>
      <c r="G668" t="str">
        <f>_xlfn.XLOOKUP(C668,tblCOA[AccountNo],tblCOA[AccountName],"Unmapped")</f>
        <v>Cost of Goods Sold</v>
      </c>
      <c r="H668" t="str">
        <f>_xlfn.XLOOKUP(C668,tblCOA[AccountNo],tblCOA[Category],"Unmapped")</f>
        <v>Expenses</v>
      </c>
      <c r="I668" s="4">
        <f t="shared" si="30"/>
        <v>16256.74</v>
      </c>
      <c r="J668">
        <f t="shared" si="31"/>
        <v>2024</v>
      </c>
      <c r="K668" s="5">
        <f t="shared" si="32"/>
        <v>45383</v>
      </c>
    </row>
    <row r="669" spans="1:11" x14ac:dyDescent="0.25">
      <c r="A669" t="s">
        <v>3888</v>
      </c>
      <c r="B669" s="3">
        <v>45396</v>
      </c>
      <c r="C669">
        <v>2010</v>
      </c>
      <c r="D669" s="1">
        <v>0</v>
      </c>
      <c r="E669" s="1">
        <v>16256.74</v>
      </c>
      <c r="F669" t="s">
        <v>3889</v>
      </c>
      <c r="G669" t="str">
        <f>_xlfn.XLOOKUP(C669,tblCOA[AccountNo],tblCOA[AccountName],"Unmapped")</f>
        <v>Accounts Payable</v>
      </c>
      <c r="H669" t="str">
        <f>_xlfn.XLOOKUP(C669,tblCOA[AccountNo],tblCOA[Category],"Unmapped")</f>
        <v>Liabilities</v>
      </c>
      <c r="I669" s="4">
        <f t="shared" si="30"/>
        <v>-16256.74</v>
      </c>
      <c r="J669">
        <f t="shared" si="31"/>
        <v>2024</v>
      </c>
      <c r="K669" s="5">
        <f t="shared" si="32"/>
        <v>45383</v>
      </c>
    </row>
    <row r="670" spans="1:11" x14ac:dyDescent="0.25">
      <c r="A670" t="s">
        <v>3822</v>
      </c>
      <c r="B670" s="3">
        <v>45397</v>
      </c>
      <c r="C670">
        <v>5010</v>
      </c>
      <c r="D670" s="1">
        <v>18439</v>
      </c>
      <c r="E670" s="1">
        <v>0</v>
      </c>
      <c r="F670" t="s">
        <v>3823</v>
      </c>
      <c r="G670" t="str">
        <f>_xlfn.XLOOKUP(C670,tblCOA[AccountNo],tblCOA[AccountName],"Unmapped")</f>
        <v>Cost of Goods Sold</v>
      </c>
      <c r="H670" t="str">
        <f>_xlfn.XLOOKUP(C670,tblCOA[AccountNo],tblCOA[Category],"Unmapped")</f>
        <v>Expenses</v>
      </c>
      <c r="I670" s="4">
        <f t="shared" si="30"/>
        <v>18439</v>
      </c>
      <c r="J670">
        <f t="shared" si="31"/>
        <v>2024</v>
      </c>
      <c r="K670" s="5">
        <f t="shared" si="32"/>
        <v>45383</v>
      </c>
    </row>
    <row r="671" spans="1:11" x14ac:dyDescent="0.25">
      <c r="A671" t="s">
        <v>3824</v>
      </c>
      <c r="B671" s="3">
        <v>45397</v>
      </c>
      <c r="C671">
        <v>2010</v>
      </c>
      <c r="D671" s="1">
        <v>0</v>
      </c>
      <c r="E671" s="1">
        <v>18439</v>
      </c>
      <c r="F671" t="s">
        <v>3825</v>
      </c>
      <c r="G671" t="str">
        <f>_xlfn.XLOOKUP(C671,tblCOA[AccountNo],tblCOA[AccountName],"Unmapped")</f>
        <v>Accounts Payable</v>
      </c>
      <c r="H671" t="str">
        <f>_xlfn.XLOOKUP(C671,tblCOA[AccountNo],tblCOA[Category],"Unmapped")</f>
        <v>Liabilities</v>
      </c>
      <c r="I671" s="4">
        <f t="shared" si="30"/>
        <v>-18439</v>
      </c>
      <c r="J671">
        <f t="shared" si="31"/>
        <v>2024</v>
      </c>
      <c r="K671" s="5">
        <f t="shared" si="32"/>
        <v>45383</v>
      </c>
    </row>
    <row r="672" spans="1:11" x14ac:dyDescent="0.25">
      <c r="A672" t="s">
        <v>2730</v>
      </c>
      <c r="B672" s="3">
        <v>45399</v>
      </c>
      <c r="C672">
        <v>1200</v>
      </c>
      <c r="D672" s="1">
        <v>1139.28</v>
      </c>
      <c r="E672" s="1">
        <v>0</v>
      </c>
      <c r="F672" t="s">
        <v>2731</v>
      </c>
      <c r="G672" t="str">
        <f>_xlfn.XLOOKUP(C672,tblCOA[AccountNo],tblCOA[AccountName],"Unmapped")</f>
        <v>Accounts Receivable</v>
      </c>
      <c r="H672" t="str">
        <f>_xlfn.XLOOKUP(C672,tblCOA[AccountNo],tblCOA[Category],"Unmapped")</f>
        <v>Assets</v>
      </c>
      <c r="I672" s="4">
        <f t="shared" si="30"/>
        <v>1139.28</v>
      </c>
      <c r="J672">
        <f t="shared" si="31"/>
        <v>2024</v>
      </c>
      <c r="K672" s="5">
        <f t="shared" si="32"/>
        <v>45383</v>
      </c>
    </row>
    <row r="673" spans="1:11" x14ac:dyDescent="0.25">
      <c r="A673" t="s">
        <v>2732</v>
      </c>
      <c r="B673" s="3">
        <v>45399</v>
      </c>
      <c r="C673">
        <v>4010</v>
      </c>
      <c r="D673" s="1">
        <v>0</v>
      </c>
      <c r="E673" s="1">
        <v>1139.28</v>
      </c>
      <c r="F673" t="s">
        <v>2733</v>
      </c>
      <c r="G673" t="str">
        <f>_xlfn.XLOOKUP(C673,tblCOA[AccountNo],tblCOA[AccountName],"Unmapped")</f>
        <v>Product Sales</v>
      </c>
      <c r="H673" t="str">
        <f>_xlfn.XLOOKUP(C673,tblCOA[AccountNo],tblCOA[Category],"Unmapped")</f>
        <v>Revenue</v>
      </c>
      <c r="I673" s="4">
        <f t="shared" si="30"/>
        <v>-1139.28</v>
      </c>
      <c r="J673">
        <f t="shared" si="31"/>
        <v>2024</v>
      </c>
      <c r="K673" s="5">
        <f t="shared" si="32"/>
        <v>45383</v>
      </c>
    </row>
    <row r="674" spans="1:11" x14ac:dyDescent="0.25">
      <c r="A674" t="s">
        <v>1578</v>
      </c>
      <c r="B674" s="3">
        <v>45399</v>
      </c>
      <c r="C674">
        <v>1200</v>
      </c>
      <c r="D674" s="1">
        <v>24256.41</v>
      </c>
      <c r="E674" s="1">
        <v>0</v>
      </c>
      <c r="F674" t="s">
        <v>1579</v>
      </c>
      <c r="G674" t="str">
        <f>_xlfn.XLOOKUP(C674,tblCOA[AccountNo],tblCOA[AccountName],"Unmapped")</f>
        <v>Accounts Receivable</v>
      </c>
      <c r="H674" t="str">
        <f>_xlfn.XLOOKUP(C674,tblCOA[AccountNo],tblCOA[Category],"Unmapped")</f>
        <v>Assets</v>
      </c>
      <c r="I674" s="4">
        <f t="shared" si="30"/>
        <v>24256.41</v>
      </c>
      <c r="J674">
        <f t="shared" si="31"/>
        <v>2024</v>
      </c>
      <c r="K674" s="5">
        <f t="shared" si="32"/>
        <v>45383</v>
      </c>
    </row>
    <row r="675" spans="1:11" x14ac:dyDescent="0.25">
      <c r="A675" t="s">
        <v>1580</v>
      </c>
      <c r="B675" s="3">
        <v>45399</v>
      </c>
      <c r="C675">
        <v>4010</v>
      </c>
      <c r="D675" s="1">
        <v>0</v>
      </c>
      <c r="E675" s="1">
        <v>24256.41</v>
      </c>
      <c r="F675" t="s">
        <v>1581</v>
      </c>
      <c r="G675" t="str">
        <f>_xlfn.XLOOKUP(C675,tblCOA[AccountNo],tblCOA[AccountName],"Unmapped")</f>
        <v>Product Sales</v>
      </c>
      <c r="H675" t="str">
        <f>_xlfn.XLOOKUP(C675,tblCOA[AccountNo],tblCOA[Category],"Unmapped")</f>
        <v>Revenue</v>
      </c>
      <c r="I675" s="4">
        <f t="shared" si="30"/>
        <v>-24256.41</v>
      </c>
      <c r="J675">
        <f t="shared" si="31"/>
        <v>2024</v>
      </c>
      <c r="K675" s="5">
        <f t="shared" si="32"/>
        <v>45383</v>
      </c>
    </row>
    <row r="676" spans="1:11" x14ac:dyDescent="0.25">
      <c r="A676" t="s">
        <v>3866</v>
      </c>
      <c r="B676" s="3">
        <v>45400</v>
      </c>
      <c r="C676">
        <v>1200</v>
      </c>
      <c r="D676" s="1">
        <v>38230.620000000003</v>
      </c>
      <c r="E676" s="1">
        <v>0</v>
      </c>
      <c r="F676" t="s">
        <v>3867</v>
      </c>
      <c r="G676" t="str">
        <f>_xlfn.XLOOKUP(C676,tblCOA[AccountNo],tblCOA[AccountName],"Unmapped")</f>
        <v>Accounts Receivable</v>
      </c>
      <c r="H676" t="str">
        <f>_xlfn.XLOOKUP(C676,tblCOA[AccountNo],tblCOA[Category],"Unmapped")</f>
        <v>Assets</v>
      </c>
      <c r="I676" s="4">
        <f t="shared" si="30"/>
        <v>38230.620000000003</v>
      </c>
      <c r="J676">
        <f t="shared" si="31"/>
        <v>2024</v>
      </c>
      <c r="K676" s="5">
        <f t="shared" si="32"/>
        <v>45383</v>
      </c>
    </row>
    <row r="677" spans="1:11" x14ac:dyDescent="0.25">
      <c r="A677" t="s">
        <v>3868</v>
      </c>
      <c r="B677" s="3">
        <v>45400</v>
      </c>
      <c r="C677">
        <v>4010</v>
      </c>
      <c r="D677" s="1">
        <v>0</v>
      </c>
      <c r="E677" s="1">
        <v>38230.620000000003</v>
      </c>
      <c r="F677" t="s">
        <v>3869</v>
      </c>
      <c r="G677" t="str">
        <f>_xlfn.XLOOKUP(C677,tblCOA[AccountNo],tblCOA[AccountName],"Unmapped")</f>
        <v>Product Sales</v>
      </c>
      <c r="H677" t="str">
        <f>_xlfn.XLOOKUP(C677,tblCOA[AccountNo],tblCOA[Category],"Unmapped")</f>
        <v>Revenue</v>
      </c>
      <c r="I677" s="4">
        <f t="shared" si="30"/>
        <v>-38230.620000000003</v>
      </c>
      <c r="J677">
        <f t="shared" si="31"/>
        <v>2024</v>
      </c>
      <c r="K677" s="5">
        <f t="shared" si="32"/>
        <v>45383</v>
      </c>
    </row>
    <row r="678" spans="1:11" x14ac:dyDescent="0.25">
      <c r="A678" t="s">
        <v>2130</v>
      </c>
      <c r="B678" s="3">
        <v>45405</v>
      </c>
      <c r="C678">
        <v>1200</v>
      </c>
      <c r="D678" s="1">
        <v>19546.189999999999</v>
      </c>
      <c r="E678" s="1">
        <v>0</v>
      </c>
      <c r="F678" t="s">
        <v>2131</v>
      </c>
      <c r="G678" t="str">
        <f>_xlfn.XLOOKUP(C678,tblCOA[AccountNo],tblCOA[AccountName],"Unmapped")</f>
        <v>Accounts Receivable</v>
      </c>
      <c r="H678" t="str">
        <f>_xlfn.XLOOKUP(C678,tblCOA[AccountNo],tblCOA[Category],"Unmapped")</f>
        <v>Assets</v>
      </c>
      <c r="I678" s="4">
        <f t="shared" si="30"/>
        <v>19546.189999999999</v>
      </c>
      <c r="J678">
        <f t="shared" si="31"/>
        <v>2024</v>
      </c>
      <c r="K678" s="5">
        <f t="shared" si="32"/>
        <v>45383</v>
      </c>
    </row>
    <row r="679" spans="1:11" x14ac:dyDescent="0.25">
      <c r="A679" t="s">
        <v>2132</v>
      </c>
      <c r="B679" s="3">
        <v>45405</v>
      </c>
      <c r="C679">
        <v>4010</v>
      </c>
      <c r="D679" s="1">
        <v>0</v>
      </c>
      <c r="E679" s="1">
        <v>19546.189999999999</v>
      </c>
      <c r="F679" t="s">
        <v>2133</v>
      </c>
      <c r="G679" t="str">
        <f>_xlfn.XLOOKUP(C679,tblCOA[AccountNo],tblCOA[AccountName],"Unmapped")</f>
        <v>Product Sales</v>
      </c>
      <c r="H679" t="str">
        <f>_xlfn.XLOOKUP(C679,tblCOA[AccountNo],tblCOA[Category],"Unmapped")</f>
        <v>Revenue</v>
      </c>
      <c r="I679" s="4">
        <f t="shared" si="30"/>
        <v>-19546.189999999999</v>
      </c>
      <c r="J679">
        <f t="shared" si="31"/>
        <v>2024</v>
      </c>
      <c r="K679" s="5">
        <f t="shared" si="32"/>
        <v>45383</v>
      </c>
    </row>
    <row r="680" spans="1:11" x14ac:dyDescent="0.25">
      <c r="A680" t="s">
        <v>470</v>
      </c>
      <c r="B680" s="3">
        <v>45409</v>
      </c>
      <c r="C680">
        <v>5010</v>
      </c>
      <c r="D680" s="1">
        <v>5516.67</v>
      </c>
      <c r="E680" s="1">
        <v>0</v>
      </c>
      <c r="F680" t="s">
        <v>471</v>
      </c>
      <c r="G680" t="str">
        <f>_xlfn.XLOOKUP(C680,tblCOA[AccountNo],tblCOA[AccountName],"Unmapped")</f>
        <v>Cost of Goods Sold</v>
      </c>
      <c r="H680" t="str">
        <f>_xlfn.XLOOKUP(C680,tblCOA[AccountNo],tblCOA[Category],"Unmapped")</f>
        <v>Expenses</v>
      </c>
      <c r="I680" s="4">
        <f t="shared" si="30"/>
        <v>5516.67</v>
      </c>
      <c r="J680">
        <f t="shared" si="31"/>
        <v>2024</v>
      </c>
      <c r="K680" s="5">
        <f t="shared" si="32"/>
        <v>45383</v>
      </c>
    </row>
    <row r="681" spans="1:11" x14ac:dyDescent="0.25">
      <c r="A681" t="s">
        <v>472</v>
      </c>
      <c r="B681" s="3">
        <v>45409</v>
      </c>
      <c r="C681">
        <v>2010</v>
      </c>
      <c r="D681" s="1">
        <v>0</v>
      </c>
      <c r="E681" s="1">
        <v>5516.67</v>
      </c>
      <c r="F681" t="s">
        <v>473</v>
      </c>
      <c r="G681" t="str">
        <f>_xlfn.XLOOKUP(C681,tblCOA[AccountNo],tblCOA[AccountName],"Unmapped")</f>
        <v>Accounts Payable</v>
      </c>
      <c r="H681" t="str">
        <f>_xlfn.XLOOKUP(C681,tblCOA[AccountNo],tblCOA[Category],"Unmapped")</f>
        <v>Liabilities</v>
      </c>
      <c r="I681" s="4">
        <f t="shared" si="30"/>
        <v>-5516.67</v>
      </c>
      <c r="J681">
        <f t="shared" si="31"/>
        <v>2024</v>
      </c>
      <c r="K681" s="5">
        <f t="shared" si="32"/>
        <v>45383</v>
      </c>
    </row>
    <row r="682" spans="1:11" x14ac:dyDescent="0.25">
      <c r="A682" t="s">
        <v>1138</v>
      </c>
      <c r="B682" s="3">
        <v>45410</v>
      </c>
      <c r="C682">
        <v>1200</v>
      </c>
      <c r="D682" s="1">
        <v>15916.15</v>
      </c>
      <c r="E682" s="1">
        <v>0</v>
      </c>
      <c r="F682" t="s">
        <v>1139</v>
      </c>
      <c r="G682" t="str">
        <f>_xlfn.XLOOKUP(C682,tblCOA[AccountNo],tblCOA[AccountName],"Unmapped")</f>
        <v>Accounts Receivable</v>
      </c>
      <c r="H682" t="str">
        <f>_xlfn.XLOOKUP(C682,tblCOA[AccountNo],tblCOA[Category],"Unmapped")</f>
        <v>Assets</v>
      </c>
      <c r="I682" s="4">
        <f t="shared" si="30"/>
        <v>15916.15</v>
      </c>
      <c r="J682">
        <f t="shared" si="31"/>
        <v>2024</v>
      </c>
      <c r="K682" s="5">
        <f t="shared" si="32"/>
        <v>45383</v>
      </c>
    </row>
    <row r="683" spans="1:11" x14ac:dyDescent="0.25">
      <c r="A683" t="s">
        <v>1140</v>
      </c>
      <c r="B683" s="3">
        <v>45410</v>
      </c>
      <c r="C683">
        <v>4010</v>
      </c>
      <c r="D683" s="1">
        <v>0</v>
      </c>
      <c r="E683" s="1">
        <v>15916.15</v>
      </c>
      <c r="F683" t="s">
        <v>1141</v>
      </c>
      <c r="G683" t="str">
        <f>_xlfn.XLOOKUP(C683,tblCOA[AccountNo],tblCOA[AccountName],"Unmapped")</f>
        <v>Product Sales</v>
      </c>
      <c r="H683" t="str">
        <f>_xlfn.XLOOKUP(C683,tblCOA[AccountNo],tblCOA[Category],"Unmapped")</f>
        <v>Revenue</v>
      </c>
      <c r="I683" s="4">
        <f t="shared" si="30"/>
        <v>-15916.15</v>
      </c>
      <c r="J683">
        <f t="shared" si="31"/>
        <v>2024</v>
      </c>
      <c r="K683" s="5">
        <f t="shared" si="32"/>
        <v>45383</v>
      </c>
    </row>
    <row r="684" spans="1:11" x14ac:dyDescent="0.25">
      <c r="A684" t="s">
        <v>2390</v>
      </c>
      <c r="B684" s="3">
        <v>45411</v>
      </c>
      <c r="C684">
        <v>5010</v>
      </c>
      <c r="D684" s="1">
        <v>9319.1200000000008</v>
      </c>
      <c r="E684" s="1">
        <v>0</v>
      </c>
      <c r="F684" t="s">
        <v>2391</v>
      </c>
      <c r="G684" t="str">
        <f>_xlfn.XLOOKUP(C684,tblCOA[AccountNo],tblCOA[AccountName],"Unmapped")</f>
        <v>Cost of Goods Sold</v>
      </c>
      <c r="H684" t="str">
        <f>_xlfn.XLOOKUP(C684,tblCOA[AccountNo],tblCOA[Category],"Unmapped")</f>
        <v>Expenses</v>
      </c>
      <c r="I684" s="4">
        <f t="shared" si="30"/>
        <v>9319.1200000000008</v>
      </c>
      <c r="J684">
        <f t="shared" si="31"/>
        <v>2024</v>
      </c>
      <c r="K684" s="5">
        <f t="shared" si="32"/>
        <v>45383</v>
      </c>
    </row>
    <row r="685" spans="1:11" x14ac:dyDescent="0.25">
      <c r="A685" t="s">
        <v>2392</v>
      </c>
      <c r="B685" s="3">
        <v>45411</v>
      </c>
      <c r="C685">
        <v>2010</v>
      </c>
      <c r="D685" s="1">
        <v>0</v>
      </c>
      <c r="E685" s="1">
        <v>9319.1200000000008</v>
      </c>
      <c r="F685" t="s">
        <v>2393</v>
      </c>
      <c r="G685" t="str">
        <f>_xlfn.XLOOKUP(C685,tblCOA[AccountNo],tblCOA[AccountName],"Unmapped")</f>
        <v>Accounts Payable</v>
      </c>
      <c r="H685" t="str">
        <f>_xlfn.XLOOKUP(C685,tblCOA[AccountNo],tblCOA[Category],"Unmapped")</f>
        <v>Liabilities</v>
      </c>
      <c r="I685" s="4">
        <f t="shared" si="30"/>
        <v>-9319.1200000000008</v>
      </c>
      <c r="J685">
        <f t="shared" si="31"/>
        <v>2024</v>
      </c>
      <c r="K685" s="5">
        <f t="shared" si="32"/>
        <v>45383</v>
      </c>
    </row>
    <row r="686" spans="1:11" x14ac:dyDescent="0.25">
      <c r="A686" t="s">
        <v>590</v>
      </c>
      <c r="B686" s="3">
        <v>45411</v>
      </c>
      <c r="C686">
        <v>5010</v>
      </c>
      <c r="D686" s="1">
        <v>16230.9</v>
      </c>
      <c r="E686" s="1">
        <v>0</v>
      </c>
      <c r="F686" t="s">
        <v>591</v>
      </c>
      <c r="G686" t="str">
        <f>_xlfn.XLOOKUP(C686,tblCOA[AccountNo],tblCOA[AccountName],"Unmapped")</f>
        <v>Cost of Goods Sold</v>
      </c>
      <c r="H686" t="str">
        <f>_xlfn.XLOOKUP(C686,tblCOA[AccountNo],tblCOA[Category],"Unmapped")</f>
        <v>Expenses</v>
      </c>
      <c r="I686" s="4">
        <f t="shared" si="30"/>
        <v>16230.9</v>
      </c>
      <c r="J686">
        <f t="shared" si="31"/>
        <v>2024</v>
      </c>
      <c r="K686" s="5">
        <f t="shared" si="32"/>
        <v>45383</v>
      </c>
    </row>
    <row r="687" spans="1:11" x14ac:dyDescent="0.25">
      <c r="A687" t="s">
        <v>592</v>
      </c>
      <c r="B687" s="3">
        <v>45411</v>
      </c>
      <c r="C687">
        <v>2010</v>
      </c>
      <c r="D687" s="1">
        <v>0</v>
      </c>
      <c r="E687" s="1">
        <v>16230.9</v>
      </c>
      <c r="F687" t="s">
        <v>593</v>
      </c>
      <c r="G687" t="str">
        <f>_xlfn.XLOOKUP(C687,tblCOA[AccountNo],tblCOA[AccountName],"Unmapped")</f>
        <v>Accounts Payable</v>
      </c>
      <c r="H687" t="str">
        <f>_xlfn.XLOOKUP(C687,tblCOA[AccountNo],tblCOA[Category],"Unmapped")</f>
        <v>Liabilities</v>
      </c>
      <c r="I687" s="4">
        <f t="shared" si="30"/>
        <v>-16230.9</v>
      </c>
      <c r="J687">
        <f t="shared" si="31"/>
        <v>2024</v>
      </c>
      <c r="K687" s="5">
        <f t="shared" si="32"/>
        <v>45383</v>
      </c>
    </row>
    <row r="688" spans="1:11" x14ac:dyDescent="0.25">
      <c r="A688" t="s">
        <v>3102</v>
      </c>
      <c r="B688" s="3">
        <v>45413</v>
      </c>
      <c r="C688">
        <v>5010</v>
      </c>
      <c r="D688" s="1">
        <v>18609.900000000001</v>
      </c>
      <c r="E688" s="1">
        <v>0</v>
      </c>
      <c r="F688" t="s">
        <v>3103</v>
      </c>
      <c r="G688" t="str">
        <f>_xlfn.XLOOKUP(C688,tblCOA[AccountNo],tblCOA[AccountName],"Unmapped")</f>
        <v>Cost of Goods Sold</v>
      </c>
      <c r="H688" t="str">
        <f>_xlfn.XLOOKUP(C688,tblCOA[AccountNo],tblCOA[Category],"Unmapped")</f>
        <v>Expenses</v>
      </c>
      <c r="I688" s="4">
        <f t="shared" si="30"/>
        <v>18609.900000000001</v>
      </c>
      <c r="J688">
        <f t="shared" si="31"/>
        <v>2024</v>
      </c>
      <c r="K688" s="5">
        <f t="shared" si="32"/>
        <v>45413</v>
      </c>
    </row>
    <row r="689" spans="1:11" x14ac:dyDescent="0.25">
      <c r="A689" t="s">
        <v>3104</v>
      </c>
      <c r="B689" s="3">
        <v>45413</v>
      </c>
      <c r="C689">
        <v>2010</v>
      </c>
      <c r="D689" s="1">
        <v>0</v>
      </c>
      <c r="E689" s="1">
        <v>18609.900000000001</v>
      </c>
      <c r="F689" t="s">
        <v>3105</v>
      </c>
      <c r="G689" t="str">
        <f>_xlfn.XLOOKUP(C689,tblCOA[AccountNo],tblCOA[AccountName],"Unmapped")</f>
        <v>Accounts Payable</v>
      </c>
      <c r="H689" t="str">
        <f>_xlfn.XLOOKUP(C689,tblCOA[AccountNo],tblCOA[Category],"Unmapped")</f>
        <v>Liabilities</v>
      </c>
      <c r="I689" s="4">
        <f t="shared" si="30"/>
        <v>-18609.900000000001</v>
      </c>
      <c r="J689">
        <f t="shared" si="31"/>
        <v>2024</v>
      </c>
      <c r="K689" s="5">
        <f t="shared" si="32"/>
        <v>45413</v>
      </c>
    </row>
    <row r="690" spans="1:11" x14ac:dyDescent="0.25">
      <c r="A690" t="s">
        <v>2262</v>
      </c>
      <c r="B690" s="3">
        <v>45415</v>
      </c>
      <c r="C690">
        <v>5010</v>
      </c>
      <c r="D690" s="1">
        <v>13970.51</v>
      </c>
      <c r="E690" s="1">
        <v>0</v>
      </c>
      <c r="F690" t="s">
        <v>2263</v>
      </c>
      <c r="G690" t="str">
        <f>_xlfn.XLOOKUP(C690,tblCOA[AccountNo],tblCOA[AccountName],"Unmapped")</f>
        <v>Cost of Goods Sold</v>
      </c>
      <c r="H690" t="str">
        <f>_xlfn.XLOOKUP(C690,tblCOA[AccountNo],tblCOA[Category],"Unmapped")</f>
        <v>Expenses</v>
      </c>
      <c r="I690" s="4">
        <f t="shared" si="30"/>
        <v>13970.51</v>
      </c>
      <c r="J690">
        <f t="shared" si="31"/>
        <v>2024</v>
      </c>
      <c r="K690" s="5">
        <f t="shared" si="32"/>
        <v>45413</v>
      </c>
    </row>
    <row r="691" spans="1:11" x14ac:dyDescent="0.25">
      <c r="A691" t="s">
        <v>2264</v>
      </c>
      <c r="B691" s="3">
        <v>45415</v>
      </c>
      <c r="C691">
        <v>2010</v>
      </c>
      <c r="D691" s="1">
        <v>0</v>
      </c>
      <c r="E691" s="1">
        <v>13970.51</v>
      </c>
      <c r="F691" t="s">
        <v>2265</v>
      </c>
      <c r="G691" t="str">
        <f>_xlfn.XLOOKUP(C691,tblCOA[AccountNo],tblCOA[AccountName],"Unmapped")</f>
        <v>Accounts Payable</v>
      </c>
      <c r="H691" t="str">
        <f>_xlfn.XLOOKUP(C691,tblCOA[AccountNo],tblCOA[Category],"Unmapped")</f>
        <v>Liabilities</v>
      </c>
      <c r="I691" s="4">
        <f t="shared" si="30"/>
        <v>-13970.51</v>
      </c>
      <c r="J691">
        <f t="shared" si="31"/>
        <v>2024</v>
      </c>
      <c r="K691" s="5">
        <f t="shared" si="32"/>
        <v>45413</v>
      </c>
    </row>
    <row r="692" spans="1:11" x14ac:dyDescent="0.25">
      <c r="A692" t="s">
        <v>3242</v>
      </c>
      <c r="B692" s="3">
        <v>45415</v>
      </c>
      <c r="C692">
        <v>1200</v>
      </c>
      <c r="D692" s="1">
        <v>36873</v>
      </c>
      <c r="E692" s="1">
        <v>0</v>
      </c>
      <c r="F692" t="s">
        <v>3243</v>
      </c>
      <c r="G692" t="str">
        <f>_xlfn.XLOOKUP(C692,tblCOA[AccountNo],tblCOA[AccountName],"Unmapped")</f>
        <v>Accounts Receivable</v>
      </c>
      <c r="H692" t="str">
        <f>_xlfn.XLOOKUP(C692,tblCOA[AccountNo],tblCOA[Category],"Unmapped")</f>
        <v>Assets</v>
      </c>
      <c r="I692" s="4">
        <f t="shared" si="30"/>
        <v>36873</v>
      </c>
      <c r="J692">
        <f t="shared" si="31"/>
        <v>2024</v>
      </c>
      <c r="K692" s="5">
        <f t="shared" si="32"/>
        <v>45413</v>
      </c>
    </row>
    <row r="693" spans="1:11" x14ac:dyDescent="0.25">
      <c r="A693" t="s">
        <v>3244</v>
      </c>
      <c r="B693" s="3">
        <v>45415</v>
      </c>
      <c r="C693">
        <v>4010</v>
      </c>
      <c r="D693" s="1">
        <v>0</v>
      </c>
      <c r="E693" s="1">
        <v>36873</v>
      </c>
      <c r="F693" t="s">
        <v>3245</v>
      </c>
      <c r="G693" t="str">
        <f>_xlfn.XLOOKUP(C693,tblCOA[AccountNo],tblCOA[AccountName],"Unmapped")</f>
        <v>Product Sales</v>
      </c>
      <c r="H693" t="str">
        <f>_xlfn.XLOOKUP(C693,tblCOA[AccountNo],tblCOA[Category],"Unmapped")</f>
        <v>Revenue</v>
      </c>
      <c r="I693" s="4">
        <f t="shared" si="30"/>
        <v>-36873</v>
      </c>
      <c r="J693">
        <f t="shared" si="31"/>
        <v>2024</v>
      </c>
      <c r="K693" s="5">
        <f t="shared" si="32"/>
        <v>45413</v>
      </c>
    </row>
    <row r="694" spans="1:11" x14ac:dyDescent="0.25">
      <c r="A694" t="s">
        <v>3206</v>
      </c>
      <c r="B694" s="3">
        <v>45417</v>
      </c>
      <c r="C694">
        <v>5010</v>
      </c>
      <c r="D694" s="1">
        <v>9816.26</v>
      </c>
      <c r="E694" s="1">
        <v>0</v>
      </c>
      <c r="F694" t="s">
        <v>3207</v>
      </c>
      <c r="G694" t="str">
        <f>_xlfn.XLOOKUP(C694,tblCOA[AccountNo],tblCOA[AccountName],"Unmapped")</f>
        <v>Cost of Goods Sold</v>
      </c>
      <c r="H694" t="str">
        <f>_xlfn.XLOOKUP(C694,tblCOA[AccountNo],tblCOA[Category],"Unmapped")</f>
        <v>Expenses</v>
      </c>
      <c r="I694" s="4">
        <f t="shared" si="30"/>
        <v>9816.26</v>
      </c>
      <c r="J694">
        <f t="shared" si="31"/>
        <v>2024</v>
      </c>
      <c r="K694" s="5">
        <f t="shared" si="32"/>
        <v>45413</v>
      </c>
    </row>
    <row r="695" spans="1:11" x14ac:dyDescent="0.25">
      <c r="A695" t="s">
        <v>3208</v>
      </c>
      <c r="B695" s="3">
        <v>45417</v>
      </c>
      <c r="C695">
        <v>2010</v>
      </c>
      <c r="D695" s="1">
        <v>0</v>
      </c>
      <c r="E695" s="1">
        <v>9816.26</v>
      </c>
      <c r="F695" t="s">
        <v>3209</v>
      </c>
      <c r="G695" t="str">
        <f>_xlfn.XLOOKUP(C695,tblCOA[AccountNo],tblCOA[AccountName],"Unmapped")</f>
        <v>Accounts Payable</v>
      </c>
      <c r="H695" t="str">
        <f>_xlfn.XLOOKUP(C695,tblCOA[AccountNo],tblCOA[Category],"Unmapped")</f>
        <v>Liabilities</v>
      </c>
      <c r="I695" s="4">
        <f t="shared" si="30"/>
        <v>-9816.26</v>
      </c>
      <c r="J695">
        <f t="shared" si="31"/>
        <v>2024</v>
      </c>
      <c r="K695" s="5">
        <f t="shared" si="32"/>
        <v>45413</v>
      </c>
    </row>
    <row r="696" spans="1:11" x14ac:dyDescent="0.25">
      <c r="A696" t="s">
        <v>3474</v>
      </c>
      <c r="B696" s="3">
        <v>45418</v>
      </c>
      <c r="C696">
        <v>1200</v>
      </c>
      <c r="D696" s="1">
        <v>2373.2199999999998</v>
      </c>
      <c r="E696" s="1">
        <v>0</v>
      </c>
      <c r="F696" t="s">
        <v>3475</v>
      </c>
      <c r="G696" t="str">
        <f>_xlfn.XLOOKUP(C696,tblCOA[AccountNo],tblCOA[AccountName],"Unmapped")</f>
        <v>Accounts Receivable</v>
      </c>
      <c r="H696" t="str">
        <f>_xlfn.XLOOKUP(C696,tblCOA[AccountNo],tblCOA[Category],"Unmapped")</f>
        <v>Assets</v>
      </c>
      <c r="I696" s="4">
        <f t="shared" si="30"/>
        <v>2373.2199999999998</v>
      </c>
      <c r="J696">
        <f t="shared" si="31"/>
        <v>2024</v>
      </c>
      <c r="K696" s="5">
        <f t="shared" si="32"/>
        <v>45413</v>
      </c>
    </row>
    <row r="697" spans="1:11" x14ac:dyDescent="0.25">
      <c r="A697" t="s">
        <v>3476</v>
      </c>
      <c r="B697" s="3">
        <v>45418</v>
      </c>
      <c r="C697">
        <v>4010</v>
      </c>
      <c r="D697" s="1">
        <v>0</v>
      </c>
      <c r="E697" s="1">
        <v>2373.2199999999998</v>
      </c>
      <c r="F697" t="s">
        <v>3477</v>
      </c>
      <c r="G697" t="str">
        <f>_xlfn.XLOOKUP(C697,tblCOA[AccountNo],tblCOA[AccountName],"Unmapped")</f>
        <v>Product Sales</v>
      </c>
      <c r="H697" t="str">
        <f>_xlfn.XLOOKUP(C697,tblCOA[AccountNo],tblCOA[Category],"Unmapped")</f>
        <v>Revenue</v>
      </c>
      <c r="I697" s="4">
        <f t="shared" si="30"/>
        <v>-2373.2199999999998</v>
      </c>
      <c r="J697">
        <f t="shared" si="31"/>
        <v>2024</v>
      </c>
      <c r="K697" s="5">
        <f t="shared" si="32"/>
        <v>45413</v>
      </c>
    </row>
    <row r="698" spans="1:11" x14ac:dyDescent="0.25">
      <c r="A698" t="s">
        <v>1610</v>
      </c>
      <c r="B698" s="3">
        <v>45418</v>
      </c>
      <c r="C698">
        <v>1200</v>
      </c>
      <c r="D698" s="1">
        <v>32953.85</v>
      </c>
      <c r="E698" s="1">
        <v>0</v>
      </c>
      <c r="F698" t="s">
        <v>1611</v>
      </c>
      <c r="G698" t="str">
        <f>_xlfn.XLOOKUP(C698,tblCOA[AccountNo],tblCOA[AccountName],"Unmapped")</f>
        <v>Accounts Receivable</v>
      </c>
      <c r="H698" t="str">
        <f>_xlfn.XLOOKUP(C698,tblCOA[AccountNo],tblCOA[Category],"Unmapped")</f>
        <v>Assets</v>
      </c>
      <c r="I698" s="4">
        <f t="shared" si="30"/>
        <v>32953.85</v>
      </c>
      <c r="J698">
        <f t="shared" si="31"/>
        <v>2024</v>
      </c>
      <c r="K698" s="5">
        <f t="shared" si="32"/>
        <v>45413</v>
      </c>
    </row>
    <row r="699" spans="1:11" x14ac:dyDescent="0.25">
      <c r="A699" t="s">
        <v>1612</v>
      </c>
      <c r="B699" s="3">
        <v>45418</v>
      </c>
      <c r="C699">
        <v>4010</v>
      </c>
      <c r="D699" s="1">
        <v>0</v>
      </c>
      <c r="E699" s="1">
        <v>32953.85</v>
      </c>
      <c r="F699" t="s">
        <v>1613</v>
      </c>
      <c r="G699" t="str">
        <f>_xlfn.XLOOKUP(C699,tblCOA[AccountNo],tblCOA[AccountName],"Unmapped")</f>
        <v>Product Sales</v>
      </c>
      <c r="H699" t="str">
        <f>_xlfn.XLOOKUP(C699,tblCOA[AccountNo],tblCOA[Category],"Unmapped")</f>
        <v>Revenue</v>
      </c>
      <c r="I699" s="4">
        <f t="shared" si="30"/>
        <v>-32953.85</v>
      </c>
      <c r="J699">
        <f t="shared" si="31"/>
        <v>2024</v>
      </c>
      <c r="K699" s="5">
        <f t="shared" si="32"/>
        <v>45413</v>
      </c>
    </row>
    <row r="700" spans="1:11" x14ac:dyDescent="0.25">
      <c r="A700" t="s">
        <v>2358</v>
      </c>
      <c r="B700" s="3">
        <v>45420</v>
      </c>
      <c r="C700">
        <v>5010</v>
      </c>
      <c r="D700" s="1">
        <v>9787.5300000000007</v>
      </c>
      <c r="E700" s="1">
        <v>0</v>
      </c>
      <c r="F700" t="s">
        <v>2359</v>
      </c>
      <c r="G700" t="str">
        <f>_xlfn.XLOOKUP(C700,tblCOA[AccountNo],tblCOA[AccountName],"Unmapped")</f>
        <v>Cost of Goods Sold</v>
      </c>
      <c r="H700" t="str">
        <f>_xlfn.XLOOKUP(C700,tblCOA[AccountNo],tblCOA[Category],"Unmapped")</f>
        <v>Expenses</v>
      </c>
      <c r="I700" s="4">
        <f t="shared" si="30"/>
        <v>9787.5300000000007</v>
      </c>
      <c r="J700">
        <f t="shared" si="31"/>
        <v>2024</v>
      </c>
      <c r="K700" s="5">
        <f t="shared" si="32"/>
        <v>45413</v>
      </c>
    </row>
    <row r="701" spans="1:11" x14ac:dyDescent="0.25">
      <c r="A701" t="s">
        <v>2360</v>
      </c>
      <c r="B701" s="3">
        <v>45420</v>
      </c>
      <c r="C701">
        <v>2010</v>
      </c>
      <c r="D701" s="1">
        <v>0</v>
      </c>
      <c r="E701" s="1">
        <v>9787.5300000000007</v>
      </c>
      <c r="F701" t="s">
        <v>2361</v>
      </c>
      <c r="G701" t="str">
        <f>_xlfn.XLOOKUP(C701,tblCOA[AccountNo],tblCOA[AccountName],"Unmapped")</f>
        <v>Accounts Payable</v>
      </c>
      <c r="H701" t="str">
        <f>_xlfn.XLOOKUP(C701,tblCOA[AccountNo],tblCOA[Category],"Unmapped")</f>
        <v>Liabilities</v>
      </c>
      <c r="I701" s="4">
        <f t="shared" si="30"/>
        <v>-9787.5300000000007</v>
      </c>
      <c r="J701">
        <f t="shared" si="31"/>
        <v>2024</v>
      </c>
      <c r="K701" s="5">
        <f t="shared" si="32"/>
        <v>45413</v>
      </c>
    </row>
    <row r="702" spans="1:11" x14ac:dyDescent="0.25">
      <c r="A702" t="s">
        <v>3490</v>
      </c>
      <c r="B702" s="3">
        <v>45421</v>
      </c>
      <c r="C702">
        <v>1200</v>
      </c>
      <c r="D702" s="1">
        <v>2431.2600000000002</v>
      </c>
      <c r="E702" s="1">
        <v>0</v>
      </c>
      <c r="F702" t="s">
        <v>3491</v>
      </c>
      <c r="G702" t="str">
        <f>_xlfn.XLOOKUP(C702,tblCOA[AccountNo],tblCOA[AccountName],"Unmapped")</f>
        <v>Accounts Receivable</v>
      </c>
      <c r="H702" t="str">
        <f>_xlfn.XLOOKUP(C702,tblCOA[AccountNo],tblCOA[Category],"Unmapped")</f>
        <v>Assets</v>
      </c>
      <c r="I702" s="4">
        <f t="shared" si="30"/>
        <v>2431.2600000000002</v>
      </c>
      <c r="J702">
        <f t="shared" si="31"/>
        <v>2024</v>
      </c>
      <c r="K702" s="5">
        <f t="shared" si="32"/>
        <v>45413</v>
      </c>
    </row>
    <row r="703" spans="1:11" x14ac:dyDescent="0.25">
      <c r="A703" t="s">
        <v>3492</v>
      </c>
      <c r="B703" s="3">
        <v>45421</v>
      </c>
      <c r="C703">
        <v>4010</v>
      </c>
      <c r="D703" s="1">
        <v>0</v>
      </c>
      <c r="E703" s="1">
        <v>2431.2600000000002</v>
      </c>
      <c r="F703" t="s">
        <v>3493</v>
      </c>
      <c r="G703" t="str">
        <f>_xlfn.XLOOKUP(C703,tblCOA[AccountNo],tblCOA[AccountName],"Unmapped")</f>
        <v>Product Sales</v>
      </c>
      <c r="H703" t="str">
        <f>_xlfn.XLOOKUP(C703,tblCOA[AccountNo],tblCOA[Category],"Unmapped")</f>
        <v>Revenue</v>
      </c>
      <c r="I703" s="4">
        <f t="shared" si="30"/>
        <v>-2431.2600000000002</v>
      </c>
      <c r="J703">
        <f t="shared" si="31"/>
        <v>2024</v>
      </c>
      <c r="K703" s="5">
        <f t="shared" si="32"/>
        <v>45413</v>
      </c>
    </row>
    <row r="704" spans="1:11" x14ac:dyDescent="0.25">
      <c r="A704" t="s">
        <v>1550</v>
      </c>
      <c r="B704" s="3">
        <v>45422</v>
      </c>
      <c r="C704">
        <v>5010</v>
      </c>
      <c r="D704" s="1">
        <v>10357.9</v>
      </c>
      <c r="E704" s="1">
        <v>0</v>
      </c>
      <c r="F704" t="s">
        <v>1551</v>
      </c>
      <c r="G704" t="str">
        <f>_xlfn.XLOOKUP(C704,tblCOA[AccountNo],tblCOA[AccountName],"Unmapped")</f>
        <v>Cost of Goods Sold</v>
      </c>
      <c r="H704" t="str">
        <f>_xlfn.XLOOKUP(C704,tblCOA[AccountNo],tblCOA[Category],"Unmapped")</f>
        <v>Expenses</v>
      </c>
      <c r="I704" s="4">
        <f t="shared" si="30"/>
        <v>10357.9</v>
      </c>
      <c r="J704">
        <f t="shared" si="31"/>
        <v>2024</v>
      </c>
      <c r="K704" s="5">
        <f t="shared" si="32"/>
        <v>45413</v>
      </c>
    </row>
    <row r="705" spans="1:11" x14ac:dyDescent="0.25">
      <c r="A705" t="s">
        <v>1552</v>
      </c>
      <c r="B705" s="3">
        <v>45422</v>
      </c>
      <c r="C705">
        <v>2010</v>
      </c>
      <c r="D705" s="1">
        <v>0</v>
      </c>
      <c r="E705" s="1">
        <v>10357.9</v>
      </c>
      <c r="F705" t="s">
        <v>1553</v>
      </c>
      <c r="G705" t="str">
        <f>_xlfn.XLOOKUP(C705,tblCOA[AccountNo],tblCOA[AccountName],"Unmapped")</f>
        <v>Accounts Payable</v>
      </c>
      <c r="H705" t="str">
        <f>_xlfn.XLOOKUP(C705,tblCOA[AccountNo],tblCOA[Category],"Unmapped")</f>
        <v>Liabilities</v>
      </c>
      <c r="I705" s="4">
        <f t="shared" si="30"/>
        <v>-10357.9</v>
      </c>
      <c r="J705">
        <f t="shared" si="31"/>
        <v>2024</v>
      </c>
      <c r="K705" s="5">
        <f t="shared" si="32"/>
        <v>45413</v>
      </c>
    </row>
    <row r="706" spans="1:11" x14ac:dyDescent="0.25">
      <c r="A706" t="s">
        <v>1238</v>
      </c>
      <c r="B706" s="3">
        <v>45423</v>
      </c>
      <c r="C706">
        <v>5010</v>
      </c>
      <c r="D706" s="1">
        <v>6989.7</v>
      </c>
      <c r="E706" s="1">
        <v>0</v>
      </c>
      <c r="F706" t="s">
        <v>1239</v>
      </c>
      <c r="G706" t="str">
        <f>_xlfn.XLOOKUP(C706,tblCOA[AccountNo],tblCOA[AccountName],"Unmapped")</f>
        <v>Cost of Goods Sold</v>
      </c>
      <c r="H706" t="str">
        <f>_xlfn.XLOOKUP(C706,tblCOA[AccountNo],tblCOA[Category],"Unmapped")</f>
        <v>Expenses</v>
      </c>
      <c r="I706" s="4">
        <f t="shared" ref="I706:I769" si="33">D706-E706</f>
        <v>6989.7</v>
      </c>
      <c r="J706">
        <f t="shared" ref="J706:J769" si="34">YEAR(B706)</f>
        <v>2024</v>
      </c>
      <c r="K706" s="5">
        <f t="shared" ref="K706:K769" si="35">DATE(YEAR(B706),MONTH(B706),1)</f>
        <v>45413</v>
      </c>
    </row>
    <row r="707" spans="1:11" x14ac:dyDescent="0.25">
      <c r="A707" t="s">
        <v>1240</v>
      </c>
      <c r="B707" s="3">
        <v>45423</v>
      </c>
      <c r="C707">
        <v>2010</v>
      </c>
      <c r="D707" s="1">
        <v>0</v>
      </c>
      <c r="E707" s="1">
        <v>6989.7</v>
      </c>
      <c r="F707" t="s">
        <v>1241</v>
      </c>
      <c r="G707" t="str">
        <f>_xlfn.XLOOKUP(C707,tblCOA[AccountNo],tblCOA[AccountName],"Unmapped")</f>
        <v>Accounts Payable</v>
      </c>
      <c r="H707" t="str">
        <f>_xlfn.XLOOKUP(C707,tblCOA[AccountNo],tblCOA[Category],"Unmapped")</f>
        <v>Liabilities</v>
      </c>
      <c r="I707" s="4">
        <f t="shared" si="33"/>
        <v>-6989.7</v>
      </c>
      <c r="J707">
        <f t="shared" si="34"/>
        <v>2024</v>
      </c>
      <c r="K707" s="5">
        <f t="shared" si="35"/>
        <v>45413</v>
      </c>
    </row>
    <row r="708" spans="1:11" x14ac:dyDescent="0.25">
      <c r="A708" t="s">
        <v>3550</v>
      </c>
      <c r="B708" s="3">
        <v>45429</v>
      </c>
      <c r="C708">
        <v>5010</v>
      </c>
      <c r="D708" s="1">
        <v>5972.28</v>
      </c>
      <c r="E708" s="1">
        <v>0</v>
      </c>
      <c r="F708" t="s">
        <v>3551</v>
      </c>
      <c r="G708" t="str">
        <f>_xlfn.XLOOKUP(C708,tblCOA[AccountNo],tblCOA[AccountName],"Unmapped")</f>
        <v>Cost of Goods Sold</v>
      </c>
      <c r="H708" t="str">
        <f>_xlfn.XLOOKUP(C708,tblCOA[AccountNo],tblCOA[Category],"Unmapped")</f>
        <v>Expenses</v>
      </c>
      <c r="I708" s="4">
        <f t="shared" si="33"/>
        <v>5972.28</v>
      </c>
      <c r="J708">
        <f t="shared" si="34"/>
        <v>2024</v>
      </c>
      <c r="K708" s="5">
        <f t="shared" si="35"/>
        <v>45413</v>
      </c>
    </row>
    <row r="709" spans="1:11" x14ac:dyDescent="0.25">
      <c r="A709" t="s">
        <v>3552</v>
      </c>
      <c r="B709" s="3">
        <v>45429</v>
      </c>
      <c r="C709">
        <v>2010</v>
      </c>
      <c r="D709" s="1">
        <v>0</v>
      </c>
      <c r="E709" s="1">
        <v>5972.28</v>
      </c>
      <c r="F709" t="s">
        <v>3553</v>
      </c>
      <c r="G709" t="str">
        <f>_xlfn.XLOOKUP(C709,tblCOA[AccountNo],tblCOA[AccountName],"Unmapped")</f>
        <v>Accounts Payable</v>
      </c>
      <c r="H709" t="str">
        <f>_xlfn.XLOOKUP(C709,tblCOA[AccountNo],tblCOA[Category],"Unmapped")</f>
        <v>Liabilities</v>
      </c>
      <c r="I709" s="4">
        <f t="shared" si="33"/>
        <v>-5972.28</v>
      </c>
      <c r="J709">
        <f t="shared" si="34"/>
        <v>2024</v>
      </c>
      <c r="K709" s="5">
        <f t="shared" si="35"/>
        <v>45413</v>
      </c>
    </row>
    <row r="710" spans="1:11" x14ac:dyDescent="0.25">
      <c r="A710" t="s">
        <v>1978</v>
      </c>
      <c r="B710" s="3">
        <v>45431</v>
      </c>
      <c r="C710">
        <v>1200</v>
      </c>
      <c r="D710" s="1">
        <v>23383.98</v>
      </c>
      <c r="E710" s="1">
        <v>0</v>
      </c>
      <c r="F710" t="s">
        <v>1979</v>
      </c>
      <c r="G710" t="str">
        <f>_xlfn.XLOOKUP(C710,tblCOA[AccountNo],tblCOA[AccountName],"Unmapped")</f>
        <v>Accounts Receivable</v>
      </c>
      <c r="H710" t="str">
        <f>_xlfn.XLOOKUP(C710,tblCOA[AccountNo],tblCOA[Category],"Unmapped")</f>
        <v>Assets</v>
      </c>
      <c r="I710" s="4">
        <f t="shared" si="33"/>
        <v>23383.98</v>
      </c>
      <c r="J710">
        <f t="shared" si="34"/>
        <v>2024</v>
      </c>
      <c r="K710" s="5">
        <f t="shared" si="35"/>
        <v>45413</v>
      </c>
    </row>
    <row r="711" spans="1:11" x14ac:dyDescent="0.25">
      <c r="A711" t="s">
        <v>1980</v>
      </c>
      <c r="B711" s="3">
        <v>45431</v>
      </c>
      <c r="C711">
        <v>4010</v>
      </c>
      <c r="D711" s="1">
        <v>0</v>
      </c>
      <c r="E711" s="1">
        <v>23383.98</v>
      </c>
      <c r="F711" t="s">
        <v>1981</v>
      </c>
      <c r="G711" t="str">
        <f>_xlfn.XLOOKUP(C711,tblCOA[AccountNo],tblCOA[AccountName],"Unmapped")</f>
        <v>Product Sales</v>
      </c>
      <c r="H711" t="str">
        <f>_xlfn.XLOOKUP(C711,tblCOA[AccountNo],tblCOA[Category],"Unmapped")</f>
        <v>Revenue</v>
      </c>
      <c r="I711" s="4">
        <f t="shared" si="33"/>
        <v>-23383.98</v>
      </c>
      <c r="J711">
        <f t="shared" si="34"/>
        <v>2024</v>
      </c>
      <c r="K711" s="5">
        <f t="shared" si="35"/>
        <v>45413</v>
      </c>
    </row>
    <row r="712" spans="1:11" x14ac:dyDescent="0.25">
      <c r="A712" t="s">
        <v>3326</v>
      </c>
      <c r="B712" s="3">
        <v>45439</v>
      </c>
      <c r="C712">
        <v>5010</v>
      </c>
      <c r="D712" s="1">
        <v>19898.34</v>
      </c>
      <c r="E712" s="1">
        <v>0</v>
      </c>
      <c r="F712" t="s">
        <v>3327</v>
      </c>
      <c r="G712" t="str">
        <f>_xlfn.XLOOKUP(C712,tblCOA[AccountNo],tblCOA[AccountName],"Unmapped")</f>
        <v>Cost of Goods Sold</v>
      </c>
      <c r="H712" t="str">
        <f>_xlfn.XLOOKUP(C712,tblCOA[AccountNo],tblCOA[Category],"Unmapped")</f>
        <v>Expenses</v>
      </c>
      <c r="I712" s="4">
        <f t="shared" si="33"/>
        <v>19898.34</v>
      </c>
      <c r="J712">
        <f t="shared" si="34"/>
        <v>2024</v>
      </c>
      <c r="K712" s="5">
        <f t="shared" si="35"/>
        <v>45413</v>
      </c>
    </row>
    <row r="713" spans="1:11" x14ac:dyDescent="0.25">
      <c r="A713" t="s">
        <v>3328</v>
      </c>
      <c r="B713" s="3">
        <v>45439</v>
      </c>
      <c r="C713">
        <v>2010</v>
      </c>
      <c r="D713" s="1">
        <v>0</v>
      </c>
      <c r="E713" s="1">
        <v>19898.34</v>
      </c>
      <c r="F713" t="s">
        <v>3329</v>
      </c>
      <c r="G713" t="str">
        <f>_xlfn.XLOOKUP(C713,tblCOA[AccountNo],tblCOA[AccountName],"Unmapped")</f>
        <v>Accounts Payable</v>
      </c>
      <c r="H713" t="str">
        <f>_xlfn.XLOOKUP(C713,tblCOA[AccountNo],tblCOA[Category],"Unmapped")</f>
        <v>Liabilities</v>
      </c>
      <c r="I713" s="4">
        <f t="shared" si="33"/>
        <v>-19898.34</v>
      </c>
      <c r="J713">
        <f t="shared" si="34"/>
        <v>2024</v>
      </c>
      <c r="K713" s="5">
        <f t="shared" si="35"/>
        <v>45413</v>
      </c>
    </row>
    <row r="714" spans="1:11" x14ac:dyDescent="0.25">
      <c r="A714" t="s">
        <v>134</v>
      </c>
      <c r="B714" s="3">
        <v>45439</v>
      </c>
      <c r="C714">
        <v>5010</v>
      </c>
      <c r="D714" s="1">
        <v>1829.34</v>
      </c>
      <c r="E714" s="1">
        <v>0</v>
      </c>
      <c r="F714" t="s">
        <v>135</v>
      </c>
      <c r="G714" t="str">
        <f>_xlfn.XLOOKUP(C714,tblCOA[AccountNo],tblCOA[AccountName],"Unmapped")</f>
        <v>Cost of Goods Sold</v>
      </c>
      <c r="H714" t="str">
        <f>_xlfn.XLOOKUP(C714,tblCOA[AccountNo],tblCOA[Category],"Unmapped")</f>
        <v>Expenses</v>
      </c>
      <c r="I714" s="4">
        <f t="shared" si="33"/>
        <v>1829.34</v>
      </c>
      <c r="J714">
        <f t="shared" si="34"/>
        <v>2024</v>
      </c>
      <c r="K714" s="5">
        <f t="shared" si="35"/>
        <v>45413</v>
      </c>
    </row>
    <row r="715" spans="1:11" x14ac:dyDescent="0.25">
      <c r="A715" t="s">
        <v>136</v>
      </c>
      <c r="B715" s="3">
        <v>45439</v>
      </c>
      <c r="C715">
        <v>2010</v>
      </c>
      <c r="D715" s="1">
        <v>0</v>
      </c>
      <c r="E715" s="1">
        <v>1829.34</v>
      </c>
      <c r="F715" t="s">
        <v>137</v>
      </c>
      <c r="G715" t="str">
        <f>_xlfn.XLOOKUP(C715,tblCOA[AccountNo],tblCOA[AccountName],"Unmapped")</f>
        <v>Accounts Payable</v>
      </c>
      <c r="H715" t="str">
        <f>_xlfn.XLOOKUP(C715,tblCOA[AccountNo],tblCOA[Category],"Unmapped")</f>
        <v>Liabilities</v>
      </c>
      <c r="I715" s="4">
        <f t="shared" si="33"/>
        <v>-1829.34</v>
      </c>
      <c r="J715">
        <f t="shared" si="34"/>
        <v>2024</v>
      </c>
      <c r="K715" s="5">
        <f t="shared" si="35"/>
        <v>45413</v>
      </c>
    </row>
    <row r="716" spans="1:11" x14ac:dyDescent="0.25">
      <c r="A716" t="s">
        <v>1798</v>
      </c>
      <c r="B716" s="3">
        <v>45439</v>
      </c>
      <c r="C716">
        <v>5010</v>
      </c>
      <c r="D716" s="1">
        <v>18284.060000000001</v>
      </c>
      <c r="E716" s="1">
        <v>0</v>
      </c>
      <c r="F716" t="s">
        <v>1799</v>
      </c>
      <c r="G716" t="str">
        <f>_xlfn.XLOOKUP(C716,tblCOA[AccountNo],tblCOA[AccountName],"Unmapped")</f>
        <v>Cost of Goods Sold</v>
      </c>
      <c r="H716" t="str">
        <f>_xlfn.XLOOKUP(C716,tblCOA[AccountNo],tblCOA[Category],"Unmapped")</f>
        <v>Expenses</v>
      </c>
      <c r="I716" s="4">
        <f t="shared" si="33"/>
        <v>18284.060000000001</v>
      </c>
      <c r="J716">
        <f t="shared" si="34"/>
        <v>2024</v>
      </c>
      <c r="K716" s="5">
        <f t="shared" si="35"/>
        <v>45413</v>
      </c>
    </row>
    <row r="717" spans="1:11" x14ac:dyDescent="0.25">
      <c r="A717" t="s">
        <v>1800</v>
      </c>
      <c r="B717" s="3">
        <v>45439</v>
      </c>
      <c r="C717">
        <v>2010</v>
      </c>
      <c r="D717" s="1">
        <v>0</v>
      </c>
      <c r="E717" s="1">
        <v>18284.060000000001</v>
      </c>
      <c r="F717" t="s">
        <v>1801</v>
      </c>
      <c r="G717" t="str">
        <f>_xlfn.XLOOKUP(C717,tblCOA[AccountNo],tblCOA[AccountName],"Unmapped")</f>
        <v>Accounts Payable</v>
      </c>
      <c r="H717" t="str">
        <f>_xlfn.XLOOKUP(C717,tblCOA[AccountNo],tblCOA[Category],"Unmapped")</f>
        <v>Liabilities</v>
      </c>
      <c r="I717" s="4">
        <f t="shared" si="33"/>
        <v>-18284.060000000001</v>
      </c>
      <c r="J717">
        <f t="shared" si="34"/>
        <v>2024</v>
      </c>
      <c r="K717" s="5">
        <f t="shared" si="35"/>
        <v>45413</v>
      </c>
    </row>
    <row r="718" spans="1:11" x14ac:dyDescent="0.25">
      <c r="A718" t="s">
        <v>1302</v>
      </c>
      <c r="B718" s="3">
        <v>45441</v>
      </c>
      <c r="C718">
        <v>5010</v>
      </c>
      <c r="D718" s="1">
        <v>5593.5</v>
      </c>
      <c r="E718" s="1">
        <v>0</v>
      </c>
      <c r="F718" t="s">
        <v>1303</v>
      </c>
      <c r="G718" t="str">
        <f>_xlfn.XLOOKUP(C718,tblCOA[AccountNo],tblCOA[AccountName],"Unmapped")</f>
        <v>Cost of Goods Sold</v>
      </c>
      <c r="H718" t="str">
        <f>_xlfn.XLOOKUP(C718,tblCOA[AccountNo],tblCOA[Category],"Unmapped")</f>
        <v>Expenses</v>
      </c>
      <c r="I718" s="4">
        <f t="shared" si="33"/>
        <v>5593.5</v>
      </c>
      <c r="J718">
        <f t="shared" si="34"/>
        <v>2024</v>
      </c>
      <c r="K718" s="5">
        <f t="shared" si="35"/>
        <v>45413</v>
      </c>
    </row>
    <row r="719" spans="1:11" x14ac:dyDescent="0.25">
      <c r="A719" t="s">
        <v>1304</v>
      </c>
      <c r="B719" s="3">
        <v>45441</v>
      </c>
      <c r="C719">
        <v>2010</v>
      </c>
      <c r="D719" s="1">
        <v>0</v>
      </c>
      <c r="E719" s="1">
        <v>5593.5</v>
      </c>
      <c r="F719" t="s">
        <v>1305</v>
      </c>
      <c r="G719" t="str">
        <f>_xlfn.XLOOKUP(C719,tblCOA[AccountNo],tblCOA[AccountName],"Unmapped")</f>
        <v>Accounts Payable</v>
      </c>
      <c r="H719" t="str">
        <f>_xlfn.XLOOKUP(C719,tblCOA[AccountNo],tblCOA[Category],"Unmapped")</f>
        <v>Liabilities</v>
      </c>
      <c r="I719" s="4">
        <f t="shared" si="33"/>
        <v>-5593.5</v>
      </c>
      <c r="J719">
        <f t="shared" si="34"/>
        <v>2024</v>
      </c>
      <c r="K719" s="5">
        <f t="shared" si="35"/>
        <v>45413</v>
      </c>
    </row>
    <row r="720" spans="1:11" x14ac:dyDescent="0.25">
      <c r="A720" t="s">
        <v>1406</v>
      </c>
      <c r="B720" s="3">
        <v>45442</v>
      </c>
      <c r="C720">
        <v>5010</v>
      </c>
      <c r="D720" s="1">
        <v>13669.91</v>
      </c>
      <c r="E720" s="1">
        <v>0</v>
      </c>
      <c r="F720" t="s">
        <v>1407</v>
      </c>
      <c r="G720" t="str">
        <f>_xlfn.XLOOKUP(C720,tblCOA[AccountNo],tblCOA[AccountName],"Unmapped")</f>
        <v>Cost of Goods Sold</v>
      </c>
      <c r="H720" t="str">
        <f>_xlfn.XLOOKUP(C720,tblCOA[AccountNo],tblCOA[Category],"Unmapped")</f>
        <v>Expenses</v>
      </c>
      <c r="I720" s="4">
        <f t="shared" si="33"/>
        <v>13669.91</v>
      </c>
      <c r="J720">
        <f t="shared" si="34"/>
        <v>2024</v>
      </c>
      <c r="K720" s="5">
        <f t="shared" si="35"/>
        <v>45413</v>
      </c>
    </row>
    <row r="721" spans="1:11" x14ac:dyDescent="0.25">
      <c r="A721" t="s">
        <v>1408</v>
      </c>
      <c r="B721" s="3">
        <v>45442</v>
      </c>
      <c r="C721">
        <v>2010</v>
      </c>
      <c r="D721" s="1">
        <v>0</v>
      </c>
      <c r="E721" s="1">
        <v>13669.91</v>
      </c>
      <c r="F721" t="s">
        <v>1409</v>
      </c>
      <c r="G721" t="str">
        <f>_xlfn.XLOOKUP(C721,tblCOA[AccountNo],tblCOA[AccountName],"Unmapped")</f>
        <v>Accounts Payable</v>
      </c>
      <c r="H721" t="str">
        <f>_xlfn.XLOOKUP(C721,tblCOA[AccountNo],tblCOA[Category],"Unmapped")</f>
        <v>Liabilities</v>
      </c>
      <c r="I721" s="4">
        <f t="shared" si="33"/>
        <v>-13669.91</v>
      </c>
      <c r="J721">
        <f t="shared" si="34"/>
        <v>2024</v>
      </c>
      <c r="K721" s="5">
        <f t="shared" si="35"/>
        <v>45413</v>
      </c>
    </row>
    <row r="722" spans="1:11" x14ac:dyDescent="0.25">
      <c r="A722" t="s">
        <v>1022</v>
      </c>
      <c r="B722" s="3">
        <v>45443</v>
      </c>
      <c r="C722">
        <v>5010</v>
      </c>
      <c r="D722" s="1">
        <v>16698.43</v>
      </c>
      <c r="E722" s="1">
        <v>0</v>
      </c>
      <c r="F722" t="s">
        <v>1023</v>
      </c>
      <c r="G722" t="str">
        <f>_xlfn.XLOOKUP(C722,tblCOA[AccountNo],tblCOA[AccountName],"Unmapped")</f>
        <v>Cost of Goods Sold</v>
      </c>
      <c r="H722" t="str">
        <f>_xlfn.XLOOKUP(C722,tblCOA[AccountNo],tblCOA[Category],"Unmapped")</f>
        <v>Expenses</v>
      </c>
      <c r="I722" s="4">
        <f t="shared" si="33"/>
        <v>16698.43</v>
      </c>
      <c r="J722">
        <f t="shared" si="34"/>
        <v>2024</v>
      </c>
      <c r="K722" s="5">
        <f t="shared" si="35"/>
        <v>45413</v>
      </c>
    </row>
    <row r="723" spans="1:11" x14ac:dyDescent="0.25">
      <c r="A723" t="s">
        <v>1024</v>
      </c>
      <c r="B723" s="3">
        <v>45443</v>
      </c>
      <c r="C723">
        <v>2010</v>
      </c>
      <c r="D723" s="1">
        <v>0</v>
      </c>
      <c r="E723" s="1">
        <v>16698.43</v>
      </c>
      <c r="F723" t="s">
        <v>1025</v>
      </c>
      <c r="G723" t="str">
        <f>_xlfn.XLOOKUP(C723,tblCOA[AccountNo],tblCOA[AccountName],"Unmapped")</f>
        <v>Accounts Payable</v>
      </c>
      <c r="H723" t="str">
        <f>_xlfn.XLOOKUP(C723,tblCOA[AccountNo],tblCOA[Category],"Unmapped")</f>
        <v>Liabilities</v>
      </c>
      <c r="I723" s="4">
        <f t="shared" si="33"/>
        <v>-16698.43</v>
      </c>
      <c r="J723">
        <f t="shared" si="34"/>
        <v>2024</v>
      </c>
      <c r="K723" s="5">
        <f t="shared" si="35"/>
        <v>45413</v>
      </c>
    </row>
    <row r="724" spans="1:11" x14ac:dyDescent="0.25">
      <c r="A724" t="s">
        <v>1410</v>
      </c>
      <c r="B724" s="3">
        <v>45443</v>
      </c>
      <c r="C724">
        <v>1200</v>
      </c>
      <c r="D724" s="1">
        <v>12831.26</v>
      </c>
      <c r="E724" s="1">
        <v>0</v>
      </c>
      <c r="F724" t="s">
        <v>1411</v>
      </c>
      <c r="G724" t="str">
        <f>_xlfn.XLOOKUP(C724,tblCOA[AccountNo],tblCOA[AccountName],"Unmapped")</f>
        <v>Accounts Receivable</v>
      </c>
      <c r="H724" t="str">
        <f>_xlfn.XLOOKUP(C724,tblCOA[AccountNo],tblCOA[Category],"Unmapped")</f>
        <v>Assets</v>
      </c>
      <c r="I724" s="4">
        <f t="shared" si="33"/>
        <v>12831.26</v>
      </c>
      <c r="J724">
        <f t="shared" si="34"/>
        <v>2024</v>
      </c>
      <c r="K724" s="5">
        <f t="shared" si="35"/>
        <v>45413</v>
      </c>
    </row>
    <row r="725" spans="1:11" x14ac:dyDescent="0.25">
      <c r="A725" t="s">
        <v>1412</v>
      </c>
      <c r="B725" s="3">
        <v>45443</v>
      </c>
      <c r="C725">
        <v>4010</v>
      </c>
      <c r="D725" s="1">
        <v>0</v>
      </c>
      <c r="E725" s="1">
        <v>12831.26</v>
      </c>
      <c r="F725" t="s">
        <v>1413</v>
      </c>
      <c r="G725" t="str">
        <f>_xlfn.XLOOKUP(C725,tblCOA[AccountNo],tblCOA[AccountName],"Unmapped")</f>
        <v>Product Sales</v>
      </c>
      <c r="H725" t="str">
        <f>_xlfn.XLOOKUP(C725,tblCOA[AccountNo],tblCOA[Category],"Unmapped")</f>
        <v>Revenue</v>
      </c>
      <c r="I725" s="4">
        <f t="shared" si="33"/>
        <v>-12831.26</v>
      </c>
      <c r="J725">
        <f t="shared" si="34"/>
        <v>2024</v>
      </c>
      <c r="K725" s="5">
        <f t="shared" si="35"/>
        <v>45413</v>
      </c>
    </row>
    <row r="726" spans="1:11" x14ac:dyDescent="0.25">
      <c r="A726" t="s">
        <v>1278</v>
      </c>
      <c r="B726" s="3">
        <v>45445</v>
      </c>
      <c r="C726">
        <v>5010</v>
      </c>
      <c r="D726" s="1">
        <v>18598.37</v>
      </c>
      <c r="E726" s="1">
        <v>0</v>
      </c>
      <c r="F726" t="s">
        <v>1279</v>
      </c>
      <c r="G726" t="str">
        <f>_xlfn.XLOOKUP(C726,tblCOA[AccountNo],tblCOA[AccountName],"Unmapped")</f>
        <v>Cost of Goods Sold</v>
      </c>
      <c r="H726" t="str">
        <f>_xlfn.XLOOKUP(C726,tblCOA[AccountNo],tblCOA[Category],"Unmapped")</f>
        <v>Expenses</v>
      </c>
      <c r="I726" s="4">
        <f t="shared" si="33"/>
        <v>18598.37</v>
      </c>
      <c r="J726">
        <f t="shared" si="34"/>
        <v>2024</v>
      </c>
      <c r="K726" s="5">
        <f t="shared" si="35"/>
        <v>45444</v>
      </c>
    </row>
    <row r="727" spans="1:11" x14ac:dyDescent="0.25">
      <c r="A727" t="s">
        <v>1280</v>
      </c>
      <c r="B727" s="3">
        <v>45445</v>
      </c>
      <c r="C727">
        <v>2010</v>
      </c>
      <c r="D727" s="1">
        <v>0</v>
      </c>
      <c r="E727" s="1">
        <v>18598.37</v>
      </c>
      <c r="F727" t="s">
        <v>1281</v>
      </c>
      <c r="G727" t="str">
        <f>_xlfn.XLOOKUP(C727,tblCOA[AccountNo],tblCOA[AccountName],"Unmapped")</f>
        <v>Accounts Payable</v>
      </c>
      <c r="H727" t="str">
        <f>_xlfn.XLOOKUP(C727,tblCOA[AccountNo],tblCOA[Category],"Unmapped")</f>
        <v>Liabilities</v>
      </c>
      <c r="I727" s="4">
        <f t="shared" si="33"/>
        <v>-18598.37</v>
      </c>
      <c r="J727">
        <f t="shared" si="34"/>
        <v>2024</v>
      </c>
      <c r="K727" s="5">
        <f t="shared" si="35"/>
        <v>45444</v>
      </c>
    </row>
    <row r="728" spans="1:11" x14ac:dyDescent="0.25">
      <c r="A728" t="s">
        <v>550</v>
      </c>
      <c r="B728" s="3">
        <v>45446</v>
      </c>
      <c r="C728">
        <v>5010</v>
      </c>
      <c r="D728" s="1">
        <v>12465.05</v>
      </c>
      <c r="E728" s="1">
        <v>0</v>
      </c>
      <c r="F728" t="s">
        <v>551</v>
      </c>
      <c r="G728" t="str">
        <f>_xlfn.XLOOKUP(C728,tblCOA[AccountNo],tblCOA[AccountName],"Unmapped")</f>
        <v>Cost of Goods Sold</v>
      </c>
      <c r="H728" t="str">
        <f>_xlfn.XLOOKUP(C728,tblCOA[AccountNo],tblCOA[Category],"Unmapped")</f>
        <v>Expenses</v>
      </c>
      <c r="I728" s="4">
        <f t="shared" si="33"/>
        <v>12465.05</v>
      </c>
      <c r="J728">
        <f t="shared" si="34"/>
        <v>2024</v>
      </c>
      <c r="K728" s="5">
        <f t="shared" si="35"/>
        <v>45444</v>
      </c>
    </row>
    <row r="729" spans="1:11" x14ac:dyDescent="0.25">
      <c r="A729" t="s">
        <v>552</v>
      </c>
      <c r="B729" s="3">
        <v>45446</v>
      </c>
      <c r="C729">
        <v>2010</v>
      </c>
      <c r="D729" s="1">
        <v>0</v>
      </c>
      <c r="E729" s="1">
        <v>12465.05</v>
      </c>
      <c r="F729" t="s">
        <v>553</v>
      </c>
      <c r="G729" t="str">
        <f>_xlfn.XLOOKUP(C729,tblCOA[AccountNo],tblCOA[AccountName],"Unmapped")</f>
        <v>Accounts Payable</v>
      </c>
      <c r="H729" t="str">
        <f>_xlfn.XLOOKUP(C729,tblCOA[AccountNo],tblCOA[Category],"Unmapped")</f>
        <v>Liabilities</v>
      </c>
      <c r="I729" s="4">
        <f t="shared" si="33"/>
        <v>-12465.05</v>
      </c>
      <c r="J729">
        <f t="shared" si="34"/>
        <v>2024</v>
      </c>
      <c r="K729" s="5">
        <f t="shared" si="35"/>
        <v>45444</v>
      </c>
    </row>
    <row r="730" spans="1:11" x14ac:dyDescent="0.25">
      <c r="A730" t="s">
        <v>898</v>
      </c>
      <c r="B730" s="3">
        <v>45446</v>
      </c>
      <c r="C730">
        <v>1200</v>
      </c>
      <c r="D730" s="1">
        <v>1394.59</v>
      </c>
      <c r="E730" s="1">
        <v>0</v>
      </c>
      <c r="F730" t="s">
        <v>899</v>
      </c>
      <c r="G730" t="str">
        <f>_xlfn.XLOOKUP(C730,tblCOA[AccountNo],tblCOA[AccountName],"Unmapped")</f>
        <v>Accounts Receivable</v>
      </c>
      <c r="H730" t="str">
        <f>_xlfn.XLOOKUP(C730,tblCOA[AccountNo],tblCOA[Category],"Unmapped")</f>
        <v>Assets</v>
      </c>
      <c r="I730" s="4">
        <f t="shared" si="33"/>
        <v>1394.59</v>
      </c>
      <c r="J730">
        <f t="shared" si="34"/>
        <v>2024</v>
      </c>
      <c r="K730" s="5">
        <f t="shared" si="35"/>
        <v>45444</v>
      </c>
    </row>
    <row r="731" spans="1:11" x14ac:dyDescent="0.25">
      <c r="A731" t="s">
        <v>900</v>
      </c>
      <c r="B731" s="3">
        <v>45446</v>
      </c>
      <c r="C731">
        <v>4010</v>
      </c>
      <c r="D731" s="1">
        <v>0</v>
      </c>
      <c r="E731" s="1">
        <v>1394.59</v>
      </c>
      <c r="F731" t="s">
        <v>901</v>
      </c>
      <c r="G731" t="str">
        <f>_xlfn.XLOOKUP(C731,tblCOA[AccountNo],tblCOA[AccountName],"Unmapped")</f>
        <v>Product Sales</v>
      </c>
      <c r="H731" t="str">
        <f>_xlfn.XLOOKUP(C731,tblCOA[AccountNo],tblCOA[Category],"Unmapped")</f>
        <v>Revenue</v>
      </c>
      <c r="I731" s="4">
        <f t="shared" si="33"/>
        <v>-1394.59</v>
      </c>
      <c r="J731">
        <f t="shared" si="34"/>
        <v>2024</v>
      </c>
      <c r="K731" s="5">
        <f t="shared" si="35"/>
        <v>45444</v>
      </c>
    </row>
    <row r="732" spans="1:11" x14ac:dyDescent="0.25">
      <c r="A732" t="s">
        <v>3294</v>
      </c>
      <c r="B732" s="3">
        <v>45449</v>
      </c>
      <c r="C732">
        <v>5010</v>
      </c>
      <c r="D732" s="1">
        <v>5762.77</v>
      </c>
      <c r="E732" s="1">
        <v>0</v>
      </c>
      <c r="F732" t="s">
        <v>3295</v>
      </c>
      <c r="G732" t="str">
        <f>_xlfn.XLOOKUP(C732,tblCOA[AccountNo],tblCOA[AccountName],"Unmapped")</f>
        <v>Cost of Goods Sold</v>
      </c>
      <c r="H732" t="str">
        <f>_xlfn.XLOOKUP(C732,tblCOA[AccountNo],tblCOA[Category],"Unmapped")</f>
        <v>Expenses</v>
      </c>
      <c r="I732" s="4">
        <f t="shared" si="33"/>
        <v>5762.77</v>
      </c>
      <c r="J732">
        <f t="shared" si="34"/>
        <v>2024</v>
      </c>
      <c r="K732" s="5">
        <f t="shared" si="35"/>
        <v>45444</v>
      </c>
    </row>
    <row r="733" spans="1:11" x14ac:dyDescent="0.25">
      <c r="A733" t="s">
        <v>3296</v>
      </c>
      <c r="B733" s="3">
        <v>45449</v>
      </c>
      <c r="C733">
        <v>2010</v>
      </c>
      <c r="D733" s="1">
        <v>0</v>
      </c>
      <c r="E733" s="1">
        <v>5762.77</v>
      </c>
      <c r="F733" t="s">
        <v>3297</v>
      </c>
      <c r="G733" t="str">
        <f>_xlfn.XLOOKUP(C733,tblCOA[AccountNo],tblCOA[AccountName],"Unmapped")</f>
        <v>Accounts Payable</v>
      </c>
      <c r="H733" t="str">
        <f>_xlfn.XLOOKUP(C733,tblCOA[AccountNo],tblCOA[Category],"Unmapped")</f>
        <v>Liabilities</v>
      </c>
      <c r="I733" s="4">
        <f t="shared" si="33"/>
        <v>-5762.77</v>
      </c>
      <c r="J733">
        <f t="shared" si="34"/>
        <v>2024</v>
      </c>
      <c r="K733" s="5">
        <f t="shared" si="35"/>
        <v>45444</v>
      </c>
    </row>
    <row r="734" spans="1:11" x14ac:dyDescent="0.25">
      <c r="A734" t="s">
        <v>882</v>
      </c>
      <c r="B734" s="3">
        <v>45449</v>
      </c>
      <c r="C734">
        <v>1200</v>
      </c>
      <c r="D734" s="1">
        <v>7334.88</v>
      </c>
      <c r="E734" s="1">
        <v>0</v>
      </c>
      <c r="F734" t="s">
        <v>883</v>
      </c>
      <c r="G734" t="str">
        <f>_xlfn.XLOOKUP(C734,tblCOA[AccountNo],tblCOA[AccountName],"Unmapped")</f>
        <v>Accounts Receivable</v>
      </c>
      <c r="H734" t="str">
        <f>_xlfn.XLOOKUP(C734,tblCOA[AccountNo],tblCOA[Category],"Unmapped")</f>
        <v>Assets</v>
      </c>
      <c r="I734" s="4">
        <f t="shared" si="33"/>
        <v>7334.88</v>
      </c>
      <c r="J734">
        <f t="shared" si="34"/>
        <v>2024</v>
      </c>
      <c r="K734" s="5">
        <f t="shared" si="35"/>
        <v>45444</v>
      </c>
    </row>
    <row r="735" spans="1:11" x14ac:dyDescent="0.25">
      <c r="A735" t="s">
        <v>884</v>
      </c>
      <c r="B735" s="3">
        <v>45449</v>
      </c>
      <c r="C735">
        <v>4010</v>
      </c>
      <c r="D735" s="1">
        <v>0</v>
      </c>
      <c r="E735" s="1">
        <v>7334.88</v>
      </c>
      <c r="F735" t="s">
        <v>885</v>
      </c>
      <c r="G735" t="str">
        <f>_xlfn.XLOOKUP(C735,tblCOA[AccountNo],tblCOA[AccountName],"Unmapped")</f>
        <v>Product Sales</v>
      </c>
      <c r="H735" t="str">
        <f>_xlfn.XLOOKUP(C735,tblCOA[AccountNo],tblCOA[Category],"Unmapped")</f>
        <v>Revenue</v>
      </c>
      <c r="I735" s="4">
        <f t="shared" si="33"/>
        <v>-7334.88</v>
      </c>
      <c r="J735">
        <f t="shared" si="34"/>
        <v>2024</v>
      </c>
      <c r="K735" s="5">
        <f t="shared" si="35"/>
        <v>45444</v>
      </c>
    </row>
    <row r="736" spans="1:11" x14ac:dyDescent="0.25">
      <c r="A736" t="s">
        <v>2950</v>
      </c>
      <c r="B736" s="3">
        <v>45451</v>
      </c>
      <c r="C736">
        <v>5010</v>
      </c>
      <c r="D736" s="1">
        <v>13011.75</v>
      </c>
      <c r="E736" s="1">
        <v>0</v>
      </c>
      <c r="F736" t="s">
        <v>2951</v>
      </c>
      <c r="G736" t="str">
        <f>_xlfn.XLOOKUP(C736,tblCOA[AccountNo],tblCOA[AccountName],"Unmapped")</f>
        <v>Cost of Goods Sold</v>
      </c>
      <c r="H736" t="str">
        <f>_xlfn.XLOOKUP(C736,tblCOA[AccountNo],tblCOA[Category],"Unmapped")</f>
        <v>Expenses</v>
      </c>
      <c r="I736" s="4">
        <f t="shared" si="33"/>
        <v>13011.75</v>
      </c>
      <c r="J736">
        <f t="shared" si="34"/>
        <v>2024</v>
      </c>
      <c r="K736" s="5">
        <f t="shared" si="35"/>
        <v>45444</v>
      </c>
    </row>
    <row r="737" spans="1:11" x14ac:dyDescent="0.25">
      <c r="A737" t="s">
        <v>2952</v>
      </c>
      <c r="B737" s="3">
        <v>45451</v>
      </c>
      <c r="C737">
        <v>2010</v>
      </c>
      <c r="D737" s="1">
        <v>0</v>
      </c>
      <c r="E737" s="1">
        <v>13011.75</v>
      </c>
      <c r="F737" t="s">
        <v>2953</v>
      </c>
      <c r="G737" t="str">
        <f>_xlfn.XLOOKUP(C737,tblCOA[AccountNo],tblCOA[AccountName],"Unmapped")</f>
        <v>Accounts Payable</v>
      </c>
      <c r="H737" t="str">
        <f>_xlfn.XLOOKUP(C737,tblCOA[AccountNo],tblCOA[Category],"Unmapped")</f>
        <v>Liabilities</v>
      </c>
      <c r="I737" s="4">
        <f t="shared" si="33"/>
        <v>-13011.75</v>
      </c>
      <c r="J737">
        <f t="shared" si="34"/>
        <v>2024</v>
      </c>
      <c r="K737" s="5">
        <f t="shared" si="35"/>
        <v>45444</v>
      </c>
    </row>
    <row r="738" spans="1:11" x14ac:dyDescent="0.25">
      <c r="A738" t="s">
        <v>302</v>
      </c>
      <c r="B738" s="3">
        <v>45452</v>
      </c>
      <c r="C738">
        <v>5010</v>
      </c>
      <c r="D738" s="1">
        <v>9565.9</v>
      </c>
      <c r="E738" s="1">
        <v>0</v>
      </c>
      <c r="F738" t="s">
        <v>303</v>
      </c>
      <c r="G738" t="str">
        <f>_xlfn.XLOOKUP(C738,tblCOA[AccountNo],tblCOA[AccountName],"Unmapped")</f>
        <v>Cost of Goods Sold</v>
      </c>
      <c r="H738" t="str">
        <f>_xlfn.XLOOKUP(C738,tblCOA[AccountNo],tblCOA[Category],"Unmapped")</f>
        <v>Expenses</v>
      </c>
      <c r="I738" s="4">
        <f t="shared" si="33"/>
        <v>9565.9</v>
      </c>
      <c r="J738">
        <f t="shared" si="34"/>
        <v>2024</v>
      </c>
      <c r="K738" s="5">
        <f t="shared" si="35"/>
        <v>45444</v>
      </c>
    </row>
    <row r="739" spans="1:11" x14ac:dyDescent="0.25">
      <c r="A739" t="s">
        <v>304</v>
      </c>
      <c r="B739" s="3">
        <v>45452</v>
      </c>
      <c r="C739">
        <v>2010</v>
      </c>
      <c r="D739" s="1">
        <v>0</v>
      </c>
      <c r="E739" s="1">
        <v>9565.9</v>
      </c>
      <c r="F739" t="s">
        <v>305</v>
      </c>
      <c r="G739" t="str">
        <f>_xlfn.XLOOKUP(C739,tblCOA[AccountNo],tblCOA[AccountName],"Unmapped")</f>
        <v>Accounts Payable</v>
      </c>
      <c r="H739" t="str">
        <f>_xlfn.XLOOKUP(C739,tblCOA[AccountNo],tblCOA[Category],"Unmapped")</f>
        <v>Liabilities</v>
      </c>
      <c r="I739" s="4">
        <f t="shared" si="33"/>
        <v>-9565.9</v>
      </c>
      <c r="J739">
        <f t="shared" si="34"/>
        <v>2024</v>
      </c>
      <c r="K739" s="5">
        <f t="shared" si="35"/>
        <v>45444</v>
      </c>
    </row>
    <row r="740" spans="1:11" x14ac:dyDescent="0.25">
      <c r="A740" t="s">
        <v>2226</v>
      </c>
      <c r="B740" s="3">
        <v>45453</v>
      </c>
      <c r="C740">
        <v>1200</v>
      </c>
      <c r="D740" s="1">
        <v>31127.65</v>
      </c>
      <c r="E740" s="1">
        <v>0</v>
      </c>
      <c r="F740" t="s">
        <v>2227</v>
      </c>
      <c r="G740" t="str">
        <f>_xlfn.XLOOKUP(C740,tblCOA[AccountNo],tblCOA[AccountName],"Unmapped")</f>
        <v>Accounts Receivable</v>
      </c>
      <c r="H740" t="str">
        <f>_xlfn.XLOOKUP(C740,tblCOA[AccountNo],tblCOA[Category],"Unmapped")</f>
        <v>Assets</v>
      </c>
      <c r="I740" s="4">
        <f t="shared" si="33"/>
        <v>31127.65</v>
      </c>
      <c r="J740">
        <f t="shared" si="34"/>
        <v>2024</v>
      </c>
      <c r="K740" s="5">
        <f t="shared" si="35"/>
        <v>45444</v>
      </c>
    </row>
    <row r="741" spans="1:11" x14ac:dyDescent="0.25">
      <c r="A741" t="s">
        <v>2228</v>
      </c>
      <c r="B741" s="3">
        <v>45453</v>
      </c>
      <c r="C741">
        <v>4010</v>
      </c>
      <c r="D741" s="1">
        <v>0</v>
      </c>
      <c r="E741" s="1">
        <v>31127.65</v>
      </c>
      <c r="F741" t="s">
        <v>2229</v>
      </c>
      <c r="G741" t="str">
        <f>_xlfn.XLOOKUP(C741,tblCOA[AccountNo],tblCOA[AccountName],"Unmapped")</f>
        <v>Product Sales</v>
      </c>
      <c r="H741" t="str">
        <f>_xlfn.XLOOKUP(C741,tblCOA[AccountNo],tblCOA[Category],"Unmapped")</f>
        <v>Revenue</v>
      </c>
      <c r="I741" s="4">
        <f t="shared" si="33"/>
        <v>-31127.65</v>
      </c>
      <c r="J741">
        <f t="shared" si="34"/>
        <v>2024</v>
      </c>
      <c r="K741" s="5">
        <f t="shared" si="35"/>
        <v>45444</v>
      </c>
    </row>
    <row r="742" spans="1:11" x14ac:dyDescent="0.25">
      <c r="A742" t="s">
        <v>3710</v>
      </c>
      <c r="B742" s="3">
        <v>45453</v>
      </c>
      <c r="C742">
        <v>5010</v>
      </c>
      <c r="D742" s="1">
        <v>15725.98</v>
      </c>
      <c r="E742" s="1">
        <v>0</v>
      </c>
      <c r="F742" t="s">
        <v>3711</v>
      </c>
      <c r="G742" t="str">
        <f>_xlfn.XLOOKUP(C742,tblCOA[AccountNo],tblCOA[AccountName],"Unmapped")</f>
        <v>Cost of Goods Sold</v>
      </c>
      <c r="H742" t="str">
        <f>_xlfn.XLOOKUP(C742,tblCOA[AccountNo],tblCOA[Category],"Unmapped")</f>
        <v>Expenses</v>
      </c>
      <c r="I742" s="4">
        <f t="shared" si="33"/>
        <v>15725.98</v>
      </c>
      <c r="J742">
        <f t="shared" si="34"/>
        <v>2024</v>
      </c>
      <c r="K742" s="5">
        <f t="shared" si="35"/>
        <v>45444</v>
      </c>
    </row>
    <row r="743" spans="1:11" x14ac:dyDescent="0.25">
      <c r="A743" t="s">
        <v>3712</v>
      </c>
      <c r="B743" s="3">
        <v>45453</v>
      </c>
      <c r="C743">
        <v>2010</v>
      </c>
      <c r="D743" s="1">
        <v>0</v>
      </c>
      <c r="E743" s="1">
        <v>15725.98</v>
      </c>
      <c r="F743" t="s">
        <v>3713</v>
      </c>
      <c r="G743" t="str">
        <f>_xlfn.XLOOKUP(C743,tblCOA[AccountNo],tblCOA[AccountName],"Unmapped")</f>
        <v>Accounts Payable</v>
      </c>
      <c r="H743" t="str">
        <f>_xlfn.XLOOKUP(C743,tblCOA[AccountNo],tblCOA[Category],"Unmapped")</f>
        <v>Liabilities</v>
      </c>
      <c r="I743" s="4">
        <f t="shared" si="33"/>
        <v>-15725.98</v>
      </c>
      <c r="J743">
        <f t="shared" si="34"/>
        <v>2024</v>
      </c>
      <c r="K743" s="5">
        <f t="shared" si="35"/>
        <v>45444</v>
      </c>
    </row>
    <row r="744" spans="1:11" x14ac:dyDescent="0.25">
      <c r="A744" t="s">
        <v>2526</v>
      </c>
      <c r="B744" s="3">
        <v>45455</v>
      </c>
      <c r="C744">
        <v>5010</v>
      </c>
      <c r="D744" s="1">
        <v>11781.53</v>
      </c>
      <c r="E744" s="1">
        <v>0</v>
      </c>
      <c r="F744" t="s">
        <v>2527</v>
      </c>
      <c r="G744" t="str">
        <f>_xlfn.XLOOKUP(C744,tblCOA[AccountNo],tblCOA[AccountName],"Unmapped")</f>
        <v>Cost of Goods Sold</v>
      </c>
      <c r="H744" t="str">
        <f>_xlfn.XLOOKUP(C744,tblCOA[AccountNo],tblCOA[Category],"Unmapped")</f>
        <v>Expenses</v>
      </c>
      <c r="I744" s="4">
        <f t="shared" si="33"/>
        <v>11781.53</v>
      </c>
      <c r="J744">
        <f t="shared" si="34"/>
        <v>2024</v>
      </c>
      <c r="K744" s="5">
        <f t="shared" si="35"/>
        <v>45444</v>
      </c>
    </row>
    <row r="745" spans="1:11" x14ac:dyDescent="0.25">
      <c r="A745" t="s">
        <v>2528</v>
      </c>
      <c r="B745" s="3">
        <v>45455</v>
      </c>
      <c r="C745">
        <v>2010</v>
      </c>
      <c r="D745" s="1">
        <v>0</v>
      </c>
      <c r="E745" s="1">
        <v>11781.53</v>
      </c>
      <c r="F745" t="s">
        <v>2529</v>
      </c>
      <c r="G745" t="str">
        <f>_xlfn.XLOOKUP(C745,tblCOA[AccountNo],tblCOA[AccountName],"Unmapped")</f>
        <v>Accounts Payable</v>
      </c>
      <c r="H745" t="str">
        <f>_xlfn.XLOOKUP(C745,tblCOA[AccountNo],tblCOA[Category],"Unmapped")</f>
        <v>Liabilities</v>
      </c>
      <c r="I745" s="4">
        <f t="shared" si="33"/>
        <v>-11781.53</v>
      </c>
      <c r="J745">
        <f t="shared" si="34"/>
        <v>2024</v>
      </c>
      <c r="K745" s="5">
        <f t="shared" si="35"/>
        <v>45444</v>
      </c>
    </row>
    <row r="746" spans="1:11" x14ac:dyDescent="0.25">
      <c r="A746" t="s">
        <v>3350</v>
      </c>
      <c r="B746" s="3">
        <v>45455</v>
      </c>
      <c r="C746">
        <v>5010</v>
      </c>
      <c r="D746" s="1">
        <v>7997.98</v>
      </c>
      <c r="E746" s="1">
        <v>0</v>
      </c>
      <c r="F746" t="s">
        <v>3351</v>
      </c>
      <c r="G746" t="str">
        <f>_xlfn.XLOOKUP(C746,tblCOA[AccountNo],tblCOA[AccountName],"Unmapped")</f>
        <v>Cost of Goods Sold</v>
      </c>
      <c r="H746" t="str">
        <f>_xlfn.XLOOKUP(C746,tblCOA[AccountNo],tblCOA[Category],"Unmapped")</f>
        <v>Expenses</v>
      </c>
      <c r="I746" s="4">
        <f t="shared" si="33"/>
        <v>7997.98</v>
      </c>
      <c r="J746">
        <f t="shared" si="34"/>
        <v>2024</v>
      </c>
      <c r="K746" s="5">
        <f t="shared" si="35"/>
        <v>45444</v>
      </c>
    </row>
    <row r="747" spans="1:11" x14ac:dyDescent="0.25">
      <c r="A747" t="s">
        <v>3352</v>
      </c>
      <c r="B747" s="3">
        <v>45455</v>
      </c>
      <c r="C747">
        <v>2010</v>
      </c>
      <c r="D747" s="1">
        <v>0</v>
      </c>
      <c r="E747" s="1">
        <v>7997.98</v>
      </c>
      <c r="F747" t="s">
        <v>3353</v>
      </c>
      <c r="G747" t="str">
        <f>_xlfn.XLOOKUP(C747,tblCOA[AccountNo],tblCOA[AccountName],"Unmapped")</f>
        <v>Accounts Payable</v>
      </c>
      <c r="H747" t="str">
        <f>_xlfn.XLOOKUP(C747,tblCOA[AccountNo],tblCOA[Category],"Unmapped")</f>
        <v>Liabilities</v>
      </c>
      <c r="I747" s="4">
        <f t="shared" si="33"/>
        <v>-7997.98</v>
      </c>
      <c r="J747">
        <f t="shared" si="34"/>
        <v>2024</v>
      </c>
      <c r="K747" s="5">
        <f t="shared" si="35"/>
        <v>45444</v>
      </c>
    </row>
    <row r="748" spans="1:11" x14ac:dyDescent="0.25">
      <c r="A748" t="s">
        <v>1950</v>
      </c>
      <c r="B748" s="3">
        <v>45455</v>
      </c>
      <c r="C748">
        <v>5010</v>
      </c>
      <c r="D748" s="1">
        <v>5997.45</v>
      </c>
      <c r="E748" s="1">
        <v>0</v>
      </c>
      <c r="F748" t="s">
        <v>1951</v>
      </c>
      <c r="G748" t="str">
        <f>_xlfn.XLOOKUP(C748,tblCOA[AccountNo],tblCOA[AccountName],"Unmapped")</f>
        <v>Cost of Goods Sold</v>
      </c>
      <c r="H748" t="str">
        <f>_xlfn.XLOOKUP(C748,tblCOA[AccountNo],tblCOA[Category],"Unmapped")</f>
        <v>Expenses</v>
      </c>
      <c r="I748" s="4">
        <f t="shared" si="33"/>
        <v>5997.45</v>
      </c>
      <c r="J748">
        <f t="shared" si="34"/>
        <v>2024</v>
      </c>
      <c r="K748" s="5">
        <f t="shared" si="35"/>
        <v>45444</v>
      </c>
    </row>
    <row r="749" spans="1:11" x14ac:dyDescent="0.25">
      <c r="A749" t="s">
        <v>1952</v>
      </c>
      <c r="B749" s="3">
        <v>45455</v>
      </c>
      <c r="C749">
        <v>2010</v>
      </c>
      <c r="D749" s="1">
        <v>0</v>
      </c>
      <c r="E749" s="1">
        <v>5997.45</v>
      </c>
      <c r="F749" t="s">
        <v>1953</v>
      </c>
      <c r="G749" t="str">
        <f>_xlfn.XLOOKUP(C749,tblCOA[AccountNo],tblCOA[AccountName],"Unmapped")</f>
        <v>Accounts Payable</v>
      </c>
      <c r="H749" t="str">
        <f>_xlfn.XLOOKUP(C749,tblCOA[AccountNo],tblCOA[Category],"Unmapped")</f>
        <v>Liabilities</v>
      </c>
      <c r="I749" s="4">
        <f t="shared" si="33"/>
        <v>-5997.45</v>
      </c>
      <c r="J749">
        <f t="shared" si="34"/>
        <v>2024</v>
      </c>
      <c r="K749" s="5">
        <f t="shared" si="35"/>
        <v>45444</v>
      </c>
    </row>
    <row r="750" spans="1:11" x14ac:dyDescent="0.25">
      <c r="A750" t="s">
        <v>502</v>
      </c>
      <c r="B750" s="3">
        <v>45458</v>
      </c>
      <c r="C750">
        <v>5010</v>
      </c>
      <c r="D750" s="1">
        <v>15881.73</v>
      </c>
      <c r="E750" s="1">
        <v>0</v>
      </c>
      <c r="F750" t="s">
        <v>503</v>
      </c>
      <c r="G750" t="str">
        <f>_xlfn.XLOOKUP(C750,tblCOA[AccountNo],tblCOA[AccountName],"Unmapped")</f>
        <v>Cost of Goods Sold</v>
      </c>
      <c r="H750" t="str">
        <f>_xlfn.XLOOKUP(C750,tblCOA[AccountNo],tblCOA[Category],"Unmapped")</f>
        <v>Expenses</v>
      </c>
      <c r="I750" s="4">
        <f t="shared" si="33"/>
        <v>15881.73</v>
      </c>
      <c r="J750">
        <f t="shared" si="34"/>
        <v>2024</v>
      </c>
      <c r="K750" s="5">
        <f t="shared" si="35"/>
        <v>45444</v>
      </c>
    </row>
    <row r="751" spans="1:11" x14ac:dyDescent="0.25">
      <c r="A751" t="s">
        <v>504</v>
      </c>
      <c r="B751" s="3">
        <v>45458</v>
      </c>
      <c r="C751">
        <v>2010</v>
      </c>
      <c r="D751" s="1">
        <v>0</v>
      </c>
      <c r="E751" s="1">
        <v>15881.73</v>
      </c>
      <c r="F751" t="s">
        <v>505</v>
      </c>
      <c r="G751" t="str">
        <f>_xlfn.XLOOKUP(C751,tblCOA[AccountNo],tblCOA[AccountName],"Unmapped")</f>
        <v>Accounts Payable</v>
      </c>
      <c r="H751" t="str">
        <f>_xlfn.XLOOKUP(C751,tblCOA[AccountNo],tblCOA[Category],"Unmapped")</f>
        <v>Liabilities</v>
      </c>
      <c r="I751" s="4">
        <f t="shared" si="33"/>
        <v>-15881.73</v>
      </c>
      <c r="J751">
        <f t="shared" si="34"/>
        <v>2024</v>
      </c>
      <c r="K751" s="5">
        <f t="shared" si="35"/>
        <v>45444</v>
      </c>
    </row>
    <row r="752" spans="1:11" x14ac:dyDescent="0.25">
      <c r="A752" t="s">
        <v>726</v>
      </c>
      <c r="B752" s="3">
        <v>45458</v>
      </c>
      <c r="C752">
        <v>5010</v>
      </c>
      <c r="D752" s="1">
        <v>6125.56</v>
      </c>
      <c r="E752" s="1">
        <v>0</v>
      </c>
      <c r="F752" t="s">
        <v>727</v>
      </c>
      <c r="G752" t="str">
        <f>_xlfn.XLOOKUP(C752,tblCOA[AccountNo],tblCOA[AccountName],"Unmapped")</f>
        <v>Cost of Goods Sold</v>
      </c>
      <c r="H752" t="str">
        <f>_xlfn.XLOOKUP(C752,tblCOA[AccountNo],tblCOA[Category],"Unmapped")</f>
        <v>Expenses</v>
      </c>
      <c r="I752" s="4">
        <f t="shared" si="33"/>
        <v>6125.56</v>
      </c>
      <c r="J752">
        <f t="shared" si="34"/>
        <v>2024</v>
      </c>
      <c r="K752" s="5">
        <f t="shared" si="35"/>
        <v>45444</v>
      </c>
    </row>
    <row r="753" spans="1:11" x14ac:dyDescent="0.25">
      <c r="A753" t="s">
        <v>728</v>
      </c>
      <c r="B753" s="3">
        <v>45458</v>
      </c>
      <c r="C753">
        <v>2010</v>
      </c>
      <c r="D753" s="1">
        <v>0</v>
      </c>
      <c r="E753" s="1">
        <v>6125.56</v>
      </c>
      <c r="F753" t="s">
        <v>729</v>
      </c>
      <c r="G753" t="str">
        <f>_xlfn.XLOOKUP(C753,tblCOA[AccountNo],tblCOA[AccountName],"Unmapped")</f>
        <v>Accounts Payable</v>
      </c>
      <c r="H753" t="str">
        <f>_xlfn.XLOOKUP(C753,tblCOA[AccountNo],tblCOA[Category],"Unmapped")</f>
        <v>Liabilities</v>
      </c>
      <c r="I753" s="4">
        <f t="shared" si="33"/>
        <v>-6125.56</v>
      </c>
      <c r="J753">
        <f t="shared" si="34"/>
        <v>2024</v>
      </c>
      <c r="K753" s="5">
        <f t="shared" si="35"/>
        <v>45444</v>
      </c>
    </row>
    <row r="754" spans="1:11" x14ac:dyDescent="0.25">
      <c r="A754" t="s">
        <v>6</v>
      </c>
      <c r="B754" s="3">
        <v>45459</v>
      </c>
      <c r="C754">
        <v>5010</v>
      </c>
      <c r="D754" s="1">
        <v>9671.7999999999993</v>
      </c>
      <c r="E754" s="1">
        <v>0</v>
      </c>
      <c r="F754" t="s">
        <v>7</v>
      </c>
      <c r="G754" t="str">
        <f>_xlfn.XLOOKUP(C754,tblCOA[AccountNo],tblCOA[AccountName],"Unmapped")</f>
        <v>Cost of Goods Sold</v>
      </c>
      <c r="H754" t="str">
        <f>_xlfn.XLOOKUP(C754,tblCOA[AccountNo],tblCOA[Category],"Unmapped")</f>
        <v>Expenses</v>
      </c>
      <c r="I754" s="4">
        <f t="shared" si="33"/>
        <v>9671.7999999999993</v>
      </c>
      <c r="J754">
        <f t="shared" si="34"/>
        <v>2024</v>
      </c>
      <c r="K754" s="5">
        <f t="shared" si="35"/>
        <v>45444</v>
      </c>
    </row>
    <row r="755" spans="1:11" x14ac:dyDescent="0.25">
      <c r="A755" t="s">
        <v>8</v>
      </c>
      <c r="B755" s="3">
        <v>45459</v>
      </c>
      <c r="C755">
        <v>2010</v>
      </c>
      <c r="D755" s="1">
        <v>0</v>
      </c>
      <c r="E755" s="1">
        <v>9671.7999999999993</v>
      </c>
      <c r="F755" t="s">
        <v>9</v>
      </c>
      <c r="G755" t="str">
        <f>_xlfn.XLOOKUP(C755,tblCOA[AccountNo],tblCOA[AccountName],"Unmapped")</f>
        <v>Accounts Payable</v>
      </c>
      <c r="H755" t="str">
        <f>_xlfn.XLOOKUP(C755,tblCOA[AccountNo],tblCOA[Category],"Unmapped")</f>
        <v>Liabilities</v>
      </c>
      <c r="I755" s="4">
        <f t="shared" si="33"/>
        <v>-9671.7999999999993</v>
      </c>
      <c r="J755">
        <f t="shared" si="34"/>
        <v>2024</v>
      </c>
      <c r="K755" s="5">
        <f t="shared" si="35"/>
        <v>45444</v>
      </c>
    </row>
    <row r="756" spans="1:11" x14ac:dyDescent="0.25">
      <c r="A756" t="s">
        <v>2414</v>
      </c>
      <c r="B756" s="3">
        <v>45462</v>
      </c>
      <c r="C756">
        <v>5010</v>
      </c>
      <c r="D756" s="1">
        <v>18359.57</v>
      </c>
      <c r="E756" s="1">
        <v>0</v>
      </c>
      <c r="F756" t="s">
        <v>2415</v>
      </c>
      <c r="G756" t="str">
        <f>_xlfn.XLOOKUP(C756,tblCOA[AccountNo],tblCOA[AccountName],"Unmapped")</f>
        <v>Cost of Goods Sold</v>
      </c>
      <c r="H756" t="str">
        <f>_xlfn.XLOOKUP(C756,tblCOA[AccountNo],tblCOA[Category],"Unmapped")</f>
        <v>Expenses</v>
      </c>
      <c r="I756" s="4">
        <f t="shared" si="33"/>
        <v>18359.57</v>
      </c>
      <c r="J756">
        <f t="shared" si="34"/>
        <v>2024</v>
      </c>
      <c r="K756" s="5">
        <f t="shared" si="35"/>
        <v>45444</v>
      </c>
    </row>
    <row r="757" spans="1:11" x14ac:dyDescent="0.25">
      <c r="A757" t="s">
        <v>2416</v>
      </c>
      <c r="B757" s="3">
        <v>45462</v>
      </c>
      <c r="C757">
        <v>2010</v>
      </c>
      <c r="D757" s="1">
        <v>0</v>
      </c>
      <c r="E757" s="1">
        <v>18359.57</v>
      </c>
      <c r="F757" t="s">
        <v>2417</v>
      </c>
      <c r="G757" t="str">
        <f>_xlfn.XLOOKUP(C757,tblCOA[AccountNo],tblCOA[AccountName],"Unmapped")</f>
        <v>Accounts Payable</v>
      </c>
      <c r="H757" t="str">
        <f>_xlfn.XLOOKUP(C757,tblCOA[AccountNo],tblCOA[Category],"Unmapped")</f>
        <v>Liabilities</v>
      </c>
      <c r="I757" s="4">
        <f t="shared" si="33"/>
        <v>-18359.57</v>
      </c>
      <c r="J757">
        <f t="shared" si="34"/>
        <v>2024</v>
      </c>
      <c r="K757" s="5">
        <f t="shared" si="35"/>
        <v>45444</v>
      </c>
    </row>
    <row r="758" spans="1:11" x14ac:dyDescent="0.25">
      <c r="A758" t="s">
        <v>646</v>
      </c>
      <c r="B758" s="3">
        <v>45462</v>
      </c>
      <c r="C758">
        <v>5010</v>
      </c>
      <c r="D758" s="1">
        <v>6596.32</v>
      </c>
      <c r="E758" s="1">
        <v>0</v>
      </c>
      <c r="F758" t="s">
        <v>647</v>
      </c>
      <c r="G758" t="str">
        <f>_xlfn.XLOOKUP(C758,tblCOA[AccountNo],tblCOA[AccountName],"Unmapped")</f>
        <v>Cost of Goods Sold</v>
      </c>
      <c r="H758" t="str">
        <f>_xlfn.XLOOKUP(C758,tblCOA[AccountNo],tblCOA[Category],"Unmapped")</f>
        <v>Expenses</v>
      </c>
      <c r="I758" s="4">
        <f t="shared" si="33"/>
        <v>6596.32</v>
      </c>
      <c r="J758">
        <f t="shared" si="34"/>
        <v>2024</v>
      </c>
      <c r="K758" s="5">
        <f t="shared" si="35"/>
        <v>45444</v>
      </c>
    </row>
    <row r="759" spans="1:11" x14ac:dyDescent="0.25">
      <c r="A759" t="s">
        <v>648</v>
      </c>
      <c r="B759" s="3">
        <v>45462</v>
      </c>
      <c r="C759">
        <v>2010</v>
      </c>
      <c r="D759" s="1">
        <v>0</v>
      </c>
      <c r="E759" s="1">
        <v>6596.32</v>
      </c>
      <c r="F759" t="s">
        <v>649</v>
      </c>
      <c r="G759" t="str">
        <f>_xlfn.XLOOKUP(C759,tblCOA[AccountNo],tblCOA[AccountName],"Unmapped")</f>
        <v>Accounts Payable</v>
      </c>
      <c r="H759" t="str">
        <f>_xlfn.XLOOKUP(C759,tblCOA[AccountNo],tblCOA[Category],"Unmapped")</f>
        <v>Liabilities</v>
      </c>
      <c r="I759" s="4">
        <f t="shared" si="33"/>
        <v>-6596.32</v>
      </c>
      <c r="J759">
        <f t="shared" si="34"/>
        <v>2024</v>
      </c>
      <c r="K759" s="5">
        <f t="shared" si="35"/>
        <v>45444</v>
      </c>
    </row>
    <row r="760" spans="1:11" x14ac:dyDescent="0.25">
      <c r="A760" t="s">
        <v>3334</v>
      </c>
      <c r="B760" s="3">
        <v>45463</v>
      </c>
      <c r="C760">
        <v>5010</v>
      </c>
      <c r="D760" s="1">
        <v>9295.27</v>
      </c>
      <c r="E760" s="1">
        <v>0</v>
      </c>
      <c r="F760" t="s">
        <v>3335</v>
      </c>
      <c r="G760" t="str">
        <f>_xlfn.XLOOKUP(C760,tblCOA[AccountNo],tblCOA[AccountName],"Unmapped")</f>
        <v>Cost of Goods Sold</v>
      </c>
      <c r="H760" t="str">
        <f>_xlfn.XLOOKUP(C760,tblCOA[AccountNo],tblCOA[Category],"Unmapped")</f>
        <v>Expenses</v>
      </c>
      <c r="I760" s="4">
        <f t="shared" si="33"/>
        <v>9295.27</v>
      </c>
      <c r="J760">
        <f t="shared" si="34"/>
        <v>2024</v>
      </c>
      <c r="K760" s="5">
        <f t="shared" si="35"/>
        <v>45444</v>
      </c>
    </row>
    <row r="761" spans="1:11" x14ac:dyDescent="0.25">
      <c r="A761" t="s">
        <v>3336</v>
      </c>
      <c r="B761" s="3">
        <v>45463</v>
      </c>
      <c r="C761">
        <v>2010</v>
      </c>
      <c r="D761" s="1">
        <v>0</v>
      </c>
      <c r="E761" s="1">
        <v>9295.27</v>
      </c>
      <c r="F761" t="s">
        <v>3337</v>
      </c>
      <c r="G761" t="str">
        <f>_xlfn.XLOOKUP(C761,tblCOA[AccountNo],tblCOA[AccountName],"Unmapped")</f>
        <v>Accounts Payable</v>
      </c>
      <c r="H761" t="str">
        <f>_xlfn.XLOOKUP(C761,tblCOA[AccountNo],tblCOA[Category],"Unmapped")</f>
        <v>Liabilities</v>
      </c>
      <c r="I761" s="4">
        <f t="shared" si="33"/>
        <v>-9295.27</v>
      </c>
      <c r="J761">
        <f t="shared" si="34"/>
        <v>2024</v>
      </c>
      <c r="K761" s="5">
        <f t="shared" si="35"/>
        <v>45444</v>
      </c>
    </row>
    <row r="762" spans="1:11" x14ac:dyDescent="0.25">
      <c r="A762" t="s">
        <v>2626</v>
      </c>
      <c r="B762" s="3">
        <v>45464</v>
      </c>
      <c r="C762">
        <v>1200</v>
      </c>
      <c r="D762" s="1">
        <v>47875.88</v>
      </c>
      <c r="E762" s="1">
        <v>0</v>
      </c>
      <c r="F762" t="s">
        <v>2627</v>
      </c>
      <c r="G762" t="str">
        <f>_xlfn.XLOOKUP(C762,tblCOA[AccountNo],tblCOA[AccountName],"Unmapped")</f>
        <v>Accounts Receivable</v>
      </c>
      <c r="H762" t="str">
        <f>_xlfn.XLOOKUP(C762,tblCOA[AccountNo],tblCOA[Category],"Unmapped")</f>
        <v>Assets</v>
      </c>
      <c r="I762" s="4">
        <f t="shared" si="33"/>
        <v>47875.88</v>
      </c>
      <c r="J762">
        <f t="shared" si="34"/>
        <v>2024</v>
      </c>
      <c r="K762" s="5">
        <f t="shared" si="35"/>
        <v>45444</v>
      </c>
    </row>
    <row r="763" spans="1:11" x14ac:dyDescent="0.25">
      <c r="A763" t="s">
        <v>2628</v>
      </c>
      <c r="B763" s="3">
        <v>45464</v>
      </c>
      <c r="C763">
        <v>4010</v>
      </c>
      <c r="D763" s="1">
        <v>0</v>
      </c>
      <c r="E763" s="1">
        <v>47875.88</v>
      </c>
      <c r="F763" t="s">
        <v>2629</v>
      </c>
      <c r="G763" t="str">
        <f>_xlfn.XLOOKUP(C763,tblCOA[AccountNo],tblCOA[AccountName],"Unmapped")</f>
        <v>Product Sales</v>
      </c>
      <c r="H763" t="str">
        <f>_xlfn.XLOOKUP(C763,tblCOA[AccountNo],tblCOA[Category],"Unmapped")</f>
        <v>Revenue</v>
      </c>
      <c r="I763" s="4">
        <f t="shared" si="33"/>
        <v>-47875.88</v>
      </c>
      <c r="J763">
        <f t="shared" si="34"/>
        <v>2024</v>
      </c>
      <c r="K763" s="5">
        <f t="shared" si="35"/>
        <v>45444</v>
      </c>
    </row>
    <row r="764" spans="1:11" x14ac:dyDescent="0.25">
      <c r="A764" t="s">
        <v>2814</v>
      </c>
      <c r="B764" s="3">
        <v>45465</v>
      </c>
      <c r="C764">
        <v>5010</v>
      </c>
      <c r="D764" s="1">
        <v>19249.41</v>
      </c>
      <c r="E764" s="1">
        <v>0</v>
      </c>
      <c r="F764" t="s">
        <v>2815</v>
      </c>
      <c r="G764" t="str">
        <f>_xlfn.XLOOKUP(C764,tblCOA[AccountNo],tblCOA[AccountName],"Unmapped")</f>
        <v>Cost of Goods Sold</v>
      </c>
      <c r="H764" t="str">
        <f>_xlfn.XLOOKUP(C764,tblCOA[AccountNo],tblCOA[Category],"Unmapped")</f>
        <v>Expenses</v>
      </c>
      <c r="I764" s="4">
        <f t="shared" si="33"/>
        <v>19249.41</v>
      </c>
      <c r="J764">
        <f t="shared" si="34"/>
        <v>2024</v>
      </c>
      <c r="K764" s="5">
        <f t="shared" si="35"/>
        <v>45444</v>
      </c>
    </row>
    <row r="765" spans="1:11" x14ac:dyDescent="0.25">
      <c r="A765" t="s">
        <v>2816</v>
      </c>
      <c r="B765" s="3">
        <v>45465</v>
      </c>
      <c r="C765">
        <v>2010</v>
      </c>
      <c r="D765" s="1">
        <v>0</v>
      </c>
      <c r="E765" s="1">
        <v>19249.41</v>
      </c>
      <c r="F765" t="s">
        <v>2817</v>
      </c>
      <c r="G765" t="str">
        <f>_xlfn.XLOOKUP(C765,tblCOA[AccountNo],tblCOA[AccountName],"Unmapped")</f>
        <v>Accounts Payable</v>
      </c>
      <c r="H765" t="str">
        <f>_xlfn.XLOOKUP(C765,tblCOA[AccountNo],tblCOA[Category],"Unmapped")</f>
        <v>Liabilities</v>
      </c>
      <c r="I765" s="4">
        <f t="shared" si="33"/>
        <v>-19249.41</v>
      </c>
      <c r="J765">
        <f t="shared" si="34"/>
        <v>2024</v>
      </c>
      <c r="K765" s="5">
        <f t="shared" si="35"/>
        <v>45444</v>
      </c>
    </row>
    <row r="766" spans="1:11" x14ac:dyDescent="0.25">
      <c r="A766" t="s">
        <v>2622</v>
      </c>
      <c r="B766" s="3">
        <v>45466</v>
      </c>
      <c r="C766">
        <v>5010</v>
      </c>
      <c r="D766" s="1">
        <v>15122.55</v>
      </c>
      <c r="E766" s="1">
        <v>0</v>
      </c>
      <c r="F766" t="s">
        <v>2623</v>
      </c>
      <c r="G766" t="str">
        <f>_xlfn.XLOOKUP(C766,tblCOA[AccountNo],tblCOA[AccountName],"Unmapped")</f>
        <v>Cost of Goods Sold</v>
      </c>
      <c r="H766" t="str">
        <f>_xlfn.XLOOKUP(C766,tblCOA[AccountNo],tblCOA[Category],"Unmapped")</f>
        <v>Expenses</v>
      </c>
      <c r="I766" s="4">
        <f t="shared" si="33"/>
        <v>15122.55</v>
      </c>
      <c r="J766">
        <f t="shared" si="34"/>
        <v>2024</v>
      </c>
      <c r="K766" s="5">
        <f t="shared" si="35"/>
        <v>45444</v>
      </c>
    </row>
    <row r="767" spans="1:11" x14ac:dyDescent="0.25">
      <c r="A767" t="s">
        <v>2624</v>
      </c>
      <c r="B767" s="3">
        <v>45466</v>
      </c>
      <c r="C767">
        <v>2010</v>
      </c>
      <c r="D767" s="1">
        <v>0</v>
      </c>
      <c r="E767" s="1">
        <v>15122.55</v>
      </c>
      <c r="F767" t="s">
        <v>2625</v>
      </c>
      <c r="G767" t="str">
        <f>_xlfn.XLOOKUP(C767,tblCOA[AccountNo],tblCOA[AccountName],"Unmapped")</f>
        <v>Accounts Payable</v>
      </c>
      <c r="H767" t="str">
        <f>_xlfn.XLOOKUP(C767,tblCOA[AccountNo],tblCOA[Category],"Unmapped")</f>
        <v>Liabilities</v>
      </c>
      <c r="I767" s="4">
        <f t="shared" si="33"/>
        <v>-15122.55</v>
      </c>
      <c r="J767">
        <f t="shared" si="34"/>
        <v>2024</v>
      </c>
      <c r="K767" s="5">
        <f t="shared" si="35"/>
        <v>45444</v>
      </c>
    </row>
    <row r="768" spans="1:11" x14ac:dyDescent="0.25">
      <c r="A768" t="s">
        <v>2054</v>
      </c>
      <c r="B768" s="3">
        <v>45468</v>
      </c>
      <c r="C768">
        <v>5010</v>
      </c>
      <c r="D768" s="1">
        <v>17045.73</v>
      </c>
      <c r="E768" s="1">
        <v>0</v>
      </c>
      <c r="F768" t="s">
        <v>2055</v>
      </c>
      <c r="G768" t="str">
        <f>_xlfn.XLOOKUP(C768,tblCOA[AccountNo],tblCOA[AccountName],"Unmapped")</f>
        <v>Cost of Goods Sold</v>
      </c>
      <c r="H768" t="str">
        <f>_xlfn.XLOOKUP(C768,tblCOA[AccountNo],tblCOA[Category],"Unmapped")</f>
        <v>Expenses</v>
      </c>
      <c r="I768" s="4">
        <f t="shared" si="33"/>
        <v>17045.73</v>
      </c>
      <c r="J768">
        <f t="shared" si="34"/>
        <v>2024</v>
      </c>
      <c r="K768" s="5">
        <f t="shared" si="35"/>
        <v>45444</v>
      </c>
    </row>
    <row r="769" spans="1:11" x14ac:dyDescent="0.25">
      <c r="A769" t="s">
        <v>2056</v>
      </c>
      <c r="B769" s="3">
        <v>45468</v>
      </c>
      <c r="C769">
        <v>2010</v>
      </c>
      <c r="D769" s="1">
        <v>0</v>
      </c>
      <c r="E769" s="1">
        <v>17045.73</v>
      </c>
      <c r="F769" t="s">
        <v>2057</v>
      </c>
      <c r="G769" t="str">
        <f>_xlfn.XLOOKUP(C769,tblCOA[AccountNo],tblCOA[AccountName],"Unmapped")</f>
        <v>Accounts Payable</v>
      </c>
      <c r="H769" t="str">
        <f>_xlfn.XLOOKUP(C769,tblCOA[AccountNo],tblCOA[Category],"Unmapped")</f>
        <v>Liabilities</v>
      </c>
      <c r="I769" s="4">
        <f t="shared" si="33"/>
        <v>-17045.73</v>
      </c>
      <c r="J769">
        <f t="shared" si="34"/>
        <v>2024</v>
      </c>
      <c r="K769" s="5">
        <f t="shared" si="35"/>
        <v>45444</v>
      </c>
    </row>
    <row r="770" spans="1:11" x14ac:dyDescent="0.25">
      <c r="A770" t="s">
        <v>3998</v>
      </c>
      <c r="B770" s="3">
        <v>45472</v>
      </c>
      <c r="C770">
        <v>5010</v>
      </c>
      <c r="D770" s="1">
        <v>2861.37</v>
      </c>
      <c r="E770" s="1">
        <v>0</v>
      </c>
      <c r="F770" t="s">
        <v>3999</v>
      </c>
      <c r="G770" t="str">
        <f>_xlfn.XLOOKUP(C770,tblCOA[AccountNo],tblCOA[AccountName],"Unmapped")</f>
        <v>Cost of Goods Sold</v>
      </c>
      <c r="H770" t="str">
        <f>_xlfn.XLOOKUP(C770,tblCOA[AccountNo],tblCOA[Category],"Unmapped")</f>
        <v>Expenses</v>
      </c>
      <c r="I770" s="4">
        <f t="shared" ref="I770:I833" si="36">D770-E770</f>
        <v>2861.37</v>
      </c>
      <c r="J770">
        <f t="shared" ref="J770:J833" si="37">YEAR(B770)</f>
        <v>2024</v>
      </c>
      <c r="K770" s="5">
        <f t="shared" ref="K770:K833" si="38">DATE(YEAR(B770),MONTH(B770),1)</f>
        <v>45444</v>
      </c>
    </row>
    <row r="771" spans="1:11" x14ac:dyDescent="0.25">
      <c r="A771" t="s">
        <v>4000</v>
      </c>
      <c r="B771" s="3">
        <v>45472</v>
      </c>
      <c r="C771">
        <v>2010</v>
      </c>
      <c r="D771" s="1">
        <v>0</v>
      </c>
      <c r="E771" s="1">
        <v>2861.37</v>
      </c>
      <c r="F771" t="s">
        <v>4001</v>
      </c>
      <c r="G771" t="str">
        <f>_xlfn.XLOOKUP(C771,tblCOA[AccountNo],tblCOA[AccountName],"Unmapped")</f>
        <v>Accounts Payable</v>
      </c>
      <c r="H771" t="str">
        <f>_xlfn.XLOOKUP(C771,tblCOA[AccountNo],tblCOA[Category],"Unmapped")</f>
        <v>Liabilities</v>
      </c>
      <c r="I771" s="4">
        <f t="shared" si="36"/>
        <v>-2861.37</v>
      </c>
      <c r="J771">
        <f t="shared" si="37"/>
        <v>2024</v>
      </c>
      <c r="K771" s="5">
        <f t="shared" si="38"/>
        <v>45444</v>
      </c>
    </row>
    <row r="772" spans="1:11" x14ac:dyDescent="0.25">
      <c r="A772" t="s">
        <v>3122</v>
      </c>
      <c r="B772" s="3">
        <v>45473</v>
      </c>
      <c r="C772">
        <v>1200</v>
      </c>
      <c r="D772" s="1">
        <v>47032.45</v>
      </c>
      <c r="E772" s="1">
        <v>0</v>
      </c>
      <c r="F772" t="s">
        <v>3123</v>
      </c>
      <c r="G772" t="str">
        <f>_xlfn.XLOOKUP(C772,tblCOA[AccountNo],tblCOA[AccountName],"Unmapped")</f>
        <v>Accounts Receivable</v>
      </c>
      <c r="H772" t="str">
        <f>_xlfn.XLOOKUP(C772,tblCOA[AccountNo],tblCOA[Category],"Unmapped")</f>
        <v>Assets</v>
      </c>
      <c r="I772" s="4">
        <f t="shared" si="36"/>
        <v>47032.45</v>
      </c>
      <c r="J772">
        <f t="shared" si="37"/>
        <v>2024</v>
      </c>
      <c r="K772" s="5">
        <f t="shared" si="38"/>
        <v>45444</v>
      </c>
    </row>
    <row r="773" spans="1:11" x14ac:dyDescent="0.25">
      <c r="A773" t="s">
        <v>3124</v>
      </c>
      <c r="B773" s="3">
        <v>45473</v>
      </c>
      <c r="C773">
        <v>4010</v>
      </c>
      <c r="D773" s="1">
        <v>0</v>
      </c>
      <c r="E773" s="1">
        <v>47032.45</v>
      </c>
      <c r="F773" t="s">
        <v>3125</v>
      </c>
      <c r="G773" t="str">
        <f>_xlfn.XLOOKUP(C773,tblCOA[AccountNo],tblCOA[AccountName],"Unmapped")</f>
        <v>Product Sales</v>
      </c>
      <c r="H773" t="str">
        <f>_xlfn.XLOOKUP(C773,tblCOA[AccountNo],tblCOA[Category],"Unmapped")</f>
        <v>Revenue</v>
      </c>
      <c r="I773" s="4">
        <f t="shared" si="36"/>
        <v>-47032.45</v>
      </c>
      <c r="J773">
        <f t="shared" si="37"/>
        <v>2024</v>
      </c>
      <c r="K773" s="5">
        <f t="shared" si="38"/>
        <v>45444</v>
      </c>
    </row>
    <row r="774" spans="1:11" x14ac:dyDescent="0.25">
      <c r="A774" t="s">
        <v>1930</v>
      </c>
      <c r="B774" s="3">
        <v>45473</v>
      </c>
      <c r="C774">
        <v>1200</v>
      </c>
      <c r="D774" s="1">
        <v>13089.24</v>
      </c>
      <c r="E774" s="1">
        <v>0</v>
      </c>
      <c r="F774" t="s">
        <v>1931</v>
      </c>
      <c r="G774" t="str">
        <f>_xlfn.XLOOKUP(C774,tblCOA[AccountNo],tblCOA[AccountName],"Unmapped")</f>
        <v>Accounts Receivable</v>
      </c>
      <c r="H774" t="str">
        <f>_xlfn.XLOOKUP(C774,tblCOA[AccountNo],tblCOA[Category],"Unmapped")</f>
        <v>Assets</v>
      </c>
      <c r="I774" s="4">
        <f t="shared" si="36"/>
        <v>13089.24</v>
      </c>
      <c r="J774">
        <f t="shared" si="37"/>
        <v>2024</v>
      </c>
      <c r="K774" s="5">
        <f t="shared" si="38"/>
        <v>45444</v>
      </c>
    </row>
    <row r="775" spans="1:11" x14ac:dyDescent="0.25">
      <c r="A775" t="s">
        <v>1932</v>
      </c>
      <c r="B775" s="3">
        <v>45473</v>
      </c>
      <c r="C775">
        <v>4010</v>
      </c>
      <c r="D775" s="1">
        <v>0</v>
      </c>
      <c r="E775" s="1">
        <v>13089.24</v>
      </c>
      <c r="F775" t="s">
        <v>1933</v>
      </c>
      <c r="G775" t="str">
        <f>_xlfn.XLOOKUP(C775,tblCOA[AccountNo],tblCOA[AccountName],"Unmapped")</f>
        <v>Product Sales</v>
      </c>
      <c r="H775" t="str">
        <f>_xlfn.XLOOKUP(C775,tblCOA[AccountNo],tblCOA[Category],"Unmapped")</f>
        <v>Revenue</v>
      </c>
      <c r="I775" s="4">
        <f t="shared" si="36"/>
        <v>-13089.24</v>
      </c>
      <c r="J775">
        <f t="shared" si="37"/>
        <v>2024</v>
      </c>
      <c r="K775" s="5">
        <f t="shared" si="38"/>
        <v>45444</v>
      </c>
    </row>
    <row r="776" spans="1:11" x14ac:dyDescent="0.25">
      <c r="A776" t="s">
        <v>2038</v>
      </c>
      <c r="B776" s="3">
        <v>45474</v>
      </c>
      <c r="C776">
        <v>5010</v>
      </c>
      <c r="D776" s="1">
        <v>7231.64</v>
      </c>
      <c r="E776" s="1">
        <v>0</v>
      </c>
      <c r="F776" t="s">
        <v>2039</v>
      </c>
      <c r="G776" t="str">
        <f>_xlfn.XLOOKUP(C776,tblCOA[AccountNo],tblCOA[AccountName],"Unmapped")</f>
        <v>Cost of Goods Sold</v>
      </c>
      <c r="H776" t="str">
        <f>_xlfn.XLOOKUP(C776,tblCOA[AccountNo],tblCOA[Category],"Unmapped")</f>
        <v>Expenses</v>
      </c>
      <c r="I776" s="4">
        <f t="shared" si="36"/>
        <v>7231.64</v>
      </c>
      <c r="J776">
        <f t="shared" si="37"/>
        <v>2024</v>
      </c>
      <c r="K776" s="5">
        <f t="shared" si="38"/>
        <v>45474</v>
      </c>
    </row>
    <row r="777" spans="1:11" x14ac:dyDescent="0.25">
      <c r="A777" t="s">
        <v>2040</v>
      </c>
      <c r="B777" s="3">
        <v>45474</v>
      </c>
      <c r="C777">
        <v>2010</v>
      </c>
      <c r="D777" s="1">
        <v>0</v>
      </c>
      <c r="E777" s="1">
        <v>7231.64</v>
      </c>
      <c r="F777" t="s">
        <v>2041</v>
      </c>
      <c r="G777" t="str">
        <f>_xlfn.XLOOKUP(C777,tblCOA[AccountNo],tblCOA[AccountName],"Unmapped")</f>
        <v>Accounts Payable</v>
      </c>
      <c r="H777" t="str">
        <f>_xlfn.XLOOKUP(C777,tblCOA[AccountNo],tblCOA[Category],"Unmapped")</f>
        <v>Liabilities</v>
      </c>
      <c r="I777" s="4">
        <f t="shared" si="36"/>
        <v>-7231.64</v>
      </c>
      <c r="J777">
        <f t="shared" si="37"/>
        <v>2024</v>
      </c>
      <c r="K777" s="5">
        <f t="shared" si="38"/>
        <v>45474</v>
      </c>
    </row>
    <row r="778" spans="1:11" x14ac:dyDescent="0.25">
      <c r="A778" t="s">
        <v>1254</v>
      </c>
      <c r="B778" s="3">
        <v>45475</v>
      </c>
      <c r="C778">
        <v>5010</v>
      </c>
      <c r="D778" s="1">
        <v>4188.87</v>
      </c>
      <c r="E778" s="1">
        <v>0</v>
      </c>
      <c r="F778" t="s">
        <v>1255</v>
      </c>
      <c r="G778" t="str">
        <f>_xlfn.XLOOKUP(C778,tblCOA[AccountNo],tblCOA[AccountName],"Unmapped")</f>
        <v>Cost of Goods Sold</v>
      </c>
      <c r="H778" t="str">
        <f>_xlfn.XLOOKUP(C778,tblCOA[AccountNo],tblCOA[Category],"Unmapped")</f>
        <v>Expenses</v>
      </c>
      <c r="I778" s="4">
        <f t="shared" si="36"/>
        <v>4188.87</v>
      </c>
      <c r="J778">
        <f t="shared" si="37"/>
        <v>2024</v>
      </c>
      <c r="K778" s="5">
        <f t="shared" si="38"/>
        <v>45474</v>
      </c>
    </row>
    <row r="779" spans="1:11" x14ac:dyDescent="0.25">
      <c r="A779" t="s">
        <v>1256</v>
      </c>
      <c r="B779" s="3">
        <v>45475</v>
      </c>
      <c r="C779">
        <v>2010</v>
      </c>
      <c r="D779" s="1">
        <v>0</v>
      </c>
      <c r="E779" s="1">
        <v>4188.87</v>
      </c>
      <c r="F779" t="s">
        <v>1257</v>
      </c>
      <c r="G779" t="str">
        <f>_xlfn.XLOOKUP(C779,tblCOA[AccountNo],tblCOA[AccountName],"Unmapped")</f>
        <v>Accounts Payable</v>
      </c>
      <c r="H779" t="str">
        <f>_xlfn.XLOOKUP(C779,tblCOA[AccountNo],tblCOA[Category],"Unmapped")</f>
        <v>Liabilities</v>
      </c>
      <c r="I779" s="4">
        <f t="shared" si="36"/>
        <v>-4188.87</v>
      </c>
      <c r="J779">
        <f t="shared" si="37"/>
        <v>2024</v>
      </c>
      <c r="K779" s="5">
        <f t="shared" si="38"/>
        <v>45474</v>
      </c>
    </row>
    <row r="780" spans="1:11" x14ac:dyDescent="0.25">
      <c r="A780" t="s">
        <v>718</v>
      </c>
      <c r="B780" s="3">
        <v>45477</v>
      </c>
      <c r="C780">
        <v>5010</v>
      </c>
      <c r="D780" s="1">
        <v>12432.35</v>
      </c>
      <c r="E780" s="1">
        <v>0</v>
      </c>
      <c r="F780" t="s">
        <v>719</v>
      </c>
      <c r="G780" t="str">
        <f>_xlfn.XLOOKUP(C780,tblCOA[AccountNo],tblCOA[AccountName],"Unmapped")</f>
        <v>Cost of Goods Sold</v>
      </c>
      <c r="H780" t="str">
        <f>_xlfn.XLOOKUP(C780,tblCOA[AccountNo],tblCOA[Category],"Unmapped")</f>
        <v>Expenses</v>
      </c>
      <c r="I780" s="4">
        <f t="shared" si="36"/>
        <v>12432.35</v>
      </c>
      <c r="J780">
        <f t="shared" si="37"/>
        <v>2024</v>
      </c>
      <c r="K780" s="5">
        <f t="shared" si="38"/>
        <v>45474</v>
      </c>
    </row>
    <row r="781" spans="1:11" x14ac:dyDescent="0.25">
      <c r="A781" t="s">
        <v>720</v>
      </c>
      <c r="B781" s="3">
        <v>45477</v>
      </c>
      <c r="C781">
        <v>2010</v>
      </c>
      <c r="D781" s="1">
        <v>0</v>
      </c>
      <c r="E781" s="1">
        <v>12432.35</v>
      </c>
      <c r="F781" t="s">
        <v>721</v>
      </c>
      <c r="G781" t="str">
        <f>_xlfn.XLOOKUP(C781,tblCOA[AccountNo],tblCOA[AccountName],"Unmapped")</f>
        <v>Accounts Payable</v>
      </c>
      <c r="H781" t="str">
        <f>_xlfn.XLOOKUP(C781,tblCOA[AccountNo],tblCOA[Category],"Unmapped")</f>
        <v>Liabilities</v>
      </c>
      <c r="I781" s="4">
        <f t="shared" si="36"/>
        <v>-12432.35</v>
      </c>
      <c r="J781">
        <f t="shared" si="37"/>
        <v>2024</v>
      </c>
      <c r="K781" s="5">
        <f t="shared" si="38"/>
        <v>45474</v>
      </c>
    </row>
    <row r="782" spans="1:11" x14ac:dyDescent="0.25">
      <c r="A782" t="s">
        <v>3702</v>
      </c>
      <c r="B782" s="3">
        <v>45478</v>
      </c>
      <c r="C782">
        <v>5010</v>
      </c>
      <c r="D782" s="1">
        <v>884.39</v>
      </c>
      <c r="E782" s="1">
        <v>0</v>
      </c>
      <c r="F782" t="s">
        <v>3703</v>
      </c>
      <c r="G782" t="str">
        <f>_xlfn.XLOOKUP(C782,tblCOA[AccountNo],tblCOA[AccountName],"Unmapped")</f>
        <v>Cost of Goods Sold</v>
      </c>
      <c r="H782" t="str">
        <f>_xlfn.XLOOKUP(C782,tblCOA[AccountNo],tblCOA[Category],"Unmapped")</f>
        <v>Expenses</v>
      </c>
      <c r="I782" s="4">
        <f t="shared" si="36"/>
        <v>884.39</v>
      </c>
      <c r="J782">
        <f t="shared" si="37"/>
        <v>2024</v>
      </c>
      <c r="K782" s="5">
        <f t="shared" si="38"/>
        <v>45474</v>
      </c>
    </row>
    <row r="783" spans="1:11" x14ac:dyDescent="0.25">
      <c r="A783" t="s">
        <v>3704</v>
      </c>
      <c r="B783" s="3">
        <v>45478</v>
      </c>
      <c r="C783">
        <v>2010</v>
      </c>
      <c r="D783" s="1">
        <v>0</v>
      </c>
      <c r="E783" s="1">
        <v>884.39</v>
      </c>
      <c r="F783" t="s">
        <v>3705</v>
      </c>
      <c r="G783" t="str">
        <f>_xlfn.XLOOKUP(C783,tblCOA[AccountNo],tblCOA[AccountName],"Unmapped")</f>
        <v>Accounts Payable</v>
      </c>
      <c r="H783" t="str">
        <f>_xlfn.XLOOKUP(C783,tblCOA[AccountNo],tblCOA[Category],"Unmapped")</f>
        <v>Liabilities</v>
      </c>
      <c r="I783" s="4">
        <f t="shared" si="36"/>
        <v>-884.39</v>
      </c>
      <c r="J783">
        <f t="shared" si="37"/>
        <v>2024</v>
      </c>
      <c r="K783" s="5">
        <f t="shared" si="38"/>
        <v>45474</v>
      </c>
    </row>
    <row r="784" spans="1:11" x14ac:dyDescent="0.25">
      <c r="A784" t="s">
        <v>270</v>
      </c>
      <c r="B784" s="3">
        <v>45479</v>
      </c>
      <c r="C784">
        <v>5010</v>
      </c>
      <c r="D784" s="1">
        <v>10226.98</v>
      </c>
      <c r="E784" s="1">
        <v>0</v>
      </c>
      <c r="F784" t="s">
        <v>271</v>
      </c>
      <c r="G784" t="str">
        <f>_xlfn.XLOOKUP(C784,tblCOA[AccountNo],tblCOA[AccountName],"Unmapped")</f>
        <v>Cost of Goods Sold</v>
      </c>
      <c r="H784" t="str">
        <f>_xlfn.XLOOKUP(C784,tblCOA[AccountNo],tblCOA[Category],"Unmapped")</f>
        <v>Expenses</v>
      </c>
      <c r="I784" s="4">
        <f t="shared" si="36"/>
        <v>10226.98</v>
      </c>
      <c r="J784">
        <f t="shared" si="37"/>
        <v>2024</v>
      </c>
      <c r="K784" s="5">
        <f t="shared" si="38"/>
        <v>45474</v>
      </c>
    </row>
    <row r="785" spans="1:11" x14ac:dyDescent="0.25">
      <c r="A785" t="s">
        <v>272</v>
      </c>
      <c r="B785" s="3">
        <v>45479</v>
      </c>
      <c r="C785">
        <v>2010</v>
      </c>
      <c r="D785" s="1">
        <v>0</v>
      </c>
      <c r="E785" s="1">
        <v>10226.98</v>
      </c>
      <c r="F785" t="s">
        <v>273</v>
      </c>
      <c r="G785" t="str">
        <f>_xlfn.XLOOKUP(C785,tblCOA[AccountNo],tblCOA[AccountName],"Unmapped")</f>
        <v>Accounts Payable</v>
      </c>
      <c r="H785" t="str">
        <f>_xlfn.XLOOKUP(C785,tblCOA[AccountNo],tblCOA[Category],"Unmapped")</f>
        <v>Liabilities</v>
      </c>
      <c r="I785" s="4">
        <f t="shared" si="36"/>
        <v>-10226.98</v>
      </c>
      <c r="J785">
        <f t="shared" si="37"/>
        <v>2024</v>
      </c>
      <c r="K785" s="5">
        <f t="shared" si="38"/>
        <v>45474</v>
      </c>
    </row>
    <row r="786" spans="1:11" x14ac:dyDescent="0.25">
      <c r="A786" t="s">
        <v>370</v>
      </c>
      <c r="B786" s="3">
        <v>45480</v>
      </c>
      <c r="C786">
        <v>1200</v>
      </c>
      <c r="D786" s="1">
        <v>19908.3</v>
      </c>
      <c r="E786" s="1">
        <v>0</v>
      </c>
      <c r="F786" t="s">
        <v>371</v>
      </c>
      <c r="G786" t="str">
        <f>_xlfn.XLOOKUP(C786,tblCOA[AccountNo],tblCOA[AccountName],"Unmapped")</f>
        <v>Accounts Receivable</v>
      </c>
      <c r="H786" t="str">
        <f>_xlfn.XLOOKUP(C786,tblCOA[AccountNo],tblCOA[Category],"Unmapped")</f>
        <v>Assets</v>
      </c>
      <c r="I786" s="4">
        <f t="shared" si="36"/>
        <v>19908.3</v>
      </c>
      <c r="J786">
        <f t="shared" si="37"/>
        <v>2024</v>
      </c>
      <c r="K786" s="5">
        <f t="shared" si="38"/>
        <v>45474</v>
      </c>
    </row>
    <row r="787" spans="1:11" x14ac:dyDescent="0.25">
      <c r="A787" t="s">
        <v>372</v>
      </c>
      <c r="B787" s="3">
        <v>45480</v>
      </c>
      <c r="C787">
        <v>4010</v>
      </c>
      <c r="D787" s="1">
        <v>0</v>
      </c>
      <c r="E787" s="1">
        <v>19908.3</v>
      </c>
      <c r="F787" t="s">
        <v>373</v>
      </c>
      <c r="G787" t="str">
        <f>_xlfn.XLOOKUP(C787,tblCOA[AccountNo],tblCOA[AccountName],"Unmapped")</f>
        <v>Product Sales</v>
      </c>
      <c r="H787" t="str">
        <f>_xlfn.XLOOKUP(C787,tblCOA[AccountNo],tblCOA[Category],"Unmapped")</f>
        <v>Revenue</v>
      </c>
      <c r="I787" s="4">
        <f t="shared" si="36"/>
        <v>-19908.3</v>
      </c>
      <c r="J787">
        <f t="shared" si="37"/>
        <v>2024</v>
      </c>
      <c r="K787" s="5">
        <f t="shared" si="38"/>
        <v>45474</v>
      </c>
    </row>
    <row r="788" spans="1:11" x14ac:dyDescent="0.25">
      <c r="A788" t="s">
        <v>1662</v>
      </c>
      <c r="B788" s="3">
        <v>45480</v>
      </c>
      <c r="C788">
        <v>5010</v>
      </c>
      <c r="D788" s="1">
        <v>7145.84</v>
      </c>
      <c r="E788" s="1">
        <v>0</v>
      </c>
      <c r="F788" t="s">
        <v>1663</v>
      </c>
      <c r="G788" t="str">
        <f>_xlfn.XLOOKUP(C788,tblCOA[AccountNo],tblCOA[AccountName],"Unmapped")</f>
        <v>Cost of Goods Sold</v>
      </c>
      <c r="H788" t="str">
        <f>_xlfn.XLOOKUP(C788,tblCOA[AccountNo],tblCOA[Category],"Unmapped")</f>
        <v>Expenses</v>
      </c>
      <c r="I788" s="4">
        <f t="shared" si="36"/>
        <v>7145.84</v>
      </c>
      <c r="J788">
        <f t="shared" si="37"/>
        <v>2024</v>
      </c>
      <c r="K788" s="5">
        <f t="shared" si="38"/>
        <v>45474</v>
      </c>
    </row>
    <row r="789" spans="1:11" x14ac:dyDescent="0.25">
      <c r="A789" t="s">
        <v>1664</v>
      </c>
      <c r="B789" s="3">
        <v>45480</v>
      </c>
      <c r="C789">
        <v>2010</v>
      </c>
      <c r="D789" s="1">
        <v>0</v>
      </c>
      <c r="E789" s="1">
        <v>7145.84</v>
      </c>
      <c r="F789" t="s">
        <v>1665</v>
      </c>
      <c r="G789" t="str">
        <f>_xlfn.XLOOKUP(C789,tblCOA[AccountNo],tblCOA[AccountName],"Unmapped")</f>
        <v>Accounts Payable</v>
      </c>
      <c r="H789" t="str">
        <f>_xlfn.XLOOKUP(C789,tblCOA[AccountNo],tblCOA[Category],"Unmapped")</f>
        <v>Liabilities</v>
      </c>
      <c r="I789" s="4">
        <f t="shared" si="36"/>
        <v>-7145.84</v>
      </c>
      <c r="J789">
        <f t="shared" si="37"/>
        <v>2024</v>
      </c>
      <c r="K789" s="5">
        <f t="shared" si="38"/>
        <v>45474</v>
      </c>
    </row>
    <row r="790" spans="1:11" x14ac:dyDescent="0.25">
      <c r="A790" t="s">
        <v>942</v>
      </c>
      <c r="B790" s="3">
        <v>45485</v>
      </c>
      <c r="C790">
        <v>5010</v>
      </c>
      <c r="D790" s="1">
        <v>6265.89</v>
      </c>
      <c r="E790" s="1">
        <v>0</v>
      </c>
      <c r="F790" t="s">
        <v>943</v>
      </c>
      <c r="G790" t="str">
        <f>_xlfn.XLOOKUP(C790,tblCOA[AccountNo],tblCOA[AccountName],"Unmapped")</f>
        <v>Cost of Goods Sold</v>
      </c>
      <c r="H790" t="str">
        <f>_xlfn.XLOOKUP(C790,tblCOA[AccountNo],tblCOA[Category],"Unmapped")</f>
        <v>Expenses</v>
      </c>
      <c r="I790" s="4">
        <f t="shared" si="36"/>
        <v>6265.89</v>
      </c>
      <c r="J790">
        <f t="shared" si="37"/>
        <v>2024</v>
      </c>
      <c r="K790" s="5">
        <f t="shared" si="38"/>
        <v>45474</v>
      </c>
    </row>
    <row r="791" spans="1:11" x14ac:dyDescent="0.25">
      <c r="A791" t="s">
        <v>944</v>
      </c>
      <c r="B791" s="3">
        <v>45485</v>
      </c>
      <c r="C791">
        <v>2010</v>
      </c>
      <c r="D791" s="1">
        <v>0</v>
      </c>
      <c r="E791" s="1">
        <v>6265.89</v>
      </c>
      <c r="F791" t="s">
        <v>945</v>
      </c>
      <c r="G791" t="str">
        <f>_xlfn.XLOOKUP(C791,tblCOA[AccountNo],tblCOA[AccountName],"Unmapped")</f>
        <v>Accounts Payable</v>
      </c>
      <c r="H791" t="str">
        <f>_xlfn.XLOOKUP(C791,tblCOA[AccountNo],tblCOA[Category],"Unmapped")</f>
        <v>Liabilities</v>
      </c>
      <c r="I791" s="4">
        <f t="shared" si="36"/>
        <v>-6265.89</v>
      </c>
      <c r="J791">
        <f t="shared" si="37"/>
        <v>2024</v>
      </c>
      <c r="K791" s="5">
        <f t="shared" si="38"/>
        <v>45474</v>
      </c>
    </row>
    <row r="792" spans="1:11" x14ac:dyDescent="0.25">
      <c r="A792" t="s">
        <v>3714</v>
      </c>
      <c r="B792" s="3">
        <v>45487</v>
      </c>
      <c r="C792">
        <v>1200</v>
      </c>
      <c r="D792" s="1">
        <v>35128.050000000003</v>
      </c>
      <c r="E792" s="1">
        <v>0</v>
      </c>
      <c r="F792" t="s">
        <v>3715</v>
      </c>
      <c r="G792" t="str">
        <f>_xlfn.XLOOKUP(C792,tblCOA[AccountNo],tblCOA[AccountName],"Unmapped")</f>
        <v>Accounts Receivable</v>
      </c>
      <c r="H792" t="str">
        <f>_xlfn.XLOOKUP(C792,tblCOA[AccountNo],tblCOA[Category],"Unmapped")</f>
        <v>Assets</v>
      </c>
      <c r="I792" s="4">
        <f t="shared" si="36"/>
        <v>35128.050000000003</v>
      </c>
      <c r="J792">
        <f t="shared" si="37"/>
        <v>2024</v>
      </c>
      <c r="K792" s="5">
        <f t="shared" si="38"/>
        <v>45474</v>
      </c>
    </row>
    <row r="793" spans="1:11" x14ac:dyDescent="0.25">
      <c r="A793" t="s">
        <v>3716</v>
      </c>
      <c r="B793" s="3">
        <v>45487</v>
      </c>
      <c r="C793">
        <v>4010</v>
      </c>
      <c r="D793" s="1">
        <v>0</v>
      </c>
      <c r="E793" s="1">
        <v>35128.050000000003</v>
      </c>
      <c r="F793" t="s">
        <v>3717</v>
      </c>
      <c r="G793" t="str">
        <f>_xlfn.XLOOKUP(C793,tblCOA[AccountNo],tblCOA[AccountName],"Unmapped")</f>
        <v>Product Sales</v>
      </c>
      <c r="H793" t="str">
        <f>_xlfn.XLOOKUP(C793,tblCOA[AccountNo],tblCOA[Category],"Unmapped")</f>
        <v>Revenue</v>
      </c>
      <c r="I793" s="4">
        <f t="shared" si="36"/>
        <v>-35128.050000000003</v>
      </c>
      <c r="J793">
        <f t="shared" si="37"/>
        <v>2024</v>
      </c>
      <c r="K793" s="5">
        <f t="shared" si="38"/>
        <v>45474</v>
      </c>
    </row>
    <row r="794" spans="1:11" x14ac:dyDescent="0.25">
      <c r="A794" t="s">
        <v>2990</v>
      </c>
      <c r="B794" s="3">
        <v>45489</v>
      </c>
      <c r="C794">
        <v>5010</v>
      </c>
      <c r="D794" s="1">
        <v>4835.91</v>
      </c>
      <c r="E794" s="1">
        <v>0</v>
      </c>
      <c r="F794" t="s">
        <v>2991</v>
      </c>
      <c r="G794" t="str">
        <f>_xlfn.XLOOKUP(C794,tblCOA[AccountNo],tblCOA[AccountName],"Unmapped")</f>
        <v>Cost of Goods Sold</v>
      </c>
      <c r="H794" t="str">
        <f>_xlfn.XLOOKUP(C794,tblCOA[AccountNo],tblCOA[Category],"Unmapped")</f>
        <v>Expenses</v>
      </c>
      <c r="I794" s="4">
        <f t="shared" si="36"/>
        <v>4835.91</v>
      </c>
      <c r="J794">
        <f t="shared" si="37"/>
        <v>2024</v>
      </c>
      <c r="K794" s="5">
        <f t="shared" si="38"/>
        <v>45474</v>
      </c>
    </row>
    <row r="795" spans="1:11" x14ac:dyDescent="0.25">
      <c r="A795" t="s">
        <v>2992</v>
      </c>
      <c r="B795" s="3">
        <v>45489</v>
      </c>
      <c r="C795">
        <v>2010</v>
      </c>
      <c r="D795" s="1">
        <v>0</v>
      </c>
      <c r="E795" s="1">
        <v>4835.91</v>
      </c>
      <c r="F795" t="s">
        <v>2993</v>
      </c>
      <c r="G795" t="str">
        <f>_xlfn.XLOOKUP(C795,tblCOA[AccountNo],tblCOA[AccountName],"Unmapped")</f>
        <v>Accounts Payable</v>
      </c>
      <c r="H795" t="str">
        <f>_xlfn.XLOOKUP(C795,tblCOA[AccountNo],tblCOA[Category],"Unmapped")</f>
        <v>Liabilities</v>
      </c>
      <c r="I795" s="4">
        <f t="shared" si="36"/>
        <v>-4835.91</v>
      </c>
      <c r="J795">
        <f t="shared" si="37"/>
        <v>2024</v>
      </c>
      <c r="K795" s="5">
        <f t="shared" si="38"/>
        <v>45474</v>
      </c>
    </row>
    <row r="796" spans="1:11" x14ac:dyDescent="0.25">
      <c r="A796" t="s">
        <v>2574</v>
      </c>
      <c r="B796" s="3">
        <v>45491</v>
      </c>
      <c r="C796">
        <v>5010</v>
      </c>
      <c r="D796" s="1">
        <v>17258.169999999998</v>
      </c>
      <c r="E796" s="1">
        <v>0</v>
      </c>
      <c r="F796" t="s">
        <v>2575</v>
      </c>
      <c r="G796" t="str">
        <f>_xlfn.XLOOKUP(C796,tblCOA[AccountNo],tblCOA[AccountName],"Unmapped")</f>
        <v>Cost of Goods Sold</v>
      </c>
      <c r="H796" t="str">
        <f>_xlfn.XLOOKUP(C796,tblCOA[AccountNo],tblCOA[Category],"Unmapped")</f>
        <v>Expenses</v>
      </c>
      <c r="I796" s="4">
        <f t="shared" si="36"/>
        <v>17258.169999999998</v>
      </c>
      <c r="J796">
        <f t="shared" si="37"/>
        <v>2024</v>
      </c>
      <c r="K796" s="5">
        <f t="shared" si="38"/>
        <v>45474</v>
      </c>
    </row>
    <row r="797" spans="1:11" x14ac:dyDescent="0.25">
      <c r="A797" t="s">
        <v>2576</v>
      </c>
      <c r="B797" s="3">
        <v>45491</v>
      </c>
      <c r="C797">
        <v>2010</v>
      </c>
      <c r="D797" s="1">
        <v>0</v>
      </c>
      <c r="E797" s="1">
        <v>17258.169999999998</v>
      </c>
      <c r="F797" t="s">
        <v>2577</v>
      </c>
      <c r="G797" t="str">
        <f>_xlfn.XLOOKUP(C797,tblCOA[AccountNo],tblCOA[AccountName],"Unmapped")</f>
        <v>Accounts Payable</v>
      </c>
      <c r="H797" t="str">
        <f>_xlfn.XLOOKUP(C797,tblCOA[AccountNo],tblCOA[Category],"Unmapped")</f>
        <v>Liabilities</v>
      </c>
      <c r="I797" s="4">
        <f t="shared" si="36"/>
        <v>-17258.169999999998</v>
      </c>
      <c r="J797">
        <f t="shared" si="37"/>
        <v>2024</v>
      </c>
      <c r="K797" s="5">
        <f t="shared" si="38"/>
        <v>45474</v>
      </c>
    </row>
    <row r="798" spans="1:11" x14ac:dyDescent="0.25">
      <c r="A798" t="s">
        <v>3782</v>
      </c>
      <c r="B798" s="3">
        <v>45494</v>
      </c>
      <c r="C798">
        <v>5010</v>
      </c>
      <c r="D798" s="1">
        <v>17591.189999999999</v>
      </c>
      <c r="E798" s="1">
        <v>0</v>
      </c>
      <c r="F798" t="s">
        <v>3783</v>
      </c>
      <c r="G798" t="str">
        <f>_xlfn.XLOOKUP(C798,tblCOA[AccountNo],tblCOA[AccountName],"Unmapped")</f>
        <v>Cost of Goods Sold</v>
      </c>
      <c r="H798" t="str">
        <f>_xlfn.XLOOKUP(C798,tblCOA[AccountNo],tblCOA[Category],"Unmapped")</f>
        <v>Expenses</v>
      </c>
      <c r="I798" s="4">
        <f t="shared" si="36"/>
        <v>17591.189999999999</v>
      </c>
      <c r="J798">
        <f t="shared" si="37"/>
        <v>2024</v>
      </c>
      <c r="K798" s="5">
        <f t="shared" si="38"/>
        <v>45474</v>
      </c>
    </row>
    <row r="799" spans="1:11" x14ac:dyDescent="0.25">
      <c r="A799" t="s">
        <v>3784</v>
      </c>
      <c r="B799" s="3">
        <v>45494</v>
      </c>
      <c r="C799">
        <v>2010</v>
      </c>
      <c r="D799" s="1">
        <v>0</v>
      </c>
      <c r="E799" s="1">
        <v>17591.189999999999</v>
      </c>
      <c r="F799" t="s">
        <v>3785</v>
      </c>
      <c r="G799" t="str">
        <f>_xlfn.XLOOKUP(C799,tblCOA[AccountNo],tblCOA[AccountName],"Unmapped")</f>
        <v>Accounts Payable</v>
      </c>
      <c r="H799" t="str">
        <f>_xlfn.XLOOKUP(C799,tblCOA[AccountNo],tblCOA[Category],"Unmapped")</f>
        <v>Liabilities</v>
      </c>
      <c r="I799" s="4">
        <f t="shared" si="36"/>
        <v>-17591.189999999999</v>
      </c>
      <c r="J799">
        <f t="shared" si="37"/>
        <v>2024</v>
      </c>
      <c r="K799" s="5">
        <f t="shared" si="38"/>
        <v>45474</v>
      </c>
    </row>
    <row r="800" spans="1:11" x14ac:dyDescent="0.25">
      <c r="A800" t="s">
        <v>338</v>
      </c>
      <c r="B800" s="3">
        <v>45496</v>
      </c>
      <c r="C800">
        <v>1200</v>
      </c>
      <c r="D800" s="1">
        <v>32202.43</v>
      </c>
      <c r="E800" s="1">
        <v>0</v>
      </c>
      <c r="F800" t="s">
        <v>339</v>
      </c>
      <c r="G800" t="str">
        <f>_xlfn.XLOOKUP(C800,tblCOA[AccountNo],tblCOA[AccountName],"Unmapped")</f>
        <v>Accounts Receivable</v>
      </c>
      <c r="H800" t="str">
        <f>_xlfn.XLOOKUP(C800,tblCOA[AccountNo],tblCOA[Category],"Unmapped")</f>
        <v>Assets</v>
      </c>
      <c r="I800" s="4">
        <f t="shared" si="36"/>
        <v>32202.43</v>
      </c>
      <c r="J800">
        <f t="shared" si="37"/>
        <v>2024</v>
      </c>
      <c r="K800" s="5">
        <f t="shared" si="38"/>
        <v>45474</v>
      </c>
    </row>
    <row r="801" spans="1:11" x14ac:dyDescent="0.25">
      <c r="A801" t="s">
        <v>340</v>
      </c>
      <c r="B801" s="3">
        <v>45496</v>
      </c>
      <c r="C801">
        <v>4010</v>
      </c>
      <c r="D801" s="1">
        <v>0</v>
      </c>
      <c r="E801" s="1">
        <v>32202.43</v>
      </c>
      <c r="F801" t="s">
        <v>341</v>
      </c>
      <c r="G801" t="str">
        <f>_xlfn.XLOOKUP(C801,tblCOA[AccountNo],tblCOA[AccountName],"Unmapped")</f>
        <v>Product Sales</v>
      </c>
      <c r="H801" t="str">
        <f>_xlfn.XLOOKUP(C801,tblCOA[AccountNo],tblCOA[Category],"Unmapped")</f>
        <v>Revenue</v>
      </c>
      <c r="I801" s="4">
        <f t="shared" si="36"/>
        <v>-32202.43</v>
      </c>
      <c r="J801">
        <f t="shared" si="37"/>
        <v>2024</v>
      </c>
      <c r="K801" s="5">
        <f t="shared" si="38"/>
        <v>45474</v>
      </c>
    </row>
    <row r="802" spans="1:11" x14ac:dyDescent="0.25">
      <c r="A802" t="s">
        <v>946</v>
      </c>
      <c r="B802" s="3">
        <v>45496</v>
      </c>
      <c r="C802">
        <v>1200</v>
      </c>
      <c r="D802" s="1">
        <v>23549.71</v>
      </c>
      <c r="E802" s="1">
        <v>0</v>
      </c>
      <c r="F802" t="s">
        <v>947</v>
      </c>
      <c r="G802" t="str">
        <f>_xlfn.XLOOKUP(C802,tblCOA[AccountNo],tblCOA[AccountName],"Unmapped")</f>
        <v>Accounts Receivable</v>
      </c>
      <c r="H802" t="str">
        <f>_xlfn.XLOOKUP(C802,tblCOA[AccountNo],tblCOA[Category],"Unmapped")</f>
        <v>Assets</v>
      </c>
      <c r="I802" s="4">
        <f t="shared" si="36"/>
        <v>23549.71</v>
      </c>
      <c r="J802">
        <f t="shared" si="37"/>
        <v>2024</v>
      </c>
      <c r="K802" s="5">
        <f t="shared" si="38"/>
        <v>45474</v>
      </c>
    </row>
    <row r="803" spans="1:11" x14ac:dyDescent="0.25">
      <c r="A803" t="s">
        <v>948</v>
      </c>
      <c r="B803" s="3">
        <v>45496</v>
      </c>
      <c r="C803">
        <v>4010</v>
      </c>
      <c r="D803" s="1">
        <v>0</v>
      </c>
      <c r="E803" s="1">
        <v>23549.71</v>
      </c>
      <c r="F803" t="s">
        <v>949</v>
      </c>
      <c r="G803" t="str">
        <f>_xlfn.XLOOKUP(C803,tblCOA[AccountNo],tblCOA[AccountName],"Unmapped")</f>
        <v>Product Sales</v>
      </c>
      <c r="H803" t="str">
        <f>_xlfn.XLOOKUP(C803,tblCOA[AccountNo],tblCOA[Category],"Unmapped")</f>
        <v>Revenue</v>
      </c>
      <c r="I803" s="4">
        <f t="shared" si="36"/>
        <v>-23549.71</v>
      </c>
      <c r="J803">
        <f t="shared" si="37"/>
        <v>2024</v>
      </c>
      <c r="K803" s="5">
        <f t="shared" si="38"/>
        <v>45474</v>
      </c>
    </row>
    <row r="804" spans="1:11" x14ac:dyDescent="0.25">
      <c r="A804" t="s">
        <v>3590</v>
      </c>
      <c r="B804" s="3">
        <v>45498</v>
      </c>
      <c r="C804">
        <v>5010</v>
      </c>
      <c r="D804" s="1">
        <v>810.6</v>
      </c>
      <c r="E804" s="1">
        <v>0</v>
      </c>
      <c r="F804" t="s">
        <v>3591</v>
      </c>
      <c r="G804" t="str">
        <f>_xlfn.XLOOKUP(C804,tblCOA[AccountNo],tblCOA[AccountName],"Unmapped")</f>
        <v>Cost of Goods Sold</v>
      </c>
      <c r="H804" t="str">
        <f>_xlfn.XLOOKUP(C804,tblCOA[AccountNo],tblCOA[Category],"Unmapped")</f>
        <v>Expenses</v>
      </c>
      <c r="I804" s="4">
        <f t="shared" si="36"/>
        <v>810.6</v>
      </c>
      <c r="J804">
        <f t="shared" si="37"/>
        <v>2024</v>
      </c>
      <c r="K804" s="5">
        <f t="shared" si="38"/>
        <v>45474</v>
      </c>
    </row>
    <row r="805" spans="1:11" x14ac:dyDescent="0.25">
      <c r="A805" t="s">
        <v>3592</v>
      </c>
      <c r="B805" s="3">
        <v>45498</v>
      </c>
      <c r="C805">
        <v>2010</v>
      </c>
      <c r="D805" s="1">
        <v>0</v>
      </c>
      <c r="E805" s="1">
        <v>810.6</v>
      </c>
      <c r="F805" t="s">
        <v>3593</v>
      </c>
      <c r="G805" t="str">
        <f>_xlfn.XLOOKUP(C805,tblCOA[AccountNo],tblCOA[AccountName],"Unmapped")</f>
        <v>Accounts Payable</v>
      </c>
      <c r="H805" t="str">
        <f>_xlfn.XLOOKUP(C805,tblCOA[AccountNo],tblCOA[Category],"Unmapped")</f>
        <v>Liabilities</v>
      </c>
      <c r="I805" s="4">
        <f t="shared" si="36"/>
        <v>-810.6</v>
      </c>
      <c r="J805">
        <f t="shared" si="37"/>
        <v>2024</v>
      </c>
      <c r="K805" s="5">
        <f t="shared" si="38"/>
        <v>45474</v>
      </c>
    </row>
    <row r="806" spans="1:11" x14ac:dyDescent="0.25">
      <c r="A806" t="s">
        <v>2074</v>
      </c>
      <c r="B806" s="3">
        <v>45500</v>
      </c>
      <c r="C806">
        <v>1200</v>
      </c>
      <c r="D806" s="1">
        <v>17371.830000000002</v>
      </c>
      <c r="E806" s="1">
        <v>0</v>
      </c>
      <c r="F806" t="s">
        <v>2075</v>
      </c>
      <c r="G806" t="str">
        <f>_xlfn.XLOOKUP(C806,tblCOA[AccountNo],tblCOA[AccountName],"Unmapped")</f>
        <v>Accounts Receivable</v>
      </c>
      <c r="H806" t="str">
        <f>_xlfn.XLOOKUP(C806,tblCOA[AccountNo],tblCOA[Category],"Unmapped")</f>
        <v>Assets</v>
      </c>
      <c r="I806" s="4">
        <f t="shared" si="36"/>
        <v>17371.830000000002</v>
      </c>
      <c r="J806">
        <f t="shared" si="37"/>
        <v>2024</v>
      </c>
      <c r="K806" s="5">
        <f t="shared" si="38"/>
        <v>45474</v>
      </c>
    </row>
    <row r="807" spans="1:11" x14ac:dyDescent="0.25">
      <c r="A807" t="s">
        <v>2076</v>
      </c>
      <c r="B807" s="3">
        <v>45500</v>
      </c>
      <c r="C807">
        <v>4010</v>
      </c>
      <c r="D807" s="1">
        <v>0</v>
      </c>
      <c r="E807" s="1">
        <v>17371.830000000002</v>
      </c>
      <c r="F807" t="s">
        <v>2077</v>
      </c>
      <c r="G807" t="str">
        <f>_xlfn.XLOOKUP(C807,tblCOA[AccountNo],tblCOA[AccountName],"Unmapped")</f>
        <v>Product Sales</v>
      </c>
      <c r="H807" t="str">
        <f>_xlfn.XLOOKUP(C807,tblCOA[AccountNo],tblCOA[Category],"Unmapped")</f>
        <v>Revenue</v>
      </c>
      <c r="I807" s="4">
        <f t="shared" si="36"/>
        <v>-17371.830000000002</v>
      </c>
      <c r="J807">
        <f t="shared" si="37"/>
        <v>2024</v>
      </c>
      <c r="K807" s="5">
        <f t="shared" si="38"/>
        <v>45474</v>
      </c>
    </row>
    <row r="808" spans="1:11" x14ac:dyDescent="0.25">
      <c r="A808" t="s">
        <v>1850</v>
      </c>
      <c r="B808" s="3">
        <v>45504</v>
      </c>
      <c r="C808">
        <v>1200</v>
      </c>
      <c r="D808" s="1">
        <v>12729.74</v>
      </c>
      <c r="E808" s="1">
        <v>0</v>
      </c>
      <c r="F808" t="s">
        <v>1851</v>
      </c>
      <c r="G808" t="str">
        <f>_xlfn.XLOOKUP(C808,tblCOA[AccountNo],tblCOA[AccountName],"Unmapped")</f>
        <v>Accounts Receivable</v>
      </c>
      <c r="H808" t="str">
        <f>_xlfn.XLOOKUP(C808,tblCOA[AccountNo],tblCOA[Category],"Unmapped")</f>
        <v>Assets</v>
      </c>
      <c r="I808" s="4">
        <f t="shared" si="36"/>
        <v>12729.74</v>
      </c>
      <c r="J808">
        <f t="shared" si="37"/>
        <v>2024</v>
      </c>
      <c r="K808" s="5">
        <f t="shared" si="38"/>
        <v>45474</v>
      </c>
    </row>
    <row r="809" spans="1:11" x14ac:dyDescent="0.25">
      <c r="A809" t="s">
        <v>1852</v>
      </c>
      <c r="B809" s="3">
        <v>45504</v>
      </c>
      <c r="C809">
        <v>4010</v>
      </c>
      <c r="D809" s="1">
        <v>0</v>
      </c>
      <c r="E809" s="1">
        <v>12729.74</v>
      </c>
      <c r="F809" t="s">
        <v>1853</v>
      </c>
      <c r="G809" t="str">
        <f>_xlfn.XLOOKUP(C809,tblCOA[AccountNo],tblCOA[AccountName],"Unmapped")</f>
        <v>Product Sales</v>
      </c>
      <c r="H809" t="str">
        <f>_xlfn.XLOOKUP(C809,tblCOA[AccountNo],tblCOA[Category],"Unmapped")</f>
        <v>Revenue</v>
      </c>
      <c r="I809" s="4">
        <f t="shared" si="36"/>
        <v>-12729.74</v>
      </c>
      <c r="J809">
        <f t="shared" si="37"/>
        <v>2024</v>
      </c>
      <c r="K809" s="5">
        <f t="shared" si="38"/>
        <v>45474</v>
      </c>
    </row>
    <row r="810" spans="1:11" x14ac:dyDescent="0.25">
      <c r="A810" t="s">
        <v>2566</v>
      </c>
      <c r="B810" s="3">
        <v>45506</v>
      </c>
      <c r="C810">
        <v>5010</v>
      </c>
      <c r="D810" s="1">
        <v>3523.97</v>
      </c>
      <c r="E810" s="1">
        <v>0</v>
      </c>
      <c r="F810" t="s">
        <v>2567</v>
      </c>
      <c r="G810" t="str">
        <f>_xlfn.XLOOKUP(C810,tblCOA[AccountNo],tblCOA[AccountName],"Unmapped")</f>
        <v>Cost of Goods Sold</v>
      </c>
      <c r="H810" t="str">
        <f>_xlfn.XLOOKUP(C810,tblCOA[AccountNo],tblCOA[Category],"Unmapped")</f>
        <v>Expenses</v>
      </c>
      <c r="I810" s="4">
        <f t="shared" si="36"/>
        <v>3523.97</v>
      </c>
      <c r="J810">
        <f t="shared" si="37"/>
        <v>2024</v>
      </c>
      <c r="K810" s="5">
        <f t="shared" si="38"/>
        <v>45505</v>
      </c>
    </row>
    <row r="811" spans="1:11" x14ac:dyDescent="0.25">
      <c r="A811" t="s">
        <v>2568</v>
      </c>
      <c r="B811" s="3">
        <v>45506</v>
      </c>
      <c r="C811">
        <v>2010</v>
      </c>
      <c r="D811" s="1">
        <v>0</v>
      </c>
      <c r="E811" s="1">
        <v>3523.97</v>
      </c>
      <c r="F811" t="s">
        <v>2569</v>
      </c>
      <c r="G811" t="str">
        <f>_xlfn.XLOOKUP(C811,tblCOA[AccountNo],tblCOA[AccountName],"Unmapped")</f>
        <v>Accounts Payable</v>
      </c>
      <c r="H811" t="str">
        <f>_xlfn.XLOOKUP(C811,tblCOA[AccountNo],tblCOA[Category],"Unmapped")</f>
        <v>Liabilities</v>
      </c>
      <c r="I811" s="4">
        <f t="shared" si="36"/>
        <v>-3523.97</v>
      </c>
      <c r="J811">
        <f t="shared" si="37"/>
        <v>2024</v>
      </c>
      <c r="K811" s="5">
        <f t="shared" si="38"/>
        <v>45505</v>
      </c>
    </row>
    <row r="812" spans="1:11" x14ac:dyDescent="0.25">
      <c r="A812" t="s">
        <v>1370</v>
      </c>
      <c r="B812" s="3">
        <v>45506</v>
      </c>
      <c r="C812">
        <v>1200</v>
      </c>
      <c r="D812" s="1">
        <v>26456.400000000001</v>
      </c>
      <c r="E812" s="1">
        <v>0</v>
      </c>
      <c r="F812" t="s">
        <v>1371</v>
      </c>
      <c r="G812" t="str">
        <f>_xlfn.XLOOKUP(C812,tblCOA[AccountNo],tblCOA[AccountName],"Unmapped")</f>
        <v>Accounts Receivable</v>
      </c>
      <c r="H812" t="str">
        <f>_xlfn.XLOOKUP(C812,tblCOA[AccountNo],tblCOA[Category],"Unmapped")</f>
        <v>Assets</v>
      </c>
      <c r="I812" s="4">
        <f t="shared" si="36"/>
        <v>26456.400000000001</v>
      </c>
      <c r="J812">
        <f t="shared" si="37"/>
        <v>2024</v>
      </c>
      <c r="K812" s="5">
        <f t="shared" si="38"/>
        <v>45505</v>
      </c>
    </row>
    <row r="813" spans="1:11" x14ac:dyDescent="0.25">
      <c r="A813" t="s">
        <v>1372</v>
      </c>
      <c r="B813" s="3">
        <v>45506</v>
      </c>
      <c r="C813">
        <v>4010</v>
      </c>
      <c r="D813" s="1">
        <v>0</v>
      </c>
      <c r="E813" s="1">
        <v>26456.400000000001</v>
      </c>
      <c r="F813" t="s">
        <v>1373</v>
      </c>
      <c r="G813" t="str">
        <f>_xlfn.XLOOKUP(C813,tblCOA[AccountNo],tblCOA[AccountName],"Unmapped")</f>
        <v>Product Sales</v>
      </c>
      <c r="H813" t="str">
        <f>_xlfn.XLOOKUP(C813,tblCOA[AccountNo],tblCOA[Category],"Unmapped")</f>
        <v>Revenue</v>
      </c>
      <c r="I813" s="4">
        <f t="shared" si="36"/>
        <v>-26456.400000000001</v>
      </c>
      <c r="J813">
        <f t="shared" si="37"/>
        <v>2024</v>
      </c>
      <c r="K813" s="5">
        <f t="shared" si="38"/>
        <v>45505</v>
      </c>
    </row>
    <row r="814" spans="1:11" x14ac:dyDescent="0.25">
      <c r="A814" t="s">
        <v>3878</v>
      </c>
      <c r="B814" s="3">
        <v>45508</v>
      </c>
      <c r="C814">
        <v>5010</v>
      </c>
      <c r="D814" s="1">
        <v>717.7</v>
      </c>
      <c r="E814" s="1">
        <v>0</v>
      </c>
      <c r="F814" t="s">
        <v>3879</v>
      </c>
      <c r="G814" t="str">
        <f>_xlfn.XLOOKUP(C814,tblCOA[AccountNo],tblCOA[AccountName],"Unmapped")</f>
        <v>Cost of Goods Sold</v>
      </c>
      <c r="H814" t="str">
        <f>_xlfn.XLOOKUP(C814,tblCOA[AccountNo],tblCOA[Category],"Unmapped")</f>
        <v>Expenses</v>
      </c>
      <c r="I814" s="4">
        <f t="shared" si="36"/>
        <v>717.7</v>
      </c>
      <c r="J814">
        <f t="shared" si="37"/>
        <v>2024</v>
      </c>
      <c r="K814" s="5">
        <f t="shared" si="38"/>
        <v>45505</v>
      </c>
    </row>
    <row r="815" spans="1:11" x14ac:dyDescent="0.25">
      <c r="A815" t="s">
        <v>3880</v>
      </c>
      <c r="B815" s="3">
        <v>45508</v>
      </c>
      <c r="C815">
        <v>2010</v>
      </c>
      <c r="D815" s="1">
        <v>0</v>
      </c>
      <c r="E815" s="1">
        <v>717.7</v>
      </c>
      <c r="F815" t="s">
        <v>3881</v>
      </c>
      <c r="G815" t="str">
        <f>_xlfn.XLOOKUP(C815,tblCOA[AccountNo],tblCOA[AccountName],"Unmapped")</f>
        <v>Accounts Payable</v>
      </c>
      <c r="H815" t="str">
        <f>_xlfn.XLOOKUP(C815,tblCOA[AccountNo],tblCOA[Category],"Unmapped")</f>
        <v>Liabilities</v>
      </c>
      <c r="I815" s="4">
        <f t="shared" si="36"/>
        <v>-717.7</v>
      </c>
      <c r="J815">
        <f t="shared" si="37"/>
        <v>2024</v>
      </c>
      <c r="K815" s="5">
        <f t="shared" si="38"/>
        <v>45505</v>
      </c>
    </row>
    <row r="816" spans="1:11" x14ac:dyDescent="0.25">
      <c r="A816" t="s">
        <v>498</v>
      </c>
      <c r="B816" s="3">
        <v>45509</v>
      </c>
      <c r="C816">
        <v>1200</v>
      </c>
      <c r="D816" s="1">
        <v>48863.27</v>
      </c>
      <c r="E816" s="1">
        <v>0</v>
      </c>
      <c r="F816" t="s">
        <v>499</v>
      </c>
      <c r="G816" t="str">
        <f>_xlfn.XLOOKUP(C816,tblCOA[AccountNo],tblCOA[AccountName],"Unmapped")</f>
        <v>Accounts Receivable</v>
      </c>
      <c r="H816" t="str">
        <f>_xlfn.XLOOKUP(C816,tblCOA[AccountNo],tblCOA[Category],"Unmapped")</f>
        <v>Assets</v>
      </c>
      <c r="I816" s="4">
        <f t="shared" si="36"/>
        <v>48863.27</v>
      </c>
      <c r="J816">
        <f t="shared" si="37"/>
        <v>2024</v>
      </c>
      <c r="K816" s="5">
        <f t="shared" si="38"/>
        <v>45505</v>
      </c>
    </row>
    <row r="817" spans="1:11" x14ac:dyDescent="0.25">
      <c r="A817" t="s">
        <v>500</v>
      </c>
      <c r="B817" s="3">
        <v>45509</v>
      </c>
      <c r="C817">
        <v>4010</v>
      </c>
      <c r="D817" s="1">
        <v>0</v>
      </c>
      <c r="E817" s="1">
        <v>48863.27</v>
      </c>
      <c r="F817" t="s">
        <v>501</v>
      </c>
      <c r="G817" t="str">
        <f>_xlfn.XLOOKUP(C817,tblCOA[AccountNo],tblCOA[AccountName],"Unmapped")</f>
        <v>Product Sales</v>
      </c>
      <c r="H817" t="str">
        <f>_xlfn.XLOOKUP(C817,tblCOA[AccountNo],tblCOA[Category],"Unmapped")</f>
        <v>Revenue</v>
      </c>
      <c r="I817" s="4">
        <f t="shared" si="36"/>
        <v>-48863.27</v>
      </c>
      <c r="J817">
        <f t="shared" si="37"/>
        <v>2024</v>
      </c>
      <c r="K817" s="5">
        <f t="shared" si="38"/>
        <v>45505</v>
      </c>
    </row>
    <row r="818" spans="1:11" x14ac:dyDescent="0.25">
      <c r="A818" t="s">
        <v>2026</v>
      </c>
      <c r="B818" s="3">
        <v>45512</v>
      </c>
      <c r="C818">
        <v>1200</v>
      </c>
      <c r="D818" s="1">
        <v>36413.5</v>
      </c>
      <c r="E818" s="1">
        <v>0</v>
      </c>
      <c r="F818" t="s">
        <v>2027</v>
      </c>
      <c r="G818" t="str">
        <f>_xlfn.XLOOKUP(C818,tblCOA[AccountNo],tblCOA[AccountName],"Unmapped")</f>
        <v>Accounts Receivable</v>
      </c>
      <c r="H818" t="str">
        <f>_xlfn.XLOOKUP(C818,tblCOA[AccountNo],tblCOA[Category],"Unmapped")</f>
        <v>Assets</v>
      </c>
      <c r="I818" s="4">
        <f t="shared" si="36"/>
        <v>36413.5</v>
      </c>
      <c r="J818">
        <f t="shared" si="37"/>
        <v>2024</v>
      </c>
      <c r="K818" s="5">
        <f t="shared" si="38"/>
        <v>45505</v>
      </c>
    </row>
    <row r="819" spans="1:11" x14ac:dyDescent="0.25">
      <c r="A819" t="s">
        <v>2028</v>
      </c>
      <c r="B819" s="3">
        <v>45512</v>
      </c>
      <c r="C819">
        <v>4010</v>
      </c>
      <c r="D819" s="1">
        <v>0</v>
      </c>
      <c r="E819" s="1">
        <v>36413.5</v>
      </c>
      <c r="F819" t="s">
        <v>2029</v>
      </c>
      <c r="G819" t="str">
        <f>_xlfn.XLOOKUP(C819,tblCOA[AccountNo],tblCOA[AccountName],"Unmapped")</f>
        <v>Product Sales</v>
      </c>
      <c r="H819" t="str">
        <f>_xlfn.XLOOKUP(C819,tblCOA[AccountNo],tblCOA[Category],"Unmapped")</f>
        <v>Revenue</v>
      </c>
      <c r="I819" s="4">
        <f t="shared" si="36"/>
        <v>-36413.5</v>
      </c>
      <c r="J819">
        <f t="shared" si="37"/>
        <v>2024</v>
      </c>
      <c r="K819" s="5">
        <f t="shared" si="38"/>
        <v>45505</v>
      </c>
    </row>
    <row r="820" spans="1:11" x14ac:dyDescent="0.25">
      <c r="A820" t="s">
        <v>926</v>
      </c>
      <c r="B820" s="3">
        <v>45512</v>
      </c>
      <c r="C820">
        <v>5010</v>
      </c>
      <c r="D820" s="1">
        <v>10333.629999999999</v>
      </c>
      <c r="E820" s="1">
        <v>0</v>
      </c>
      <c r="F820" t="s">
        <v>927</v>
      </c>
      <c r="G820" t="str">
        <f>_xlfn.XLOOKUP(C820,tblCOA[AccountNo],tblCOA[AccountName],"Unmapped")</f>
        <v>Cost of Goods Sold</v>
      </c>
      <c r="H820" t="str">
        <f>_xlfn.XLOOKUP(C820,tblCOA[AccountNo],tblCOA[Category],"Unmapped")</f>
        <v>Expenses</v>
      </c>
      <c r="I820" s="4">
        <f t="shared" si="36"/>
        <v>10333.629999999999</v>
      </c>
      <c r="J820">
        <f t="shared" si="37"/>
        <v>2024</v>
      </c>
      <c r="K820" s="5">
        <f t="shared" si="38"/>
        <v>45505</v>
      </c>
    </row>
    <row r="821" spans="1:11" x14ac:dyDescent="0.25">
      <c r="A821" t="s">
        <v>928</v>
      </c>
      <c r="B821" s="3">
        <v>45512</v>
      </c>
      <c r="C821">
        <v>2010</v>
      </c>
      <c r="D821" s="1">
        <v>0</v>
      </c>
      <c r="E821" s="1">
        <v>10333.629999999999</v>
      </c>
      <c r="F821" t="s">
        <v>929</v>
      </c>
      <c r="G821" t="str">
        <f>_xlfn.XLOOKUP(C821,tblCOA[AccountNo],tblCOA[AccountName],"Unmapped")</f>
        <v>Accounts Payable</v>
      </c>
      <c r="H821" t="str">
        <f>_xlfn.XLOOKUP(C821,tblCOA[AccountNo],tblCOA[Category],"Unmapped")</f>
        <v>Liabilities</v>
      </c>
      <c r="I821" s="4">
        <f t="shared" si="36"/>
        <v>-10333.629999999999</v>
      </c>
      <c r="J821">
        <f t="shared" si="37"/>
        <v>2024</v>
      </c>
      <c r="K821" s="5">
        <f t="shared" si="38"/>
        <v>45505</v>
      </c>
    </row>
    <row r="822" spans="1:11" x14ac:dyDescent="0.25">
      <c r="A822" t="s">
        <v>3462</v>
      </c>
      <c r="B822" s="3">
        <v>45515</v>
      </c>
      <c r="C822">
        <v>5010</v>
      </c>
      <c r="D822" s="1">
        <v>15023.41</v>
      </c>
      <c r="E822" s="1">
        <v>0</v>
      </c>
      <c r="F822" t="s">
        <v>3463</v>
      </c>
      <c r="G822" t="str">
        <f>_xlfn.XLOOKUP(C822,tblCOA[AccountNo],tblCOA[AccountName],"Unmapped")</f>
        <v>Cost of Goods Sold</v>
      </c>
      <c r="H822" t="str">
        <f>_xlfn.XLOOKUP(C822,tblCOA[AccountNo],tblCOA[Category],"Unmapped")</f>
        <v>Expenses</v>
      </c>
      <c r="I822" s="4">
        <f t="shared" si="36"/>
        <v>15023.41</v>
      </c>
      <c r="J822">
        <f t="shared" si="37"/>
        <v>2024</v>
      </c>
      <c r="K822" s="5">
        <f t="shared" si="38"/>
        <v>45505</v>
      </c>
    </row>
    <row r="823" spans="1:11" x14ac:dyDescent="0.25">
      <c r="A823" t="s">
        <v>3464</v>
      </c>
      <c r="B823" s="3">
        <v>45515</v>
      </c>
      <c r="C823">
        <v>2010</v>
      </c>
      <c r="D823" s="1">
        <v>0</v>
      </c>
      <c r="E823" s="1">
        <v>15023.41</v>
      </c>
      <c r="F823" t="s">
        <v>3465</v>
      </c>
      <c r="G823" t="str">
        <f>_xlfn.XLOOKUP(C823,tblCOA[AccountNo],tblCOA[AccountName],"Unmapped")</f>
        <v>Accounts Payable</v>
      </c>
      <c r="H823" t="str">
        <f>_xlfn.XLOOKUP(C823,tblCOA[AccountNo],tblCOA[Category],"Unmapped")</f>
        <v>Liabilities</v>
      </c>
      <c r="I823" s="4">
        <f t="shared" si="36"/>
        <v>-15023.41</v>
      </c>
      <c r="J823">
        <f t="shared" si="37"/>
        <v>2024</v>
      </c>
      <c r="K823" s="5">
        <f t="shared" si="38"/>
        <v>45505</v>
      </c>
    </row>
    <row r="824" spans="1:11" x14ac:dyDescent="0.25">
      <c r="A824" t="s">
        <v>2598</v>
      </c>
      <c r="B824" s="3">
        <v>45516</v>
      </c>
      <c r="C824">
        <v>5010</v>
      </c>
      <c r="D824" s="1">
        <v>19321.8</v>
      </c>
      <c r="E824" s="1">
        <v>0</v>
      </c>
      <c r="F824" t="s">
        <v>2599</v>
      </c>
      <c r="G824" t="str">
        <f>_xlfn.XLOOKUP(C824,tblCOA[AccountNo],tblCOA[AccountName],"Unmapped")</f>
        <v>Cost of Goods Sold</v>
      </c>
      <c r="H824" t="str">
        <f>_xlfn.XLOOKUP(C824,tblCOA[AccountNo],tblCOA[Category],"Unmapped")</f>
        <v>Expenses</v>
      </c>
      <c r="I824" s="4">
        <f t="shared" si="36"/>
        <v>19321.8</v>
      </c>
      <c r="J824">
        <f t="shared" si="37"/>
        <v>2024</v>
      </c>
      <c r="K824" s="5">
        <f t="shared" si="38"/>
        <v>45505</v>
      </c>
    </row>
    <row r="825" spans="1:11" x14ac:dyDescent="0.25">
      <c r="A825" t="s">
        <v>2600</v>
      </c>
      <c r="B825" s="3">
        <v>45516</v>
      </c>
      <c r="C825">
        <v>2010</v>
      </c>
      <c r="D825" s="1">
        <v>0</v>
      </c>
      <c r="E825" s="1">
        <v>19321.8</v>
      </c>
      <c r="F825" t="s">
        <v>2601</v>
      </c>
      <c r="G825" t="str">
        <f>_xlfn.XLOOKUP(C825,tblCOA[AccountNo],tblCOA[AccountName],"Unmapped")</f>
        <v>Accounts Payable</v>
      </c>
      <c r="H825" t="str">
        <f>_xlfn.XLOOKUP(C825,tblCOA[AccountNo],tblCOA[Category],"Unmapped")</f>
        <v>Liabilities</v>
      </c>
      <c r="I825" s="4">
        <f t="shared" si="36"/>
        <v>-19321.8</v>
      </c>
      <c r="J825">
        <f t="shared" si="37"/>
        <v>2024</v>
      </c>
      <c r="K825" s="5">
        <f t="shared" si="38"/>
        <v>45505</v>
      </c>
    </row>
    <row r="826" spans="1:11" x14ac:dyDescent="0.25">
      <c r="A826" t="s">
        <v>1666</v>
      </c>
      <c r="B826" s="3">
        <v>45516</v>
      </c>
      <c r="C826">
        <v>1200</v>
      </c>
      <c r="D826" s="1">
        <v>30870.61</v>
      </c>
      <c r="E826" s="1">
        <v>0</v>
      </c>
      <c r="F826" t="s">
        <v>1667</v>
      </c>
      <c r="G826" t="str">
        <f>_xlfn.XLOOKUP(C826,tblCOA[AccountNo],tblCOA[AccountName],"Unmapped")</f>
        <v>Accounts Receivable</v>
      </c>
      <c r="H826" t="str">
        <f>_xlfn.XLOOKUP(C826,tblCOA[AccountNo],tblCOA[Category],"Unmapped")</f>
        <v>Assets</v>
      </c>
      <c r="I826" s="4">
        <f t="shared" si="36"/>
        <v>30870.61</v>
      </c>
      <c r="J826">
        <f t="shared" si="37"/>
        <v>2024</v>
      </c>
      <c r="K826" s="5">
        <f t="shared" si="38"/>
        <v>45505</v>
      </c>
    </row>
    <row r="827" spans="1:11" x14ac:dyDescent="0.25">
      <c r="A827" t="s">
        <v>1668</v>
      </c>
      <c r="B827" s="3">
        <v>45516</v>
      </c>
      <c r="C827">
        <v>4010</v>
      </c>
      <c r="D827" s="1">
        <v>0</v>
      </c>
      <c r="E827" s="1">
        <v>30870.61</v>
      </c>
      <c r="F827" t="s">
        <v>1669</v>
      </c>
      <c r="G827" t="str">
        <f>_xlfn.XLOOKUP(C827,tblCOA[AccountNo],tblCOA[AccountName],"Unmapped")</f>
        <v>Product Sales</v>
      </c>
      <c r="H827" t="str">
        <f>_xlfn.XLOOKUP(C827,tblCOA[AccountNo],tblCOA[Category],"Unmapped")</f>
        <v>Revenue</v>
      </c>
      <c r="I827" s="4">
        <f t="shared" si="36"/>
        <v>-30870.61</v>
      </c>
      <c r="J827">
        <f t="shared" si="37"/>
        <v>2024</v>
      </c>
      <c r="K827" s="5">
        <f t="shared" si="38"/>
        <v>45505</v>
      </c>
    </row>
    <row r="828" spans="1:11" x14ac:dyDescent="0.25">
      <c r="A828" t="s">
        <v>2586</v>
      </c>
      <c r="B828" s="3">
        <v>45517</v>
      </c>
      <c r="C828">
        <v>1200</v>
      </c>
      <c r="D828" s="1">
        <v>16562.900000000001</v>
      </c>
      <c r="E828" s="1">
        <v>0</v>
      </c>
      <c r="F828" t="s">
        <v>2587</v>
      </c>
      <c r="G828" t="str">
        <f>_xlfn.XLOOKUP(C828,tblCOA[AccountNo],tblCOA[AccountName],"Unmapped")</f>
        <v>Accounts Receivable</v>
      </c>
      <c r="H828" t="str">
        <f>_xlfn.XLOOKUP(C828,tblCOA[AccountNo],tblCOA[Category],"Unmapped")</f>
        <v>Assets</v>
      </c>
      <c r="I828" s="4">
        <f t="shared" si="36"/>
        <v>16562.900000000001</v>
      </c>
      <c r="J828">
        <f t="shared" si="37"/>
        <v>2024</v>
      </c>
      <c r="K828" s="5">
        <f t="shared" si="38"/>
        <v>45505</v>
      </c>
    </row>
    <row r="829" spans="1:11" x14ac:dyDescent="0.25">
      <c r="A829" t="s">
        <v>2588</v>
      </c>
      <c r="B829" s="3">
        <v>45517</v>
      </c>
      <c r="C829">
        <v>4010</v>
      </c>
      <c r="D829" s="1">
        <v>0</v>
      </c>
      <c r="E829" s="1">
        <v>16562.900000000001</v>
      </c>
      <c r="F829" t="s">
        <v>2589</v>
      </c>
      <c r="G829" t="str">
        <f>_xlfn.XLOOKUP(C829,tblCOA[AccountNo],tblCOA[AccountName],"Unmapped")</f>
        <v>Product Sales</v>
      </c>
      <c r="H829" t="str">
        <f>_xlfn.XLOOKUP(C829,tblCOA[AccountNo],tblCOA[Category],"Unmapped")</f>
        <v>Revenue</v>
      </c>
      <c r="I829" s="4">
        <f t="shared" si="36"/>
        <v>-16562.900000000001</v>
      </c>
      <c r="J829">
        <f t="shared" si="37"/>
        <v>2024</v>
      </c>
      <c r="K829" s="5">
        <f t="shared" si="38"/>
        <v>45505</v>
      </c>
    </row>
    <row r="830" spans="1:11" x14ac:dyDescent="0.25">
      <c r="A830" t="s">
        <v>98</v>
      </c>
      <c r="B830" s="3">
        <v>45517</v>
      </c>
      <c r="C830">
        <v>1200</v>
      </c>
      <c r="D830" s="1">
        <v>27612.87</v>
      </c>
      <c r="E830" s="1">
        <v>0</v>
      </c>
      <c r="F830" t="s">
        <v>99</v>
      </c>
      <c r="G830" t="str">
        <f>_xlfn.XLOOKUP(C830,tblCOA[AccountNo],tblCOA[AccountName],"Unmapped")</f>
        <v>Accounts Receivable</v>
      </c>
      <c r="H830" t="str">
        <f>_xlfn.XLOOKUP(C830,tblCOA[AccountNo],tblCOA[Category],"Unmapped")</f>
        <v>Assets</v>
      </c>
      <c r="I830" s="4">
        <f t="shared" si="36"/>
        <v>27612.87</v>
      </c>
      <c r="J830">
        <f t="shared" si="37"/>
        <v>2024</v>
      </c>
      <c r="K830" s="5">
        <f t="shared" si="38"/>
        <v>45505</v>
      </c>
    </row>
    <row r="831" spans="1:11" x14ac:dyDescent="0.25">
      <c r="A831" t="s">
        <v>100</v>
      </c>
      <c r="B831" s="3">
        <v>45517</v>
      </c>
      <c r="C831">
        <v>4010</v>
      </c>
      <c r="D831" s="1">
        <v>0</v>
      </c>
      <c r="E831" s="1">
        <v>27612.87</v>
      </c>
      <c r="F831" t="s">
        <v>101</v>
      </c>
      <c r="G831" t="str">
        <f>_xlfn.XLOOKUP(C831,tblCOA[AccountNo],tblCOA[AccountName],"Unmapped")</f>
        <v>Product Sales</v>
      </c>
      <c r="H831" t="str">
        <f>_xlfn.XLOOKUP(C831,tblCOA[AccountNo],tblCOA[Category],"Unmapped")</f>
        <v>Revenue</v>
      </c>
      <c r="I831" s="4">
        <f t="shared" si="36"/>
        <v>-27612.87</v>
      </c>
      <c r="J831">
        <f t="shared" si="37"/>
        <v>2024</v>
      </c>
      <c r="K831" s="5">
        <f t="shared" si="38"/>
        <v>45505</v>
      </c>
    </row>
    <row r="832" spans="1:11" x14ac:dyDescent="0.25">
      <c r="A832" t="s">
        <v>3670</v>
      </c>
      <c r="B832" s="3">
        <v>45518</v>
      </c>
      <c r="C832">
        <v>5010</v>
      </c>
      <c r="D832" s="1">
        <v>16470.7</v>
      </c>
      <c r="E832" s="1">
        <v>0</v>
      </c>
      <c r="F832" t="s">
        <v>3671</v>
      </c>
      <c r="G832" t="str">
        <f>_xlfn.XLOOKUP(C832,tblCOA[AccountNo],tblCOA[AccountName],"Unmapped")</f>
        <v>Cost of Goods Sold</v>
      </c>
      <c r="H832" t="str">
        <f>_xlfn.XLOOKUP(C832,tblCOA[AccountNo],tblCOA[Category],"Unmapped")</f>
        <v>Expenses</v>
      </c>
      <c r="I832" s="4">
        <f t="shared" si="36"/>
        <v>16470.7</v>
      </c>
      <c r="J832">
        <f t="shared" si="37"/>
        <v>2024</v>
      </c>
      <c r="K832" s="5">
        <f t="shared" si="38"/>
        <v>45505</v>
      </c>
    </row>
    <row r="833" spans="1:11" x14ac:dyDescent="0.25">
      <c r="A833" t="s">
        <v>3672</v>
      </c>
      <c r="B833" s="3">
        <v>45518</v>
      </c>
      <c r="C833">
        <v>2010</v>
      </c>
      <c r="D833" s="1">
        <v>0</v>
      </c>
      <c r="E833" s="1">
        <v>16470.7</v>
      </c>
      <c r="F833" t="s">
        <v>3673</v>
      </c>
      <c r="G833" t="str">
        <f>_xlfn.XLOOKUP(C833,tblCOA[AccountNo],tblCOA[AccountName],"Unmapped")</f>
        <v>Accounts Payable</v>
      </c>
      <c r="H833" t="str">
        <f>_xlfn.XLOOKUP(C833,tblCOA[AccountNo],tblCOA[Category],"Unmapped")</f>
        <v>Liabilities</v>
      </c>
      <c r="I833" s="4">
        <f t="shared" si="36"/>
        <v>-16470.7</v>
      </c>
      <c r="J833">
        <f t="shared" si="37"/>
        <v>2024</v>
      </c>
      <c r="K833" s="5">
        <f t="shared" si="38"/>
        <v>45505</v>
      </c>
    </row>
    <row r="834" spans="1:11" x14ac:dyDescent="0.25">
      <c r="A834" t="s">
        <v>378</v>
      </c>
      <c r="B834" s="3">
        <v>45518</v>
      </c>
      <c r="C834">
        <v>1200</v>
      </c>
      <c r="D834" s="1">
        <v>20740.48</v>
      </c>
      <c r="E834" s="1">
        <v>0</v>
      </c>
      <c r="F834" t="s">
        <v>379</v>
      </c>
      <c r="G834" t="str">
        <f>_xlfn.XLOOKUP(C834,tblCOA[AccountNo],tblCOA[AccountName],"Unmapped")</f>
        <v>Accounts Receivable</v>
      </c>
      <c r="H834" t="str">
        <f>_xlfn.XLOOKUP(C834,tblCOA[AccountNo],tblCOA[Category],"Unmapped")</f>
        <v>Assets</v>
      </c>
      <c r="I834" s="4">
        <f t="shared" ref="I834:I897" si="39">D834-E834</f>
        <v>20740.48</v>
      </c>
      <c r="J834">
        <f t="shared" ref="J834:J897" si="40">YEAR(B834)</f>
        <v>2024</v>
      </c>
      <c r="K834" s="5">
        <f t="shared" ref="K834:K897" si="41">DATE(YEAR(B834),MONTH(B834),1)</f>
        <v>45505</v>
      </c>
    </row>
    <row r="835" spans="1:11" x14ac:dyDescent="0.25">
      <c r="A835" t="s">
        <v>380</v>
      </c>
      <c r="B835" s="3">
        <v>45518</v>
      </c>
      <c r="C835">
        <v>4010</v>
      </c>
      <c r="D835" s="1">
        <v>0</v>
      </c>
      <c r="E835" s="1">
        <v>20740.48</v>
      </c>
      <c r="F835" t="s">
        <v>381</v>
      </c>
      <c r="G835" t="str">
        <f>_xlfn.XLOOKUP(C835,tblCOA[AccountNo],tblCOA[AccountName],"Unmapped")</f>
        <v>Product Sales</v>
      </c>
      <c r="H835" t="str">
        <f>_xlfn.XLOOKUP(C835,tblCOA[AccountNo],tblCOA[Category],"Unmapped")</f>
        <v>Revenue</v>
      </c>
      <c r="I835" s="4">
        <f t="shared" si="39"/>
        <v>-20740.48</v>
      </c>
      <c r="J835">
        <f t="shared" si="40"/>
        <v>2024</v>
      </c>
      <c r="K835" s="5">
        <f t="shared" si="41"/>
        <v>45505</v>
      </c>
    </row>
    <row r="836" spans="1:11" x14ac:dyDescent="0.25">
      <c r="A836" t="s">
        <v>2778</v>
      </c>
      <c r="B836" s="3">
        <v>45520</v>
      </c>
      <c r="C836">
        <v>1200</v>
      </c>
      <c r="D836" s="1">
        <v>19461.96</v>
      </c>
      <c r="E836" s="1">
        <v>0</v>
      </c>
      <c r="F836" t="s">
        <v>2779</v>
      </c>
      <c r="G836" t="str">
        <f>_xlfn.XLOOKUP(C836,tblCOA[AccountNo],tblCOA[AccountName],"Unmapped")</f>
        <v>Accounts Receivable</v>
      </c>
      <c r="H836" t="str">
        <f>_xlfn.XLOOKUP(C836,tblCOA[AccountNo],tblCOA[Category],"Unmapped")</f>
        <v>Assets</v>
      </c>
      <c r="I836" s="4">
        <f t="shared" si="39"/>
        <v>19461.96</v>
      </c>
      <c r="J836">
        <f t="shared" si="40"/>
        <v>2024</v>
      </c>
      <c r="K836" s="5">
        <f t="shared" si="41"/>
        <v>45505</v>
      </c>
    </row>
    <row r="837" spans="1:11" x14ac:dyDescent="0.25">
      <c r="A837" t="s">
        <v>2780</v>
      </c>
      <c r="B837" s="3">
        <v>45520</v>
      </c>
      <c r="C837">
        <v>4010</v>
      </c>
      <c r="D837" s="1">
        <v>0</v>
      </c>
      <c r="E837" s="1">
        <v>19461.96</v>
      </c>
      <c r="F837" t="s">
        <v>2781</v>
      </c>
      <c r="G837" t="str">
        <f>_xlfn.XLOOKUP(C837,tblCOA[AccountNo],tblCOA[AccountName],"Unmapped")</f>
        <v>Product Sales</v>
      </c>
      <c r="H837" t="str">
        <f>_xlfn.XLOOKUP(C837,tblCOA[AccountNo],tblCOA[Category],"Unmapped")</f>
        <v>Revenue</v>
      </c>
      <c r="I837" s="4">
        <f t="shared" si="39"/>
        <v>-19461.96</v>
      </c>
      <c r="J837">
        <f t="shared" si="40"/>
        <v>2024</v>
      </c>
      <c r="K837" s="5">
        <f t="shared" si="41"/>
        <v>45505</v>
      </c>
    </row>
    <row r="838" spans="1:11" x14ac:dyDescent="0.25">
      <c r="A838" t="s">
        <v>2670</v>
      </c>
      <c r="B838" s="3">
        <v>45523</v>
      </c>
      <c r="C838">
        <v>5010</v>
      </c>
      <c r="D838" s="1">
        <v>12113.06</v>
      </c>
      <c r="E838" s="1">
        <v>0</v>
      </c>
      <c r="F838" t="s">
        <v>2671</v>
      </c>
      <c r="G838" t="str">
        <f>_xlfn.XLOOKUP(C838,tblCOA[AccountNo],tblCOA[AccountName],"Unmapped")</f>
        <v>Cost of Goods Sold</v>
      </c>
      <c r="H838" t="str">
        <f>_xlfn.XLOOKUP(C838,tblCOA[AccountNo],tblCOA[Category],"Unmapped")</f>
        <v>Expenses</v>
      </c>
      <c r="I838" s="4">
        <f t="shared" si="39"/>
        <v>12113.06</v>
      </c>
      <c r="J838">
        <f t="shared" si="40"/>
        <v>2024</v>
      </c>
      <c r="K838" s="5">
        <f t="shared" si="41"/>
        <v>45505</v>
      </c>
    </row>
    <row r="839" spans="1:11" x14ac:dyDescent="0.25">
      <c r="A839" t="s">
        <v>2672</v>
      </c>
      <c r="B839" s="3">
        <v>45523</v>
      </c>
      <c r="C839">
        <v>2010</v>
      </c>
      <c r="D839" s="1">
        <v>0</v>
      </c>
      <c r="E839" s="1">
        <v>12113.06</v>
      </c>
      <c r="F839" t="s">
        <v>2673</v>
      </c>
      <c r="G839" t="str">
        <f>_xlfn.XLOOKUP(C839,tblCOA[AccountNo],tblCOA[AccountName],"Unmapped")</f>
        <v>Accounts Payable</v>
      </c>
      <c r="H839" t="str">
        <f>_xlfn.XLOOKUP(C839,tblCOA[AccountNo],tblCOA[Category],"Unmapped")</f>
        <v>Liabilities</v>
      </c>
      <c r="I839" s="4">
        <f t="shared" si="39"/>
        <v>-12113.06</v>
      </c>
      <c r="J839">
        <f t="shared" si="40"/>
        <v>2024</v>
      </c>
      <c r="K839" s="5">
        <f t="shared" si="41"/>
        <v>45505</v>
      </c>
    </row>
    <row r="840" spans="1:11" x14ac:dyDescent="0.25">
      <c r="A840" t="s">
        <v>310</v>
      </c>
      <c r="B840" s="3">
        <v>45523</v>
      </c>
      <c r="C840">
        <v>5010</v>
      </c>
      <c r="D840" s="1">
        <v>1666.49</v>
      </c>
      <c r="E840" s="1">
        <v>0</v>
      </c>
      <c r="F840" t="s">
        <v>311</v>
      </c>
      <c r="G840" t="str">
        <f>_xlfn.XLOOKUP(C840,tblCOA[AccountNo],tblCOA[AccountName],"Unmapped")</f>
        <v>Cost of Goods Sold</v>
      </c>
      <c r="H840" t="str">
        <f>_xlfn.XLOOKUP(C840,tblCOA[AccountNo],tblCOA[Category],"Unmapped")</f>
        <v>Expenses</v>
      </c>
      <c r="I840" s="4">
        <f t="shared" si="39"/>
        <v>1666.49</v>
      </c>
      <c r="J840">
        <f t="shared" si="40"/>
        <v>2024</v>
      </c>
      <c r="K840" s="5">
        <f t="shared" si="41"/>
        <v>45505</v>
      </c>
    </row>
    <row r="841" spans="1:11" x14ac:dyDescent="0.25">
      <c r="A841" t="s">
        <v>312</v>
      </c>
      <c r="B841" s="3">
        <v>45523</v>
      </c>
      <c r="C841">
        <v>2010</v>
      </c>
      <c r="D841" s="1">
        <v>0</v>
      </c>
      <c r="E841" s="1">
        <v>1666.49</v>
      </c>
      <c r="F841" t="s">
        <v>313</v>
      </c>
      <c r="G841" t="str">
        <f>_xlfn.XLOOKUP(C841,tblCOA[AccountNo],tblCOA[AccountName],"Unmapped")</f>
        <v>Accounts Payable</v>
      </c>
      <c r="H841" t="str">
        <f>_xlfn.XLOOKUP(C841,tblCOA[AccountNo],tblCOA[Category],"Unmapped")</f>
        <v>Liabilities</v>
      </c>
      <c r="I841" s="4">
        <f t="shared" si="39"/>
        <v>-1666.49</v>
      </c>
      <c r="J841">
        <f t="shared" si="40"/>
        <v>2024</v>
      </c>
      <c r="K841" s="5">
        <f t="shared" si="41"/>
        <v>45505</v>
      </c>
    </row>
    <row r="842" spans="1:11" x14ac:dyDescent="0.25">
      <c r="A842" t="s">
        <v>698</v>
      </c>
      <c r="B842" s="3">
        <v>45523</v>
      </c>
      <c r="C842">
        <v>1200</v>
      </c>
      <c r="D842" s="1">
        <v>43725.61</v>
      </c>
      <c r="E842" s="1">
        <v>0</v>
      </c>
      <c r="F842" t="s">
        <v>699</v>
      </c>
      <c r="G842" t="str">
        <f>_xlfn.XLOOKUP(C842,tblCOA[AccountNo],tblCOA[AccountName],"Unmapped")</f>
        <v>Accounts Receivable</v>
      </c>
      <c r="H842" t="str">
        <f>_xlfn.XLOOKUP(C842,tblCOA[AccountNo],tblCOA[Category],"Unmapped")</f>
        <v>Assets</v>
      </c>
      <c r="I842" s="4">
        <f t="shared" si="39"/>
        <v>43725.61</v>
      </c>
      <c r="J842">
        <f t="shared" si="40"/>
        <v>2024</v>
      </c>
      <c r="K842" s="5">
        <f t="shared" si="41"/>
        <v>45505</v>
      </c>
    </row>
    <row r="843" spans="1:11" x14ac:dyDescent="0.25">
      <c r="A843" t="s">
        <v>700</v>
      </c>
      <c r="B843" s="3">
        <v>45523</v>
      </c>
      <c r="C843">
        <v>4010</v>
      </c>
      <c r="D843" s="1">
        <v>0</v>
      </c>
      <c r="E843" s="1">
        <v>43725.61</v>
      </c>
      <c r="F843" t="s">
        <v>701</v>
      </c>
      <c r="G843" t="str">
        <f>_xlfn.XLOOKUP(C843,tblCOA[AccountNo],tblCOA[AccountName],"Unmapped")</f>
        <v>Product Sales</v>
      </c>
      <c r="H843" t="str">
        <f>_xlfn.XLOOKUP(C843,tblCOA[AccountNo],tblCOA[Category],"Unmapped")</f>
        <v>Revenue</v>
      </c>
      <c r="I843" s="4">
        <f t="shared" si="39"/>
        <v>-43725.61</v>
      </c>
      <c r="J843">
        <f t="shared" si="40"/>
        <v>2024</v>
      </c>
      <c r="K843" s="5">
        <f t="shared" si="41"/>
        <v>45505</v>
      </c>
    </row>
    <row r="844" spans="1:11" x14ac:dyDescent="0.25">
      <c r="A844" t="s">
        <v>106</v>
      </c>
      <c r="B844" s="3">
        <v>45523</v>
      </c>
      <c r="C844">
        <v>1200</v>
      </c>
      <c r="D844" s="1">
        <v>12286.76</v>
      </c>
      <c r="E844" s="1">
        <v>0</v>
      </c>
      <c r="F844" t="s">
        <v>107</v>
      </c>
      <c r="G844" t="str">
        <f>_xlfn.XLOOKUP(C844,tblCOA[AccountNo],tblCOA[AccountName],"Unmapped")</f>
        <v>Accounts Receivable</v>
      </c>
      <c r="H844" t="str">
        <f>_xlfn.XLOOKUP(C844,tblCOA[AccountNo],tblCOA[Category],"Unmapped")</f>
        <v>Assets</v>
      </c>
      <c r="I844" s="4">
        <f t="shared" si="39"/>
        <v>12286.76</v>
      </c>
      <c r="J844">
        <f t="shared" si="40"/>
        <v>2024</v>
      </c>
      <c r="K844" s="5">
        <f t="shared" si="41"/>
        <v>45505</v>
      </c>
    </row>
    <row r="845" spans="1:11" x14ac:dyDescent="0.25">
      <c r="A845" t="s">
        <v>108</v>
      </c>
      <c r="B845" s="3">
        <v>45523</v>
      </c>
      <c r="C845">
        <v>4010</v>
      </c>
      <c r="D845" s="1">
        <v>0</v>
      </c>
      <c r="E845" s="1">
        <v>12286.76</v>
      </c>
      <c r="F845" t="s">
        <v>109</v>
      </c>
      <c r="G845" t="str">
        <f>_xlfn.XLOOKUP(C845,tblCOA[AccountNo],tblCOA[AccountName],"Unmapped")</f>
        <v>Product Sales</v>
      </c>
      <c r="H845" t="str">
        <f>_xlfn.XLOOKUP(C845,tblCOA[AccountNo],tblCOA[Category],"Unmapped")</f>
        <v>Revenue</v>
      </c>
      <c r="I845" s="4">
        <f t="shared" si="39"/>
        <v>-12286.76</v>
      </c>
      <c r="J845">
        <f t="shared" si="40"/>
        <v>2024</v>
      </c>
      <c r="K845" s="5">
        <f t="shared" si="41"/>
        <v>45505</v>
      </c>
    </row>
    <row r="846" spans="1:11" x14ac:dyDescent="0.25">
      <c r="A846" t="s">
        <v>3870</v>
      </c>
      <c r="B846" s="3">
        <v>45524</v>
      </c>
      <c r="C846">
        <v>5010</v>
      </c>
      <c r="D846" s="1">
        <v>15904.3</v>
      </c>
      <c r="E846" s="1">
        <v>0</v>
      </c>
      <c r="F846" t="s">
        <v>3871</v>
      </c>
      <c r="G846" t="str">
        <f>_xlfn.XLOOKUP(C846,tblCOA[AccountNo],tblCOA[AccountName],"Unmapped")</f>
        <v>Cost of Goods Sold</v>
      </c>
      <c r="H846" t="str">
        <f>_xlfn.XLOOKUP(C846,tblCOA[AccountNo],tblCOA[Category],"Unmapped")</f>
        <v>Expenses</v>
      </c>
      <c r="I846" s="4">
        <f t="shared" si="39"/>
        <v>15904.3</v>
      </c>
      <c r="J846">
        <f t="shared" si="40"/>
        <v>2024</v>
      </c>
      <c r="K846" s="5">
        <f t="shared" si="41"/>
        <v>45505</v>
      </c>
    </row>
    <row r="847" spans="1:11" x14ac:dyDescent="0.25">
      <c r="A847" t="s">
        <v>3872</v>
      </c>
      <c r="B847" s="3">
        <v>45524</v>
      </c>
      <c r="C847">
        <v>2010</v>
      </c>
      <c r="D847" s="1">
        <v>0</v>
      </c>
      <c r="E847" s="1">
        <v>15904.3</v>
      </c>
      <c r="F847" t="s">
        <v>3873</v>
      </c>
      <c r="G847" t="str">
        <f>_xlfn.XLOOKUP(C847,tblCOA[AccountNo],tblCOA[AccountName],"Unmapped")</f>
        <v>Accounts Payable</v>
      </c>
      <c r="H847" t="str">
        <f>_xlfn.XLOOKUP(C847,tblCOA[AccountNo],tblCOA[Category],"Unmapped")</f>
        <v>Liabilities</v>
      </c>
      <c r="I847" s="4">
        <f t="shared" si="39"/>
        <v>-15904.3</v>
      </c>
      <c r="J847">
        <f t="shared" si="40"/>
        <v>2024</v>
      </c>
      <c r="K847" s="5">
        <f t="shared" si="41"/>
        <v>45505</v>
      </c>
    </row>
    <row r="848" spans="1:11" x14ac:dyDescent="0.25">
      <c r="A848" t="s">
        <v>1866</v>
      </c>
      <c r="B848" s="3">
        <v>45526</v>
      </c>
      <c r="C848">
        <v>1200</v>
      </c>
      <c r="D848" s="1">
        <v>24031.62</v>
      </c>
      <c r="E848" s="1">
        <v>0</v>
      </c>
      <c r="F848" t="s">
        <v>1867</v>
      </c>
      <c r="G848" t="str">
        <f>_xlfn.XLOOKUP(C848,tblCOA[AccountNo],tblCOA[AccountName],"Unmapped")</f>
        <v>Accounts Receivable</v>
      </c>
      <c r="H848" t="str">
        <f>_xlfn.XLOOKUP(C848,tblCOA[AccountNo],tblCOA[Category],"Unmapped")</f>
        <v>Assets</v>
      </c>
      <c r="I848" s="4">
        <f t="shared" si="39"/>
        <v>24031.62</v>
      </c>
      <c r="J848">
        <f t="shared" si="40"/>
        <v>2024</v>
      </c>
      <c r="K848" s="5">
        <f t="shared" si="41"/>
        <v>45505</v>
      </c>
    </row>
    <row r="849" spans="1:11" x14ac:dyDescent="0.25">
      <c r="A849" t="s">
        <v>1868</v>
      </c>
      <c r="B849" s="3">
        <v>45526</v>
      </c>
      <c r="C849">
        <v>4010</v>
      </c>
      <c r="D849" s="1">
        <v>0</v>
      </c>
      <c r="E849" s="1">
        <v>24031.62</v>
      </c>
      <c r="F849" t="s">
        <v>1869</v>
      </c>
      <c r="G849" t="str">
        <f>_xlfn.XLOOKUP(C849,tblCOA[AccountNo],tblCOA[AccountName],"Unmapped")</f>
        <v>Product Sales</v>
      </c>
      <c r="H849" t="str">
        <f>_xlfn.XLOOKUP(C849,tblCOA[AccountNo],tblCOA[Category],"Unmapped")</f>
        <v>Revenue</v>
      </c>
      <c r="I849" s="4">
        <f t="shared" si="39"/>
        <v>-24031.62</v>
      </c>
      <c r="J849">
        <f t="shared" si="40"/>
        <v>2024</v>
      </c>
      <c r="K849" s="5">
        <f t="shared" si="41"/>
        <v>45505</v>
      </c>
    </row>
    <row r="850" spans="1:11" x14ac:dyDescent="0.25">
      <c r="A850" t="s">
        <v>2430</v>
      </c>
      <c r="B850" s="3">
        <v>45531</v>
      </c>
      <c r="C850">
        <v>5010</v>
      </c>
      <c r="D850" s="1">
        <v>2641.81</v>
      </c>
      <c r="E850" s="1">
        <v>0</v>
      </c>
      <c r="F850" t="s">
        <v>2431</v>
      </c>
      <c r="G850" t="str">
        <f>_xlfn.XLOOKUP(C850,tblCOA[AccountNo],tblCOA[AccountName],"Unmapped")</f>
        <v>Cost of Goods Sold</v>
      </c>
      <c r="H850" t="str">
        <f>_xlfn.XLOOKUP(C850,tblCOA[AccountNo],tblCOA[Category],"Unmapped")</f>
        <v>Expenses</v>
      </c>
      <c r="I850" s="4">
        <f t="shared" si="39"/>
        <v>2641.81</v>
      </c>
      <c r="J850">
        <f t="shared" si="40"/>
        <v>2024</v>
      </c>
      <c r="K850" s="5">
        <f t="shared" si="41"/>
        <v>45505</v>
      </c>
    </row>
    <row r="851" spans="1:11" x14ac:dyDescent="0.25">
      <c r="A851" t="s">
        <v>2432</v>
      </c>
      <c r="B851" s="3">
        <v>45531</v>
      </c>
      <c r="C851">
        <v>2010</v>
      </c>
      <c r="D851" s="1">
        <v>0</v>
      </c>
      <c r="E851" s="1">
        <v>2641.81</v>
      </c>
      <c r="F851" t="s">
        <v>2433</v>
      </c>
      <c r="G851" t="str">
        <f>_xlfn.XLOOKUP(C851,tblCOA[AccountNo],tblCOA[AccountName],"Unmapped")</f>
        <v>Accounts Payable</v>
      </c>
      <c r="H851" t="str">
        <f>_xlfn.XLOOKUP(C851,tblCOA[AccountNo],tblCOA[Category],"Unmapped")</f>
        <v>Liabilities</v>
      </c>
      <c r="I851" s="4">
        <f t="shared" si="39"/>
        <v>-2641.81</v>
      </c>
      <c r="J851">
        <f t="shared" si="40"/>
        <v>2024</v>
      </c>
      <c r="K851" s="5">
        <f t="shared" si="41"/>
        <v>45505</v>
      </c>
    </row>
    <row r="852" spans="1:11" x14ac:dyDescent="0.25">
      <c r="A852" t="s">
        <v>1766</v>
      </c>
      <c r="B852" s="3">
        <v>45533</v>
      </c>
      <c r="C852">
        <v>5010</v>
      </c>
      <c r="D852" s="1">
        <v>9982.33</v>
      </c>
      <c r="E852" s="1">
        <v>0</v>
      </c>
      <c r="F852" t="s">
        <v>1767</v>
      </c>
      <c r="G852" t="str">
        <f>_xlfn.XLOOKUP(C852,tblCOA[AccountNo],tblCOA[AccountName],"Unmapped")</f>
        <v>Cost of Goods Sold</v>
      </c>
      <c r="H852" t="str">
        <f>_xlfn.XLOOKUP(C852,tblCOA[AccountNo],tblCOA[Category],"Unmapped")</f>
        <v>Expenses</v>
      </c>
      <c r="I852" s="4">
        <f t="shared" si="39"/>
        <v>9982.33</v>
      </c>
      <c r="J852">
        <f t="shared" si="40"/>
        <v>2024</v>
      </c>
      <c r="K852" s="5">
        <f t="shared" si="41"/>
        <v>45505</v>
      </c>
    </row>
    <row r="853" spans="1:11" x14ac:dyDescent="0.25">
      <c r="A853" t="s">
        <v>1768</v>
      </c>
      <c r="B853" s="3">
        <v>45533</v>
      </c>
      <c r="C853">
        <v>2010</v>
      </c>
      <c r="D853" s="1">
        <v>0</v>
      </c>
      <c r="E853" s="1">
        <v>9982.33</v>
      </c>
      <c r="F853" t="s">
        <v>1769</v>
      </c>
      <c r="G853" t="str">
        <f>_xlfn.XLOOKUP(C853,tblCOA[AccountNo],tblCOA[AccountName],"Unmapped")</f>
        <v>Accounts Payable</v>
      </c>
      <c r="H853" t="str">
        <f>_xlfn.XLOOKUP(C853,tblCOA[AccountNo],tblCOA[Category],"Unmapped")</f>
        <v>Liabilities</v>
      </c>
      <c r="I853" s="4">
        <f t="shared" si="39"/>
        <v>-9982.33</v>
      </c>
      <c r="J853">
        <f t="shared" si="40"/>
        <v>2024</v>
      </c>
      <c r="K853" s="5">
        <f t="shared" si="41"/>
        <v>45505</v>
      </c>
    </row>
    <row r="854" spans="1:11" x14ac:dyDescent="0.25">
      <c r="A854" t="s">
        <v>3042</v>
      </c>
      <c r="B854" s="3">
        <v>45535</v>
      </c>
      <c r="C854">
        <v>1200</v>
      </c>
      <c r="D854" s="1">
        <v>30529.49</v>
      </c>
      <c r="E854" s="1">
        <v>0</v>
      </c>
      <c r="F854" t="s">
        <v>3043</v>
      </c>
      <c r="G854" t="str">
        <f>_xlfn.XLOOKUP(C854,tblCOA[AccountNo],tblCOA[AccountName],"Unmapped")</f>
        <v>Accounts Receivable</v>
      </c>
      <c r="H854" t="str">
        <f>_xlfn.XLOOKUP(C854,tblCOA[AccountNo],tblCOA[Category],"Unmapped")</f>
        <v>Assets</v>
      </c>
      <c r="I854" s="4">
        <f t="shared" si="39"/>
        <v>30529.49</v>
      </c>
      <c r="J854">
        <f t="shared" si="40"/>
        <v>2024</v>
      </c>
      <c r="K854" s="5">
        <f t="shared" si="41"/>
        <v>45505</v>
      </c>
    </row>
    <row r="855" spans="1:11" x14ac:dyDescent="0.25">
      <c r="A855" t="s">
        <v>3044</v>
      </c>
      <c r="B855" s="3">
        <v>45535</v>
      </c>
      <c r="C855">
        <v>4010</v>
      </c>
      <c r="D855" s="1">
        <v>0</v>
      </c>
      <c r="E855" s="1">
        <v>30529.49</v>
      </c>
      <c r="F855" t="s">
        <v>3045</v>
      </c>
      <c r="G855" t="str">
        <f>_xlfn.XLOOKUP(C855,tblCOA[AccountNo],tblCOA[AccountName],"Unmapped")</f>
        <v>Product Sales</v>
      </c>
      <c r="H855" t="str">
        <f>_xlfn.XLOOKUP(C855,tblCOA[AccountNo],tblCOA[Category],"Unmapped")</f>
        <v>Revenue</v>
      </c>
      <c r="I855" s="4">
        <f t="shared" si="39"/>
        <v>-30529.49</v>
      </c>
      <c r="J855">
        <f t="shared" si="40"/>
        <v>2024</v>
      </c>
      <c r="K855" s="5">
        <f t="shared" si="41"/>
        <v>45505</v>
      </c>
    </row>
    <row r="856" spans="1:11" x14ac:dyDescent="0.25">
      <c r="A856" t="s">
        <v>1030</v>
      </c>
      <c r="B856" s="3">
        <v>45535</v>
      </c>
      <c r="C856">
        <v>5010</v>
      </c>
      <c r="D856" s="1">
        <v>17322.71</v>
      </c>
      <c r="E856" s="1">
        <v>0</v>
      </c>
      <c r="F856" t="s">
        <v>1031</v>
      </c>
      <c r="G856" t="str">
        <f>_xlfn.XLOOKUP(C856,tblCOA[AccountNo],tblCOA[AccountName],"Unmapped")</f>
        <v>Cost of Goods Sold</v>
      </c>
      <c r="H856" t="str">
        <f>_xlfn.XLOOKUP(C856,tblCOA[AccountNo],tblCOA[Category],"Unmapped")</f>
        <v>Expenses</v>
      </c>
      <c r="I856" s="4">
        <f t="shared" si="39"/>
        <v>17322.71</v>
      </c>
      <c r="J856">
        <f t="shared" si="40"/>
        <v>2024</v>
      </c>
      <c r="K856" s="5">
        <f t="shared" si="41"/>
        <v>45505</v>
      </c>
    </row>
    <row r="857" spans="1:11" x14ac:dyDescent="0.25">
      <c r="A857" t="s">
        <v>1032</v>
      </c>
      <c r="B857" s="3">
        <v>45535</v>
      </c>
      <c r="C857">
        <v>2010</v>
      </c>
      <c r="D857" s="1">
        <v>0</v>
      </c>
      <c r="E857" s="1">
        <v>17322.71</v>
      </c>
      <c r="F857" t="s">
        <v>1033</v>
      </c>
      <c r="G857" t="str">
        <f>_xlfn.XLOOKUP(C857,tblCOA[AccountNo],tblCOA[AccountName],"Unmapped")</f>
        <v>Accounts Payable</v>
      </c>
      <c r="H857" t="str">
        <f>_xlfn.XLOOKUP(C857,tblCOA[AccountNo],tblCOA[Category],"Unmapped")</f>
        <v>Liabilities</v>
      </c>
      <c r="I857" s="4">
        <f t="shared" si="39"/>
        <v>-17322.71</v>
      </c>
      <c r="J857">
        <f t="shared" si="40"/>
        <v>2024</v>
      </c>
      <c r="K857" s="5">
        <f t="shared" si="41"/>
        <v>45505</v>
      </c>
    </row>
    <row r="858" spans="1:11" x14ac:dyDescent="0.25">
      <c r="A858" t="s">
        <v>3286</v>
      </c>
      <c r="B858" s="3">
        <v>45536</v>
      </c>
      <c r="C858">
        <v>5010</v>
      </c>
      <c r="D858" s="1">
        <v>4789.3100000000004</v>
      </c>
      <c r="E858" s="1">
        <v>0</v>
      </c>
      <c r="F858" t="s">
        <v>3287</v>
      </c>
      <c r="G858" t="str">
        <f>_xlfn.XLOOKUP(C858,tblCOA[AccountNo],tblCOA[AccountName],"Unmapped")</f>
        <v>Cost of Goods Sold</v>
      </c>
      <c r="H858" t="str">
        <f>_xlfn.XLOOKUP(C858,tblCOA[AccountNo],tblCOA[Category],"Unmapped")</f>
        <v>Expenses</v>
      </c>
      <c r="I858" s="4">
        <f t="shared" si="39"/>
        <v>4789.3100000000004</v>
      </c>
      <c r="J858">
        <f t="shared" si="40"/>
        <v>2024</v>
      </c>
      <c r="K858" s="5">
        <f t="shared" si="41"/>
        <v>45536</v>
      </c>
    </row>
    <row r="859" spans="1:11" x14ac:dyDescent="0.25">
      <c r="A859" t="s">
        <v>3288</v>
      </c>
      <c r="B859" s="3">
        <v>45536</v>
      </c>
      <c r="C859">
        <v>2010</v>
      </c>
      <c r="D859" s="1">
        <v>0</v>
      </c>
      <c r="E859" s="1">
        <v>4789.3100000000004</v>
      </c>
      <c r="F859" t="s">
        <v>3289</v>
      </c>
      <c r="G859" t="str">
        <f>_xlfn.XLOOKUP(C859,tblCOA[AccountNo],tblCOA[AccountName],"Unmapped")</f>
        <v>Accounts Payable</v>
      </c>
      <c r="H859" t="str">
        <f>_xlfn.XLOOKUP(C859,tblCOA[AccountNo],tblCOA[Category],"Unmapped")</f>
        <v>Liabilities</v>
      </c>
      <c r="I859" s="4">
        <f t="shared" si="39"/>
        <v>-4789.3100000000004</v>
      </c>
      <c r="J859">
        <f t="shared" si="40"/>
        <v>2024</v>
      </c>
      <c r="K859" s="5">
        <f t="shared" si="41"/>
        <v>45536</v>
      </c>
    </row>
    <row r="860" spans="1:11" x14ac:dyDescent="0.25">
      <c r="A860" t="s">
        <v>334</v>
      </c>
      <c r="B860" s="3">
        <v>45536</v>
      </c>
      <c r="C860">
        <v>5010</v>
      </c>
      <c r="D860" s="1">
        <v>10901.88</v>
      </c>
      <c r="E860" s="1">
        <v>0</v>
      </c>
      <c r="F860" t="s">
        <v>335</v>
      </c>
      <c r="G860" t="str">
        <f>_xlfn.XLOOKUP(C860,tblCOA[AccountNo],tblCOA[AccountName],"Unmapped")</f>
        <v>Cost of Goods Sold</v>
      </c>
      <c r="H860" t="str">
        <f>_xlfn.XLOOKUP(C860,tblCOA[AccountNo],tblCOA[Category],"Unmapped")</f>
        <v>Expenses</v>
      </c>
      <c r="I860" s="4">
        <f t="shared" si="39"/>
        <v>10901.88</v>
      </c>
      <c r="J860">
        <f t="shared" si="40"/>
        <v>2024</v>
      </c>
      <c r="K860" s="5">
        <f t="shared" si="41"/>
        <v>45536</v>
      </c>
    </row>
    <row r="861" spans="1:11" x14ac:dyDescent="0.25">
      <c r="A861" t="s">
        <v>336</v>
      </c>
      <c r="B861" s="3">
        <v>45536</v>
      </c>
      <c r="C861">
        <v>2010</v>
      </c>
      <c r="D861" s="1">
        <v>0</v>
      </c>
      <c r="E861" s="1">
        <v>10901.88</v>
      </c>
      <c r="F861" t="s">
        <v>337</v>
      </c>
      <c r="G861" t="str">
        <f>_xlfn.XLOOKUP(C861,tblCOA[AccountNo],tblCOA[AccountName],"Unmapped")</f>
        <v>Accounts Payable</v>
      </c>
      <c r="H861" t="str">
        <f>_xlfn.XLOOKUP(C861,tblCOA[AccountNo],tblCOA[Category],"Unmapped")</f>
        <v>Liabilities</v>
      </c>
      <c r="I861" s="4">
        <f t="shared" si="39"/>
        <v>-10901.88</v>
      </c>
      <c r="J861">
        <f t="shared" si="40"/>
        <v>2024</v>
      </c>
      <c r="K861" s="5">
        <f t="shared" si="41"/>
        <v>45536</v>
      </c>
    </row>
    <row r="862" spans="1:11" x14ac:dyDescent="0.25">
      <c r="A862" t="s">
        <v>2578</v>
      </c>
      <c r="B862" s="3">
        <v>45540</v>
      </c>
      <c r="C862">
        <v>1200</v>
      </c>
      <c r="D862" s="1">
        <v>4168.7700000000004</v>
      </c>
      <c r="E862" s="1">
        <v>0</v>
      </c>
      <c r="F862" t="s">
        <v>2579</v>
      </c>
      <c r="G862" t="str">
        <f>_xlfn.XLOOKUP(C862,tblCOA[AccountNo],tblCOA[AccountName],"Unmapped")</f>
        <v>Accounts Receivable</v>
      </c>
      <c r="H862" t="str">
        <f>_xlfn.XLOOKUP(C862,tblCOA[AccountNo],tblCOA[Category],"Unmapped")</f>
        <v>Assets</v>
      </c>
      <c r="I862" s="4">
        <f t="shared" si="39"/>
        <v>4168.7700000000004</v>
      </c>
      <c r="J862">
        <f t="shared" si="40"/>
        <v>2024</v>
      </c>
      <c r="K862" s="5">
        <f t="shared" si="41"/>
        <v>45536</v>
      </c>
    </row>
    <row r="863" spans="1:11" x14ac:dyDescent="0.25">
      <c r="A863" t="s">
        <v>2580</v>
      </c>
      <c r="B863" s="3">
        <v>45540</v>
      </c>
      <c r="C863">
        <v>4010</v>
      </c>
      <c r="D863" s="1">
        <v>0</v>
      </c>
      <c r="E863" s="1">
        <v>4168.7700000000004</v>
      </c>
      <c r="F863" t="s">
        <v>2581</v>
      </c>
      <c r="G863" t="str">
        <f>_xlfn.XLOOKUP(C863,tblCOA[AccountNo],tblCOA[AccountName],"Unmapped")</f>
        <v>Product Sales</v>
      </c>
      <c r="H863" t="str">
        <f>_xlfn.XLOOKUP(C863,tblCOA[AccountNo],tblCOA[Category],"Unmapped")</f>
        <v>Revenue</v>
      </c>
      <c r="I863" s="4">
        <f t="shared" si="39"/>
        <v>-4168.7700000000004</v>
      </c>
      <c r="J863">
        <f t="shared" si="40"/>
        <v>2024</v>
      </c>
      <c r="K863" s="5">
        <f t="shared" si="41"/>
        <v>45536</v>
      </c>
    </row>
    <row r="864" spans="1:11" x14ac:dyDescent="0.25">
      <c r="A864" t="s">
        <v>894</v>
      </c>
      <c r="B864" s="3">
        <v>45540</v>
      </c>
      <c r="C864">
        <v>5010</v>
      </c>
      <c r="D864" s="1">
        <v>2736.66</v>
      </c>
      <c r="E864" s="1">
        <v>0</v>
      </c>
      <c r="F864" t="s">
        <v>895</v>
      </c>
      <c r="G864" t="str">
        <f>_xlfn.XLOOKUP(C864,tblCOA[AccountNo],tblCOA[AccountName],"Unmapped")</f>
        <v>Cost of Goods Sold</v>
      </c>
      <c r="H864" t="str">
        <f>_xlfn.XLOOKUP(C864,tblCOA[AccountNo],tblCOA[Category],"Unmapped")</f>
        <v>Expenses</v>
      </c>
      <c r="I864" s="4">
        <f t="shared" si="39"/>
        <v>2736.66</v>
      </c>
      <c r="J864">
        <f t="shared" si="40"/>
        <v>2024</v>
      </c>
      <c r="K864" s="5">
        <f t="shared" si="41"/>
        <v>45536</v>
      </c>
    </row>
    <row r="865" spans="1:11" x14ac:dyDescent="0.25">
      <c r="A865" t="s">
        <v>896</v>
      </c>
      <c r="B865" s="3">
        <v>45540</v>
      </c>
      <c r="C865">
        <v>2010</v>
      </c>
      <c r="D865" s="1">
        <v>0</v>
      </c>
      <c r="E865" s="1">
        <v>2736.66</v>
      </c>
      <c r="F865" t="s">
        <v>897</v>
      </c>
      <c r="G865" t="str">
        <f>_xlfn.XLOOKUP(C865,tblCOA[AccountNo],tblCOA[AccountName],"Unmapped")</f>
        <v>Accounts Payable</v>
      </c>
      <c r="H865" t="str">
        <f>_xlfn.XLOOKUP(C865,tblCOA[AccountNo],tblCOA[Category],"Unmapped")</f>
        <v>Liabilities</v>
      </c>
      <c r="I865" s="4">
        <f t="shared" si="39"/>
        <v>-2736.66</v>
      </c>
      <c r="J865">
        <f t="shared" si="40"/>
        <v>2024</v>
      </c>
      <c r="K865" s="5">
        <f t="shared" si="41"/>
        <v>45536</v>
      </c>
    </row>
    <row r="866" spans="1:11" x14ac:dyDescent="0.25">
      <c r="A866" t="s">
        <v>2654</v>
      </c>
      <c r="B866" s="3">
        <v>45541</v>
      </c>
      <c r="C866">
        <v>5010</v>
      </c>
      <c r="D866" s="1">
        <v>4724.6499999999996</v>
      </c>
      <c r="E866" s="1">
        <v>0</v>
      </c>
      <c r="F866" t="s">
        <v>2655</v>
      </c>
      <c r="G866" t="str">
        <f>_xlfn.XLOOKUP(C866,tblCOA[AccountNo],tblCOA[AccountName],"Unmapped")</f>
        <v>Cost of Goods Sold</v>
      </c>
      <c r="H866" t="str">
        <f>_xlfn.XLOOKUP(C866,tblCOA[AccountNo],tblCOA[Category],"Unmapped")</f>
        <v>Expenses</v>
      </c>
      <c r="I866" s="4">
        <f t="shared" si="39"/>
        <v>4724.6499999999996</v>
      </c>
      <c r="J866">
        <f t="shared" si="40"/>
        <v>2024</v>
      </c>
      <c r="K866" s="5">
        <f t="shared" si="41"/>
        <v>45536</v>
      </c>
    </row>
    <row r="867" spans="1:11" x14ac:dyDescent="0.25">
      <c r="A867" t="s">
        <v>2656</v>
      </c>
      <c r="B867" s="3">
        <v>45541</v>
      </c>
      <c r="C867">
        <v>2010</v>
      </c>
      <c r="D867" s="1">
        <v>0</v>
      </c>
      <c r="E867" s="1">
        <v>4724.6499999999996</v>
      </c>
      <c r="F867" t="s">
        <v>2657</v>
      </c>
      <c r="G867" t="str">
        <f>_xlfn.XLOOKUP(C867,tblCOA[AccountNo],tblCOA[AccountName],"Unmapped")</f>
        <v>Accounts Payable</v>
      </c>
      <c r="H867" t="str">
        <f>_xlfn.XLOOKUP(C867,tblCOA[AccountNo],tblCOA[Category],"Unmapped")</f>
        <v>Liabilities</v>
      </c>
      <c r="I867" s="4">
        <f t="shared" si="39"/>
        <v>-4724.6499999999996</v>
      </c>
      <c r="J867">
        <f t="shared" si="40"/>
        <v>2024</v>
      </c>
      <c r="K867" s="5">
        <f t="shared" si="41"/>
        <v>45536</v>
      </c>
    </row>
    <row r="868" spans="1:11" x14ac:dyDescent="0.25">
      <c r="A868" t="s">
        <v>1482</v>
      </c>
      <c r="B868" s="3">
        <v>45542</v>
      </c>
      <c r="C868">
        <v>1200</v>
      </c>
      <c r="D868" s="1">
        <v>23821.82</v>
      </c>
      <c r="E868" s="1">
        <v>0</v>
      </c>
      <c r="F868" t="s">
        <v>1483</v>
      </c>
      <c r="G868" t="str">
        <f>_xlfn.XLOOKUP(C868,tblCOA[AccountNo],tblCOA[AccountName],"Unmapped")</f>
        <v>Accounts Receivable</v>
      </c>
      <c r="H868" t="str">
        <f>_xlfn.XLOOKUP(C868,tblCOA[AccountNo],tblCOA[Category],"Unmapped")</f>
        <v>Assets</v>
      </c>
      <c r="I868" s="4">
        <f t="shared" si="39"/>
        <v>23821.82</v>
      </c>
      <c r="J868">
        <f t="shared" si="40"/>
        <v>2024</v>
      </c>
      <c r="K868" s="5">
        <f t="shared" si="41"/>
        <v>45536</v>
      </c>
    </row>
    <row r="869" spans="1:11" x14ac:dyDescent="0.25">
      <c r="A869" t="s">
        <v>1484</v>
      </c>
      <c r="B869" s="3">
        <v>45542</v>
      </c>
      <c r="C869">
        <v>4010</v>
      </c>
      <c r="D869" s="1">
        <v>0</v>
      </c>
      <c r="E869" s="1">
        <v>23821.82</v>
      </c>
      <c r="F869" t="s">
        <v>1485</v>
      </c>
      <c r="G869" t="str">
        <f>_xlfn.XLOOKUP(C869,tblCOA[AccountNo],tblCOA[AccountName],"Unmapped")</f>
        <v>Product Sales</v>
      </c>
      <c r="H869" t="str">
        <f>_xlfn.XLOOKUP(C869,tblCOA[AccountNo],tblCOA[Category],"Unmapped")</f>
        <v>Revenue</v>
      </c>
      <c r="I869" s="4">
        <f t="shared" si="39"/>
        <v>-23821.82</v>
      </c>
      <c r="J869">
        <f t="shared" si="40"/>
        <v>2024</v>
      </c>
      <c r="K869" s="5">
        <f t="shared" si="41"/>
        <v>45536</v>
      </c>
    </row>
    <row r="870" spans="1:11" x14ac:dyDescent="0.25">
      <c r="A870" t="s">
        <v>2694</v>
      </c>
      <c r="B870" s="3">
        <v>45545</v>
      </c>
      <c r="C870">
        <v>5010</v>
      </c>
      <c r="D870" s="1">
        <v>6232.72</v>
      </c>
      <c r="E870" s="1">
        <v>0</v>
      </c>
      <c r="F870" t="s">
        <v>2695</v>
      </c>
      <c r="G870" t="str">
        <f>_xlfn.XLOOKUP(C870,tblCOA[AccountNo],tblCOA[AccountName],"Unmapped")</f>
        <v>Cost of Goods Sold</v>
      </c>
      <c r="H870" t="str">
        <f>_xlfn.XLOOKUP(C870,tblCOA[AccountNo],tblCOA[Category],"Unmapped")</f>
        <v>Expenses</v>
      </c>
      <c r="I870" s="4">
        <f t="shared" si="39"/>
        <v>6232.72</v>
      </c>
      <c r="J870">
        <f t="shared" si="40"/>
        <v>2024</v>
      </c>
      <c r="K870" s="5">
        <f t="shared" si="41"/>
        <v>45536</v>
      </c>
    </row>
    <row r="871" spans="1:11" x14ac:dyDescent="0.25">
      <c r="A871" t="s">
        <v>2696</v>
      </c>
      <c r="B871" s="3">
        <v>45545</v>
      </c>
      <c r="C871">
        <v>2010</v>
      </c>
      <c r="D871" s="1">
        <v>0</v>
      </c>
      <c r="E871" s="1">
        <v>6232.72</v>
      </c>
      <c r="F871" t="s">
        <v>2697</v>
      </c>
      <c r="G871" t="str">
        <f>_xlfn.XLOOKUP(C871,tblCOA[AccountNo],tblCOA[AccountName],"Unmapped")</f>
        <v>Accounts Payable</v>
      </c>
      <c r="H871" t="str">
        <f>_xlfn.XLOOKUP(C871,tblCOA[AccountNo],tblCOA[Category],"Unmapped")</f>
        <v>Liabilities</v>
      </c>
      <c r="I871" s="4">
        <f t="shared" si="39"/>
        <v>-6232.72</v>
      </c>
      <c r="J871">
        <f t="shared" si="40"/>
        <v>2024</v>
      </c>
      <c r="K871" s="5">
        <f t="shared" si="41"/>
        <v>45536</v>
      </c>
    </row>
    <row r="872" spans="1:11" x14ac:dyDescent="0.25">
      <c r="A872" t="s">
        <v>2946</v>
      </c>
      <c r="B872" s="3">
        <v>45546</v>
      </c>
      <c r="C872">
        <v>1200</v>
      </c>
      <c r="D872" s="1">
        <v>33314.22</v>
      </c>
      <c r="E872" s="1">
        <v>0</v>
      </c>
      <c r="F872" t="s">
        <v>2947</v>
      </c>
      <c r="G872" t="str">
        <f>_xlfn.XLOOKUP(C872,tblCOA[AccountNo],tblCOA[AccountName],"Unmapped")</f>
        <v>Accounts Receivable</v>
      </c>
      <c r="H872" t="str">
        <f>_xlfn.XLOOKUP(C872,tblCOA[AccountNo],tblCOA[Category],"Unmapped")</f>
        <v>Assets</v>
      </c>
      <c r="I872" s="4">
        <f t="shared" si="39"/>
        <v>33314.22</v>
      </c>
      <c r="J872">
        <f t="shared" si="40"/>
        <v>2024</v>
      </c>
      <c r="K872" s="5">
        <f t="shared" si="41"/>
        <v>45536</v>
      </c>
    </row>
    <row r="873" spans="1:11" x14ac:dyDescent="0.25">
      <c r="A873" t="s">
        <v>2948</v>
      </c>
      <c r="B873" s="3">
        <v>45546</v>
      </c>
      <c r="C873">
        <v>4010</v>
      </c>
      <c r="D873" s="1">
        <v>0</v>
      </c>
      <c r="E873" s="1">
        <v>33314.22</v>
      </c>
      <c r="F873" t="s">
        <v>2949</v>
      </c>
      <c r="G873" t="str">
        <f>_xlfn.XLOOKUP(C873,tblCOA[AccountNo],tblCOA[AccountName],"Unmapped")</f>
        <v>Product Sales</v>
      </c>
      <c r="H873" t="str">
        <f>_xlfn.XLOOKUP(C873,tblCOA[AccountNo],tblCOA[Category],"Unmapped")</f>
        <v>Revenue</v>
      </c>
      <c r="I873" s="4">
        <f t="shared" si="39"/>
        <v>-33314.22</v>
      </c>
      <c r="J873">
        <f t="shared" si="40"/>
        <v>2024</v>
      </c>
      <c r="K873" s="5">
        <f t="shared" si="41"/>
        <v>45536</v>
      </c>
    </row>
    <row r="874" spans="1:11" x14ac:dyDescent="0.25">
      <c r="A874" t="s">
        <v>2974</v>
      </c>
      <c r="B874" s="3">
        <v>45548</v>
      </c>
      <c r="C874">
        <v>5010</v>
      </c>
      <c r="D874" s="1">
        <v>14057.67</v>
      </c>
      <c r="E874" s="1">
        <v>0</v>
      </c>
      <c r="F874" t="s">
        <v>2975</v>
      </c>
      <c r="G874" t="str">
        <f>_xlfn.XLOOKUP(C874,tblCOA[AccountNo],tblCOA[AccountName],"Unmapped")</f>
        <v>Cost of Goods Sold</v>
      </c>
      <c r="H874" t="str">
        <f>_xlfn.XLOOKUP(C874,tblCOA[AccountNo],tblCOA[Category],"Unmapped")</f>
        <v>Expenses</v>
      </c>
      <c r="I874" s="4">
        <f t="shared" si="39"/>
        <v>14057.67</v>
      </c>
      <c r="J874">
        <f t="shared" si="40"/>
        <v>2024</v>
      </c>
      <c r="K874" s="5">
        <f t="shared" si="41"/>
        <v>45536</v>
      </c>
    </row>
    <row r="875" spans="1:11" x14ac:dyDescent="0.25">
      <c r="A875" t="s">
        <v>2976</v>
      </c>
      <c r="B875" s="3">
        <v>45548</v>
      </c>
      <c r="C875">
        <v>2010</v>
      </c>
      <c r="D875" s="1">
        <v>0</v>
      </c>
      <c r="E875" s="1">
        <v>14057.67</v>
      </c>
      <c r="F875" t="s">
        <v>2977</v>
      </c>
      <c r="G875" t="str">
        <f>_xlfn.XLOOKUP(C875,tblCOA[AccountNo],tblCOA[AccountName],"Unmapped")</f>
        <v>Accounts Payable</v>
      </c>
      <c r="H875" t="str">
        <f>_xlfn.XLOOKUP(C875,tblCOA[AccountNo],tblCOA[Category],"Unmapped")</f>
        <v>Liabilities</v>
      </c>
      <c r="I875" s="4">
        <f t="shared" si="39"/>
        <v>-14057.67</v>
      </c>
      <c r="J875">
        <f t="shared" si="40"/>
        <v>2024</v>
      </c>
      <c r="K875" s="5">
        <f t="shared" si="41"/>
        <v>45536</v>
      </c>
    </row>
    <row r="876" spans="1:11" x14ac:dyDescent="0.25">
      <c r="A876" t="s">
        <v>574</v>
      </c>
      <c r="B876" s="3">
        <v>45549</v>
      </c>
      <c r="C876">
        <v>5010</v>
      </c>
      <c r="D876" s="1">
        <v>14561.14</v>
      </c>
      <c r="E876" s="1">
        <v>0</v>
      </c>
      <c r="F876" t="s">
        <v>575</v>
      </c>
      <c r="G876" t="str">
        <f>_xlfn.XLOOKUP(C876,tblCOA[AccountNo],tblCOA[AccountName],"Unmapped")</f>
        <v>Cost of Goods Sold</v>
      </c>
      <c r="H876" t="str">
        <f>_xlfn.XLOOKUP(C876,tblCOA[AccountNo],tblCOA[Category],"Unmapped")</f>
        <v>Expenses</v>
      </c>
      <c r="I876" s="4">
        <f t="shared" si="39"/>
        <v>14561.14</v>
      </c>
      <c r="J876">
        <f t="shared" si="40"/>
        <v>2024</v>
      </c>
      <c r="K876" s="5">
        <f t="shared" si="41"/>
        <v>45536</v>
      </c>
    </row>
    <row r="877" spans="1:11" x14ac:dyDescent="0.25">
      <c r="A877" t="s">
        <v>576</v>
      </c>
      <c r="B877" s="3">
        <v>45549</v>
      </c>
      <c r="C877">
        <v>2010</v>
      </c>
      <c r="D877" s="1">
        <v>0</v>
      </c>
      <c r="E877" s="1">
        <v>14561.14</v>
      </c>
      <c r="F877" t="s">
        <v>577</v>
      </c>
      <c r="G877" t="str">
        <f>_xlfn.XLOOKUP(C877,tblCOA[AccountNo],tblCOA[AccountName],"Unmapped")</f>
        <v>Accounts Payable</v>
      </c>
      <c r="H877" t="str">
        <f>_xlfn.XLOOKUP(C877,tblCOA[AccountNo],tblCOA[Category],"Unmapped")</f>
        <v>Liabilities</v>
      </c>
      <c r="I877" s="4">
        <f t="shared" si="39"/>
        <v>-14561.14</v>
      </c>
      <c r="J877">
        <f t="shared" si="40"/>
        <v>2024</v>
      </c>
      <c r="K877" s="5">
        <f t="shared" si="41"/>
        <v>45536</v>
      </c>
    </row>
    <row r="878" spans="1:11" x14ac:dyDescent="0.25">
      <c r="A878" t="s">
        <v>2518</v>
      </c>
      <c r="B878" s="3">
        <v>45552</v>
      </c>
      <c r="C878">
        <v>5010</v>
      </c>
      <c r="D878" s="1">
        <v>13245.94</v>
      </c>
      <c r="E878" s="1">
        <v>0</v>
      </c>
      <c r="F878" t="s">
        <v>2519</v>
      </c>
      <c r="G878" t="str">
        <f>_xlfn.XLOOKUP(C878,tblCOA[AccountNo],tblCOA[AccountName],"Unmapped")</f>
        <v>Cost of Goods Sold</v>
      </c>
      <c r="H878" t="str">
        <f>_xlfn.XLOOKUP(C878,tblCOA[AccountNo],tblCOA[Category],"Unmapped")</f>
        <v>Expenses</v>
      </c>
      <c r="I878" s="4">
        <f t="shared" si="39"/>
        <v>13245.94</v>
      </c>
      <c r="J878">
        <f t="shared" si="40"/>
        <v>2024</v>
      </c>
      <c r="K878" s="5">
        <f t="shared" si="41"/>
        <v>45536</v>
      </c>
    </row>
    <row r="879" spans="1:11" x14ac:dyDescent="0.25">
      <c r="A879" t="s">
        <v>2520</v>
      </c>
      <c r="B879" s="3">
        <v>45552</v>
      </c>
      <c r="C879">
        <v>2010</v>
      </c>
      <c r="D879" s="1">
        <v>0</v>
      </c>
      <c r="E879" s="1">
        <v>13245.94</v>
      </c>
      <c r="F879" t="s">
        <v>2521</v>
      </c>
      <c r="G879" t="str">
        <f>_xlfn.XLOOKUP(C879,tblCOA[AccountNo],tblCOA[AccountName],"Unmapped")</f>
        <v>Accounts Payable</v>
      </c>
      <c r="H879" t="str">
        <f>_xlfn.XLOOKUP(C879,tblCOA[AccountNo],tblCOA[Category],"Unmapped")</f>
        <v>Liabilities</v>
      </c>
      <c r="I879" s="4">
        <f t="shared" si="39"/>
        <v>-13245.94</v>
      </c>
      <c r="J879">
        <f t="shared" si="40"/>
        <v>2024</v>
      </c>
      <c r="K879" s="5">
        <f t="shared" si="41"/>
        <v>45536</v>
      </c>
    </row>
    <row r="880" spans="1:11" x14ac:dyDescent="0.25">
      <c r="A880" t="s">
        <v>1010</v>
      </c>
      <c r="B880" s="3">
        <v>45552</v>
      </c>
      <c r="C880">
        <v>1200</v>
      </c>
      <c r="D880" s="1">
        <v>29262.06</v>
      </c>
      <c r="E880" s="1">
        <v>0</v>
      </c>
      <c r="F880" t="s">
        <v>1011</v>
      </c>
      <c r="G880" t="str">
        <f>_xlfn.XLOOKUP(C880,tblCOA[AccountNo],tblCOA[AccountName],"Unmapped")</f>
        <v>Accounts Receivable</v>
      </c>
      <c r="H880" t="str">
        <f>_xlfn.XLOOKUP(C880,tblCOA[AccountNo],tblCOA[Category],"Unmapped")</f>
        <v>Assets</v>
      </c>
      <c r="I880" s="4">
        <f t="shared" si="39"/>
        <v>29262.06</v>
      </c>
      <c r="J880">
        <f t="shared" si="40"/>
        <v>2024</v>
      </c>
      <c r="K880" s="5">
        <f t="shared" si="41"/>
        <v>45536</v>
      </c>
    </row>
    <row r="881" spans="1:11" x14ac:dyDescent="0.25">
      <c r="A881" t="s">
        <v>1012</v>
      </c>
      <c r="B881" s="3">
        <v>45552</v>
      </c>
      <c r="C881">
        <v>4010</v>
      </c>
      <c r="D881" s="1">
        <v>0</v>
      </c>
      <c r="E881" s="1">
        <v>29262.06</v>
      </c>
      <c r="F881" t="s">
        <v>1013</v>
      </c>
      <c r="G881" t="str">
        <f>_xlfn.XLOOKUP(C881,tblCOA[AccountNo],tblCOA[AccountName],"Unmapped")</f>
        <v>Product Sales</v>
      </c>
      <c r="H881" t="str">
        <f>_xlfn.XLOOKUP(C881,tblCOA[AccountNo],tblCOA[Category],"Unmapped")</f>
        <v>Revenue</v>
      </c>
      <c r="I881" s="4">
        <f t="shared" si="39"/>
        <v>-29262.06</v>
      </c>
      <c r="J881">
        <f t="shared" si="40"/>
        <v>2024</v>
      </c>
      <c r="K881" s="5">
        <f t="shared" si="41"/>
        <v>45536</v>
      </c>
    </row>
    <row r="882" spans="1:11" x14ac:dyDescent="0.25">
      <c r="A882" t="s">
        <v>3614</v>
      </c>
      <c r="B882" s="3">
        <v>45553</v>
      </c>
      <c r="C882">
        <v>5010</v>
      </c>
      <c r="D882" s="1">
        <v>5182.0600000000004</v>
      </c>
      <c r="E882" s="1">
        <v>0</v>
      </c>
      <c r="F882" t="s">
        <v>3615</v>
      </c>
      <c r="G882" t="str">
        <f>_xlfn.XLOOKUP(C882,tblCOA[AccountNo],tblCOA[AccountName],"Unmapped")</f>
        <v>Cost of Goods Sold</v>
      </c>
      <c r="H882" t="str">
        <f>_xlfn.XLOOKUP(C882,tblCOA[AccountNo],tblCOA[Category],"Unmapped")</f>
        <v>Expenses</v>
      </c>
      <c r="I882" s="4">
        <f t="shared" si="39"/>
        <v>5182.0600000000004</v>
      </c>
      <c r="J882">
        <f t="shared" si="40"/>
        <v>2024</v>
      </c>
      <c r="K882" s="5">
        <f t="shared" si="41"/>
        <v>45536</v>
      </c>
    </row>
    <row r="883" spans="1:11" x14ac:dyDescent="0.25">
      <c r="A883" t="s">
        <v>3616</v>
      </c>
      <c r="B883" s="3">
        <v>45553</v>
      </c>
      <c r="C883">
        <v>2010</v>
      </c>
      <c r="D883" s="1">
        <v>0</v>
      </c>
      <c r="E883" s="1">
        <v>5182.0600000000004</v>
      </c>
      <c r="F883" t="s">
        <v>3617</v>
      </c>
      <c r="G883" t="str">
        <f>_xlfn.XLOOKUP(C883,tblCOA[AccountNo],tblCOA[AccountName],"Unmapped")</f>
        <v>Accounts Payable</v>
      </c>
      <c r="H883" t="str">
        <f>_xlfn.XLOOKUP(C883,tblCOA[AccountNo],tblCOA[Category],"Unmapped")</f>
        <v>Liabilities</v>
      </c>
      <c r="I883" s="4">
        <f t="shared" si="39"/>
        <v>-5182.0600000000004</v>
      </c>
      <c r="J883">
        <f t="shared" si="40"/>
        <v>2024</v>
      </c>
      <c r="K883" s="5">
        <f t="shared" si="41"/>
        <v>45536</v>
      </c>
    </row>
    <row r="884" spans="1:11" x14ac:dyDescent="0.25">
      <c r="A884" t="s">
        <v>3438</v>
      </c>
      <c r="B884" s="3">
        <v>45556</v>
      </c>
      <c r="C884">
        <v>5010</v>
      </c>
      <c r="D884" s="1">
        <v>739.59</v>
      </c>
      <c r="E884" s="1">
        <v>0</v>
      </c>
      <c r="F884" t="s">
        <v>3439</v>
      </c>
      <c r="G884" t="str">
        <f>_xlfn.XLOOKUP(C884,tblCOA[AccountNo],tblCOA[AccountName],"Unmapped")</f>
        <v>Cost of Goods Sold</v>
      </c>
      <c r="H884" t="str">
        <f>_xlfn.XLOOKUP(C884,tblCOA[AccountNo],tblCOA[Category],"Unmapped")</f>
        <v>Expenses</v>
      </c>
      <c r="I884" s="4">
        <f t="shared" si="39"/>
        <v>739.59</v>
      </c>
      <c r="J884">
        <f t="shared" si="40"/>
        <v>2024</v>
      </c>
      <c r="K884" s="5">
        <f t="shared" si="41"/>
        <v>45536</v>
      </c>
    </row>
    <row r="885" spans="1:11" x14ac:dyDescent="0.25">
      <c r="A885" t="s">
        <v>3440</v>
      </c>
      <c r="B885" s="3">
        <v>45556</v>
      </c>
      <c r="C885">
        <v>2010</v>
      </c>
      <c r="D885" s="1">
        <v>0</v>
      </c>
      <c r="E885" s="1">
        <v>739.59</v>
      </c>
      <c r="F885" t="s">
        <v>3441</v>
      </c>
      <c r="G885" t="str">
        <f>_xlfn.XLOOKUP(C885,tblCOA[AccountNo],tblCOA[AccountName],"Unmapped")</f>
        <v>Accounts Payable</v>
      </c>
      <c r="H885" t="str">
        <f>_xlfn.XLOOKUP(C885,tblCOA[AccountNo],tblCOA[Category],"Unmapped")</f>
        <v>Liabilities</v>
      </c>
      <c r="I885" s="4">
        <f t="shared" si="39"/>
        <v>-739.59</v>
      </c>
      <c r="J885">
        <f t="shared" si="40"/>
        <v>2024</v>
      </c>
      <c r="K885" s="5">
        <f t="shared" si="41"/>
        <v>45536</v>
      </c>
    </row>
    <row r="886" spans="1:11" x14ac:dyDescent="0.25">
      <c r="A886" t="s">
        <v>950</v>
      </c>
      <c r="B886" s="3">
        <v>45558</v>
      </c>
      <c r="C886">
        <v>5010</v>
      </c>
      <c r="D886" s="1">
        <v>11668.62</v>
      </c>
      <c r="E886" s="1">
        <v>0</v>
      </c>
      <c r="F886" t="s">
        <v>951</v>
      </c>
      <c r="G886" t="str">
        <f>_xlfn.XLOOKUP(C886,tblCOA[AccountNo],tblCOA[AccountName],"Unmapped")</f>
        <v>Cost of Goods Sold</v>
      </c>
      <c r="H886" t="str">
        <f>_xlfn.XLOOKUP(C886,tblCOA[AccountNo],tblCOA[Category],"Unmapped")</f>
        <v>Expenses</v>
      </c>
      <c r="I886" s="4">
        <f t="shared" si="39"/>
        <v>11668.62</v>
      </c>
      <c r="J886">
        <f t="shared" si="40"/>
        <v>2024</v>
      </c>
      <c r="K886" s="5">
        <f t="shared" si="41"/>
        <v>45536</v>
      </c>
    </row>
    <row r="887" spans="1:11" x14ac:dyDescent="0.25">
      <c r="A887" t="s">
        <v>952</v>
      </c>
      <c r="B887" s="3">
        <v>45558</v>
      </c>
      <c r="C887">
        <v>2010</v>
      </c>
      <c r="D887" s="1">
        <v>0</v>
      </c>
      <c r="E887" s="1">
        <v>11668.62</v>
      </c>
      <c r="F887" t="s">
        <v>953</v>
      </c>
      <c r="G887" t="str">
        <f>_xlfn.XLOOKUP(C887,tblCOA[AccountNo],tblCOA[AccountName],"Unmapped")</f>
        <v>Accounts Payable</v>
      </c>
      <c r="H887" t="str">
        <f>_xlfn.XLOOKUP(C887,tblCOA[AccountNo],tblCOA[Category],"Unmapped")</f>
        <v>Liabilities</v>
      </c>
      <c r="I887" s="4">
        <f t="shared" si="39"/>
        <v>-11668.62</v>
      </c>
      <c r="J887">
        <f t="shared" si="40"/>
        <v>2024</v>
      </c>
      <c r="K887" s="5">
        <f t="shared" si="41"/>
        <v>45536</v>
      </c>
    </row>
    <row r="888" spans="1:11" x14ac:dyDescent="0.25">
      <c r="A888" t="s">
        <v>1566</v>
      </c>
      <c r="B888" s="3">
        <v>45559</v>
      </c>
      <c r="C888">
        <v>5010</v>
      </c>
      <c r="D888" s="1">
        <v>2063.56</v>
      </c>
      <c r="E888" s="1">
        <v>0</v>
      </c>
      <c r="F888" t="s">
        <v>1567</v>
      </c>
      <c r="G888" t="str">
        <f>_xlfn.XLOOKUP(C888,tblCOA[AccountNo],tblCOA[AccountName],"Unmapped")</f>
        <v>Cost of Goods Sold</v>
      </c>
      <c r="H888" t="str">
        <f>_xlfn.XLOOKUP(C888,tblCOA[AccountNo],tblCOA[Category],"Unmapped")</f>
        <v>Expenses</v>
      </c>
      <c r="I888" s="4">
        <f t="shared" si="39"/>
        <v>2063.56</v>
      </c>
      <c r="J888">
        <f t="shared" si="40"/>
        <v>2024</v>
      </c>
      <c r="K888" s="5">
        <f t="shared" si="41"/>
        <v>45536</v>
      </c>
    </row>
    <row r="889" spans="1:11" x14ac:dyDescent="0.25">
      <c r="A889" t="s">
        <v>1568</v>
      </c>
      <c r="B889" s="3">
        <v>45559</v>
      </c>
      <c r="C889">
        <v>2010</v>
      </c>
      <c r="D889" s="1">
        <v>0</v>
      </c>
      <c r="E889" s="1">
        <v>2063.56</v>
      </c>
      <c r="F889" t="s">
        <v>1569</v>
      </c>
      <c r="G889" t="str">
        <f>_xlfn.XLOOKUP(C889,tblCOA[AccountNo],tblCOA[AccountName],"Unmapped")</f>
        <v>Accounts Payable</v>
      </c>
      <c r="H889" t="str">
        <f>_xlfn.XLOOKUP(C889,tblCOA[AccountNo],tblCOA[Category],"Unmapped")</f>
        <v>Liabilities</v>
      </c>
      <c r="I889" s="4">
        <f t="shared" si="39"/>
        <v>-2063.56</v>
      </c>
      <c r="J889">
        <f t="shared" si="40"/>
        <v>2024</v>
      </c>
      <c r="K889" s="5">
        <f t="shared" si="41"/>
        <v>45536</v>
      </c>
    </row>
    <row r="890" spans="1:11" x14ac:dyDescent="0.25">
      <c r="A890" t="s">
        <v>2082</v>
      </c>
      <c r="B890" s="3">
        <v>45560</v>
      </c>
      <c r="C890">
        <v>1200</v>
      </c>
      <c r="D890" s="1">
        <v>41345.69</v>
      </c>
      <c r="E890" s="1">
        <v>0</v>
      </c>
      <c r="F890" t="s">
        <v>2083</v>
      </c>
      <c r="G890" t="str">
        <f>_xlfn.XLOOKUP(C890,tblCOA[AccountNo],tblCOA[AccountName],"Unmapped")</f>
        <v>Accounts Receivable</v>
      </c>
      <c r="H890" t="str">
        <f>_xlfn.XLOOKUP(C890,tblCOA[AccountNo],tblCOA[Category],"Unmapped")</f>
        <v>Assets</v>
      </c>
      <c r="I890" s="4">
        <f t="shared" si="39"/>
        <v>41345.69</v>
      </c>
      <c r="J890">
        <f t="shared" si="40"/>
        <v>2024</v>
      </c>
      <c r="K890" s="5">
        <f t="shared" si="41"/>
        <v>45536</v>
      </c>
    </row>
    <row r="891" spans="1:11" x14ac:dyDescent="0.25">
      <c r="A891" t="s">
        <v>2084</v>
      </c>
      <c r="B891" s="3">
        <v>45560</v>
      </c>
      <c r="C891">
        <v>4010</v>
      </c>
      <c r="D891" s="1">
        <v>0</v>
      </c>
      <c r="E891" s="1">
        <v>41345.69</v>
      </c>
      <c r="F891" t="s">
        <v>2085</v>
      </c>
      <c r="G891" t="str">
        <f>_xlfn.XLOOKUP(C891,tblCOA[AccountNo],tblCOA[AccountName],"Unmapped")</f>
        <v>Product Sales</v>
      </c>
      <c r="H891" t="str">
        <f>_xlfn.XLOOKUP(C891,tblCOA[AccountNo],tblCOA[Category],"Unmapped")</f>
        <v>Revenue</v>
      </c>
      <c r="I891" s="4">
        <f t="shared" si="39"/>
        <v>-41345.69</v>
      </c>
      <c r="J891">
        <f t="shared" si="40"/>
        <v>2024</v>
      </c>
      <c r="K891" s="5">
        <f t="shared" si="41"/>
        <v>45536</v>
      </c>
    </row>
    <row r="892" spans="1:11" x14ac:dyDescent="0.25">
      <c r="A892" t="s">
        <v>2822</v>
      </c>
      <c r="B892" s="3">
        <v>45560</v>
      </c>
      <c r="C892">
        <v>5010</v>
      </c>
      <c r="D892" s="1">
        <v>742.65</v>
      </c>
      <c r="E892" s="1">
        <v>0</v>
      </c>
      <c r="F892" t="s">
        <v>2823</v>
      </c>
      <c r="G892" t="str">
        <f>_xlfn.XLOOKUP(C892,tblCOA[AccountNo],tblCOA[AccountName],"Unmapped")</f>
        <v>Cost of Goods Sold</v>
      </c>
      <c r="H892" t="str">
        <f>_xlfn.XLOOKUP(C892,tblCOA[AccountNo],tblCOA[Category],"Unmapped")</f>
        <v>Expenses</v>
      </c>
      <c r="I892" s="4">
        <f t="shared" si="39"/>
        <v>742.65</v>
      </c>
      <c r="J892">
        <f t="shared" si="40"/>
        <v>2024</v>
      </c>
      <c r="K892" s="5">
        <f t="shared" si="41"/>
        <v>45536</v>
      </c>
    </row>
    <row r="893" spans="1:11" x14ac:dyDescent="0.25">
      <c r="A893" t="s">
        <v>2824</v>
      </c>
      <c r="B893" s="3">
        <v>45560</v>
      </c>
      <c r="C893">
        <v>2010</v>
      </c>
      <c r="D893" s="1">
        <v>0</v>
      </c>
      <c r="E893" s="1">
        <v>742.65</v>
      </c>
      <c r="F893" t="s">
        <v>2825</v>
      </c>
      <c r="G893" t="str">
        <f>_xlfn.XLOOKUP(C893,tblCOA[AccountNo],tblCOA[AccountName],"Unmapped")</f>
        <v>Accounts Payable</v>
      </c>
      <c r="H893" t="str">
        <f>_xlfn.XLOOKUP(C893,tblCOA[AccountNo],tblCOA[Category],"Unmapped")</f>
        <v>Liabilities</v>
      </c>
      <c r="I893" s="4">
        <f t="shared" si="39"/>
        <v>-742.65</v>
      </c>
      <c r="J893">
        <f t="shared" si="40"/>
        <v>2024</v>
      </c>
      <c r="K893" s="5">
        <f t="shared" si="41"/>
        <v>45536</v>
      </c>
    </row>
    <row r="894" spans="1:11" x14ac:dyDescent="0.25">
      <c r="A894" t="s">
        <v>2006</v>
      </c>
      <c r="B894" s="3">
        <v>45561</v>
      </c>
      <c r="C894">
        <v>5010</v>
      </c>
      <c r="D894" s="1">
        <v>18009.63</v>
      </c>
      <c r="E894" s="1">
        <v>0</v>
      </c>
      <c r="F894" t="s">
        <v>2007</v>
      </c>
      <c r="G894" t="str">
        <f>_xlfn.XLOOKUP(C894,tblCOA[AccountNo],tblCOA[AccountName],"Unmapped")</f>
        <v>Cost of Goods Sold</v>
      </c>
      <c r="H894" t="str">
        <f>_xlfn.XLOOKUP(C894,tblCOA[AccountNo],tblCOA[Category],"Unmapped")</f>
        <v>Expenses</v>
      </c>
      <c r="I894" s="4">
        <f t="shared" si="39"/>
        <v>18009.63</v>
      </c>
      <c r="J894">
        <f t="shared" si="40"/>
        <v>2024</v>
      </c>
      <c r="K894" s="5">
        <f t="shared" si="41"/>
        <v>45536</v>
      </c>
    </row>
    <row r="895" spans="1:11" x14ac:dyDescent="0.25">
      <c r="A895" t="s">
        <v>2008</v>
      </c>
      <c r="B895" s="3">
        <v>45561</v>
      </c>
      <c r="C895">
        <v>2010</v>
      </c>
      <c r="D895" s="1">
        <v>0</v>
      </c>
      <c r="E895" s="1">
        <v>18009.63</v>
      </c>
      <c r="F895" t="s">
        <v>2009</v>
      </c>
      <c r="G895" t="str">
        <f>_xlfn.XLOOKUP(C895,tblCOA[AccountNo],tblCOA[AccountName],"Unmapped")</f>
        <v>Accounts Payable</v>
      </c>
      <c r="H895" t="str">
        <f>_xlfn.XLOOKUP(C895,tblCOA[AccountNo],tblCOA[Category],"Unmapped")</f>
        <v>Liabilities</v>
      </c>
      <c r="I895" s="4">
        <f t="shared" si="39"/>
        <v>-18009.63</v>
      </c>
      <c r="J895">
        <f t="shared" si="40"/>
        <v>2024</v>
      </c>
      <c r="K895" s="5">
        <f t="shared" si="41"/>
        <v>45536</v>
      </c>
    </row>
    <row r="896" spans="1:11" x14ac:dyDescent="0.25">
      <c r="A896" t="s">
        <v>3506</v>
      </c>
      <c r="B896" s="3">
        <v>45563</v>
      </c>
      <c r="C896">
        <v>1200</v>
      </c>
      <c r="D896" s="1">
        <v>25925.45</v>
      </c>
      <c r="E896" s="1">
        <v>0</v>
      </c>
      <c r="F896" t="s">
        <v>3507</v>
      </c>
      <c r="G896" t="str">
        <f>_xlfn.XLOOKUP(C896,tblCOA[AccountNo],tblCOA[AccountName],"Unmapped")</f>
        <v>Accounts Receivable</v>
      </c>
      <c r="H896" t="str">
        <f>_xlfn.XLOOKUP(C896,tblCOA[AccountNo],tblCOA[Category],"Unmapped")</f>
        <v>Assets</v>
      </c>
      <c r="I896" s="4">
        <f t="shared" si="39"/>
        <v>25925.45</v>
      </c>
      <c r="J896">
        <f t="shared" si="40"/>
        <v>2024</v>
      </c>
      <c r="K896" s="5">
        <f t="shared" si="41"/>
        <v>45536</v>
      </c>
    </row>
    <row r="897" spans="1:11" x14ac:dyDescent="0.25">
      <c r="A897" t="s">
        <v>3508</v>
      </c>
      <c r="B897" s="3">
        <v>45563</v>
      </c>
      <c r="C897">
        <v>4010</v>
      </c>
      <c r="D897" s="1">
        <v>0</v>
      </c>
      <c r="E897" s="1">
        <v>25925.45</v>
      </c>
      <c r="F897" t="s">
        <v>3509</v>
      </c>
      <c r="G897" t="str">
        <f>_xlfn.XLOOKUP(C897,tblCOA[AccountNo],tblCOA[AccountName],"Unmapped")</f>
        <v>Product Sales</v>
      </c>
      <c r="H897" t="str">
        <f>_xlfn.XLOOKUP(C897,tblCOA[AccountNo],tblCOA[Category],"Unmapped")</f>
        <v>Revenue</v>
      </c>
      <c r="I897" s="4">
        <f t="shared" si="39"/>
        <v>-25925.45</v>
      </c>
      <c r="J897">
        <f t="shared" si="40"/>
        <v>2024</v>
      </c>
      <c r="K897" s="5">
        <f t="shared" si="41"/>
        <v>45536</v>
      </c>
    </row>
    <row r="898" spans="1:11" x14ac:dyDescent="0.25">
      <c r="A898" t="s">
        <v>2682</v>
      </c>
      <c r="B898" s="3">
        <v>45564</v>
      </c>
      <c r="C898">
        <v>1200</v>
      </c>
      <c r="D898" s="1">
        <v>14881.23</v>
      </c>
      <c r="E898" s="1">
        <v>0</v>
      </c>
      <c r="F898" t="s">
        <v>2683</v>
      </c>
      <c r="G898" t="str">
        <f>_xlfn.XLOOKUP(C898,tblCOA[AccountNo],tblCOA[AccountName],"Unmapped")</f>
        <v>Accounts Receivable</v>
      </c>
      <c r="H898" t="str">
        <f>_xlfn.XLOOKUP(C898,tblCOA[AccountNo],tblCOA[Category],"Unmapped")</f>
        <v>Assets</v>
      </c>
      <c r="I898" s="4">
        <f t="shared" ref="I898:I961" si="42">D898-E898</f>
        <v>14881.23</v>
      </c>
      <c r="J898">
        <f t="shared" ref="J898:J961" si="43">YEAR(B898)</f>
        <v>2024</v>
      </c>
      <c r="K898" s="5">
        <f t="shared" ref="K898:K961" si="44">DATE(YEAR(B898),MONTH(B898),1)</f>
        <v>45536</v>
      </c>
    </row>
    <row r="899" spans="1:11" x14ac:dyDescent="0.25">
      <c r="A899" t="s">
        <v>2684</v>
      </c>
      <c r="B899" s="3">
        <v>45564</v>
      </c>
      <c r="C899">
        <v>4010</v>
      </c>
      <c r="D899" s="1">
        <v>0</v>
      </c>
      <c r="E899" s="1">
        <v>14881.23</v>
      </c>
      <c r="F899" t="s">
        <v>2685</v>
      </c>
      <c r="G899" t="str">
        <f>_xlfn.XLOOKUP(C899,tblCOA[AccountNo],tblCOA[AccountName],"Unmapped")</f>
        <v>Product Sales</v>
      </c>
      <c r="H899" t="str">
        <f>_xlfn.XLOOKUP(C899,tblCOA[AccountNo],tblCOA[Category],"Unmapped")</f>
        <v>Revenue</v>
      </c>
      <c r="I899" s="4">
        <f t="shared" si="42"/>
        <v>-14881.23</v>
      </c>
      <c r="J899">
        <f t="shared" si="43"/>
        <v>2024</v>
      </c>
      <c r="K899" s="5">
        <f t="shared" si="44"/>
        <v>45536</v>
      </c>
    </row>
    <row r="900" spans="1:11" x14ac:dyDescent="0.25">
      <c r="A900" t="s">
        <v>2886</v>
      </c>
      <c r="B900" s="3">
        <v>45564</v>
      </c>
      <c r="C900">
        <v>5010</v>
      </c>
      <c r="D900" s="1">
        <v>4144.08</v>
      </c>
      <c r="E900" s="1">
        <v>0</v>
      </c>
      <c r="F900" t="s">
        <v>2887</v>
      </c>
      <c r="G900" t="str">
        <f>_xlfn.XLOOKUP(C900,tblCOA[AccountNo],tblCOA[AccountName],"Unmapped")</f>
        <v>Cost of Goods Sold</v>
      </c>
      <c r="H900" t="str">
        <f>_xlfn.XLOOKUP(C900,tblCOA[AccountNo],tblCOA[Category],"Unmapped")</f>
        <v>Expenses</v>
      </c>
      <c r="I900" s="4">
        <f t="shared" si="42"/>
        <v>4144.08</v>
      </c>
      <c r="J900">
        <f t="shared" si="43"/>
        <v>2024</v>
      </c>
      <c r="K900" s="5">
        <f t="shared" si="44"/>
        <v>45536</v>
      </c>
    </row>
    <row r="901" spans="1:11" x14ac:dyDescent="0.25">
      <c r="A901" t="s">
        <v>2888</v>
      </c>
      <c r="B901" s="3">
        <v>45564</v>
      </c>
      <c r="C901">
        <v>2010</v>
      </c>
      <c r="D901" s="1">
        <v>0</v>
      </c>
      <c r="E901" s="1">
        <v>4144.08</v>
      </c>
      <c r="F901" t="s">
        <v>2889</v>
      </c>
      <c r="G901" t="str">
        <f>_xlfn.XLOOKUP(C901,tblCOA[AccountNo],tblCOA[AccountName],"Unmapped")</f>
        <v>Accounts Payable</v>
      </c>
      <c r="H901" t="str">
        <f>_xlfn.XLOOKUP(C901,tblCOA[AccountNo],tblCOA[Category],"Unmapped")</f>
        <v>Liabilities</v>
      </c>
      <c r="I901" s="4">
        <f t="shared" si="42"/>
        <v>-4144.08</v>
      </c>
      <c r="J901">
        <f t="shared" si="43"/>
        <v>2024</v>
      </c>
      <c r="K901" s="5">
        <f t="shared" si="44"/>
        <v>45536</v>
      </c>
    </row>
    <row r="902" spans="1:11" x14ac:dyDescent="0.25">
      <c r="A902" t="s">
        <v>2770</v>
      </c>
      <c r="B902" s="3">
        <v>45567</v>
      </c>
      <c r="C902">
        <v>1200</v>
      </c>
      <c r="D902" s="1">
        <v>11916.53</v>
      </c>
      <c r="E902" s="1">
        <v>0</v>
      </c>
      <c r="F902" t="s">
        <v>2771</v>
      </c>
      <c r="G902" t="str">
        <f>_xlfn.XLOOKUP(C902,tblCOA[AccountNo],tblCOA[AccountName],"Unmapped")</f>
        <v>Accounts Receivable</v>
      </c>
      <c r="H902" t="str">
        <f>_xlfn.XLOOKUP(C902,tblCOA[AccountNo],tblCOA[Category],"Unmapped")</f>
        <v>Assets</v>
      </c>
      <c r="I902" s="4">
        <f t="shared" si="42"/>
        <v>11916.53</v>
      </c>
      <c r="J902">
        <f t="shared" si="43"/>
        <v>2024</v>
      </c>
      <c r="K902" s="5">
        <f t="shared" si="44"/>
        <v>45566</v>
      </c>
    </row>
    <row r="903" spans="1:11" x14ac:dyDescent="0.25">
      <c r="A903" t="s">
        <v>2772</v>
      </c>
      <c r="B903" s="3">
        <v>45567</v>
      </c>
      <c r="C903">
        <v>4010</v>
      </c>
      <c r="D903" s="1">
        <v>0</v>
      </c>
      <c r="E903" s="1">
        <v>11916.53</v>
      </c>
      <c r="F903" t="s">
        <v>2773</v>
      </c>
      <c r="G903" t="str">
        <f>_xlfn.XLOOKUP(C903,tblCOA[AccountNo],tblCOA[AccountName],"Unmapped")</f>
        <v>Product Sales</v>
      </c>
      <c r="H903" t="str">
        <f>_xlfn.XLOOKUP(C903,tblCOA[AccountNo],tblCOA[Category],"Unmapped")</f>
        <v>Revenue</v>
      </c>
      <c r="I903" s="4">
        <f t="shared" si="42"/>
        <v>-11916.53</v>
      </c>
      <c r="J903">
        <f t="shared" si="43"/>
        <v>2024</v>
      </c>
      <c r="K903" s="5">
        <f t="shared" si="44"/>
        <v>45566</v>
      </c>
    </row>
    <row r="904" spans="1:11" x14ac:dyDescent="0.25">
      <c r="A904" t="s">
        <v>3390</v>
      </c>
      <c r="B904" s="3">
        <v>45567</v>
      </c>
      <c r="C904">
        <v>5010</v>
      </c>
      <c r="D904" s="1">
        <v>6359.52</v>
      </c>
      <c r="E904" s="1">
        <v>0</v>
      </c>
      <c r="F904" t="s">
        <v>3391</v>
      </c>
      <c r="G904" t="str">
        <f>_xlfn.XLOOKUP(C904,tblCOA[AccountNo],tblCOA[AccountName],"Unmapped")</f>
        <v>Cost of Goods Sold</v>
      </c>
      <c r="H904" t="str">
        <f>_xlfn.XLOOKUP(C904,tblCOA[AccountNo],tblCOA[Category],"Unmapped")</f>
        <v>Expenses</v>
      </c>
      <c r="I904" s="4">
        <f t="shared" si="42"/>
        <v>6359.52</v>
      </c>
      <c r="J904">
        <f t="shared" si="43"/>
        <v>2024</v>
      </c>
      <c r="K904" s="5">
        <f t="shared" si="44"/>
        <v>45566</v>
      </c>
    </row>
    <row r="905" spans="1:11" x14ac:dyDescent="0.25">
      <c r="A905" t="s">
        <v>3392</v>
      </c>
      <c r="B905" s="3">
        <v>45567</v>
      </c>
      <c r="C905">
        <v>2010</v>
      </c>
      <c r="D905" s="1">
        <v>0</v>
      </c>
      <c r="E905" s="1">
        <v>6359.52</v>
      </c>
      <c r="F905" t="s">
        <v>3393</v>
      </c>
      <c r="G905" t="str">
        <f>_xlfn.XLOOKUP(C905,tblCOA[AccountNo],tblCOA[AccountName],"Unmapped")</f>
        <v>Accounts Payable</v>
      </c>
      <c r="H905" t="str">
        <f>_xlfn.XLOOKUP(C905,tblCOA[AccountNo],tblCOA[Category],"Unmapped")</f>
        <v>Liabilities</v>
      </c>
      <c r="I905" s="4">
        <f t="shared" si="42"/>
        <v>-6359.52</v>
      </c>
      <c r="J905">
        <f t="shared" si="43"/>
        <v>2024</v>
      </c>
      <c r="K905" s="5">
        <f t="shared" si="44"/>
        <v>45566</v>
      </c>
    </row>
    <row r="906" spans="1:11" x14ac:dyDescent="0.25">
      <c r="A906" t="s">
        <v>538</v>
      </c>
      <c r="B906" s="3">
        <v>45567</v>
      </c>
      <c r="C906">
        <v>1200</v>
      </c>
      <c r="D906" s="1">
        <v>23562.59</v>
      </c>
      <c r="E906" s="1">
        <v>0</v>
      </c>
      <c r="F906" t="s">
        <v>539</v>
      </c>
      <c r="G906" t="str">
        <f>_xlfn.XLOOKUP(C906,tblCOA[AccountNo],tblCOA[AccountName],"Unmapped")</f>
        <v>Accounts Receivable</v>
      </c>
      <c r="H906" t="str">
        <f>_xlfn.XLOOKUP(C906,tblCOA[AccountNo],tblCOA[Category],"Unmapped")</f>
        <v>Assets</v>
      </c>
      <c r="I906" s="4">
        <f t="shared" si="42"/>
        <v>23562.59</v>
      </c>
      <c r="J906">
        <f t="shared" si="43"/>
        <v>2024</v>
      </c>
      <c r="K906" s="5">
        <f t="shared" si="44"/>
        <v>45566</v>
      </c>
    </row>
    <row r="907" spans="1:11" x14ac:dyDescent="0.25">
      <c r="A907" t="s">
        <v>540</v>
      </c>
      <c r="B907" s="3">
        <v>45567</v>
      </c>
      <c r="C907">
        <v>4010</v>
      </c>
      <c r="D907" s="1">
        <v>0</v>
      </c>
      <c r="E907" s="1">
        <v>23562.59</v>
      </c>
      <c r="F907" t="s">
        <v>541</v>
      </c>
      <c r="G907" t="str">
        <f>_xlfn.XLOOKUP(C907,tblCOA[AccountNo],tblCOA[AccountName],"Unmapped")</f>
        <v>Product Sales</v>
      </c>
      <c r="H907" t="str">
        <f>_xlfn.XLOOKUP(C907,tblCOA[AccountNo],tblCOA[Category],"Unmapped")</f>
        <v>Revenue</v>
      </c>
      <c r="I907" s="4">
        <f t="shared" si="42"/>
        <v>-23562.59</v>
      </c>
      <c r="J907">
        <f t="shared" si="43"/>
        <v>2024</v>
      </c>
      <c r="K907" s="5">
        <f t="shared" si="44"/>
        <v>45566</v>
      </c>
    </row>
    <row r="908" spans="1:11" x14ac:dyDescent="0.25">
      <c r="A908" t="s">
        <v>2018</v>
      </c>
      <c r="B908" s="3">
        <v>45568</v>
      </c>
      <c r="C908">
        <v>1200</v>
      </c>
      <c r="D908" s="1">
        <v>20025.5</v>
      </c>
      <c r="E908" s="1">
        <v>0</v>
      </c>
      <c r="F908" t="s">
        <v>2019</v>
      </c>
      <c r="G908" t="str">
        <f>_xlfn.XLOOKUP(C908,tblCOA[AccountNo],tblCOA[AccountName],"Unmapped")</f>
        <v>Accounts Receivable</v>
      </c>
      <c r="H908" t="str">
        <f>_xlfn.XLOOKUP(C908,tblCOA[AccountNo],tblCOA[Category],"Unmapped")</f>
        <v>Assets</v>
      </c>
      <c r="I908" s="4">
        <f t="shared" si="42"/>
        <v>20025.5</v>
      </c>
      <c r="J908">
        <f t="shared" si="43"/>
        <v>2024</v>
      </c>
      <c r="K908" s="5">
        <f t="shared" si="44"/>
        <v>45566</v>
      </c>
    </row>
    <row r="909" spans="1:11" x14ac:dyDescent="0.25">
      <c r="A909" t="s">
        <v>2020</v>
      </c>
      <c r="B909" s="3">
        <v>45568</v>
      </c>
      <c r="C909">
        <v>4010</v>
      </c>
      <c r="D909" s="1">
        <v>0</v>
      </c>
      <c r="E909" s="1">
        <v>20025.5</v>
      </c>
      <c r="F909" t="s">
        <v>2021</v>
      </c>
      <c r="G909" t="str">
        <f>_xlfn.XLOOKUP(C909,tblCOA[AccountNo],tblCOA[AccountName],"Unmapped")</f>
        <v>Product Sales</v>
      </c>
      <c r="H909" t="str">
        <f>_xlfn.XLOOKUP(C909,tblCOA[AccountNo],tblCOA[Category],"Unmapped")</f>
        <v>Revenue</v>
      </c>
      <c r="I909" s="4">
        <f t="shared" si="42"/>
        <v>-20025.5</v>
      </c>
      <c r="J909">
        <f t="shared" si="43"/>
        <v>2024</v>
      </c>
      <c r="K909" s="5">
        <f t="shared" si="44"/>
        <v>45566</v>
      </c>
    </row>
    <row r="910" spans="1:11" x14ac:dyDescent="0.25">
      <c r="A910" t="s">
        <v>1490</v>
      </c>
      <c r="B910" s="3">
        <v>45568</v>
      </c>
      <c r="C910">
        <v>1200</v>
      </c>
      <c r="D910" s="1">
        <v>25095.41</v>
      </c>
      <c r="E910" s="1">
        <v>0</v>
      </c>
      <c r="F910" t="s">
        <v>1491</v>
      </c>
      <c r="G910" t="str">
        <f>_xlfn.XLOOKUP(C910,tblCOA[AccountNo],tblCOA[AccountName],"Unmapped")</f>
        <v>Accounts Receivable</v>
      </c>
      <c r="H910" t="str">
        <f>_xlfn.XLOOKUP(C910,tblCOA[AccountNo],tblCOA[Category],"Unmapped")</f>
        <v>Assets</v>
      </c>
      <c r="I910" s="4">
        <f t="shared" si="42"/>
        <v>25095.41</v>
      </c>
      <c r="J910">
        <f t="shared" si="43"/>
        <v>2024</v>
      </c>
      <c r="K910" s="5">
        <f t="shared" si="44"/>
        <v>45566</v>
      </c>
    </row>
    <row r="911" spans="1:11" x14ac:dyDescent="0.25">
      <c r="A911" t="s">
        <v>1492</v>
      </c>
      <c r="B911" s="3">
        <v>45568</v>
      </c>
      <c r="C911">
        <v>4010</v>
      </c>
      <c r="D911" s="1">
        <v>0</v>
      </c>
      <c r="E911" s="1">
        <v>25095.41</v>
      </c>
      <c r="F911" t="s">
        <v>1493</v>
      </c>
      <c r="G911" t="str">
        <f>_xlfn.XLOOKUP(C911,tblCOA[AccountNo],tblCOA[AccountName],"Unmapped")</f>
        <v>Product Sales</v>
      </c>
      <c r="H911" t="str">
        <f>_xlfn.XLOOKUP(C911,tblCOA[AccountNo],tblCOA[Category],"Unmapped")</f>
        <v>Revenue</v>
      </c>
      <c r="I911" s="4">
        <f t="shared" si="42"/>
        <v>-25095.41</v>
      </c>
      <c r="J911">
        <f t="shared" si="43"/>
        <v>2024</v>
      </c>
      <c r="K911" s="5">
        <f t="shared" si="44"/>
        <v>45566</v>
      </c>
    </row>
    <row r="912" spans="1:11" x14ac:dyDescent="0.25">
      <c r="A912" t="s">
        <v>854</v>
      </c>
      <c r="B912" s="3">
        <v>45569</v>
      </c>
      <c r="C912">
        <v>5010</v>
      </c>
      <c r="D912" s="1">
        <v>16868.7</v>
      </c>
      <c r="E912" s="1">
        <v>0</v>
      </c>
      <c r="F912" t="s">
        <v>855</v>
      </c>
      <c r="G912" t="str">
        <f>_xlfn.XLOOKUP(C912,tblCOA[AccountNo],tblCOA[AccountName],"Unmapped")</f>
        <v>Cost of Goods Sold</v>
      </c>
      <c r="H912" t="str">
        <f>_xlfn.XLOOKUP(C912,tblCOA[AccountNo],tblCOA[Category],"Unmapped")</f>
        <v>Expenses</v>
      </c>
      <c r="I912" s="4">
        <f t="shared" si="42"/>
        <v>16868.7</v>
      </c>
      <c r="J912">
        <f t="shared" si="43"/>
        <v>2024</v>
      </c>
      <c r="K912" s="5">
        <f t="shared" si="44"/>
        <v>45566</v>
      </c>
    </row>
    <row r="913" spans="1:11" x14ac:dyDescent="0.25">
      <c r="A913" t="s">
        <v>856</v>
      </c>
      <c r="B913" s="3">
        <v>45569</v>
      </c>
      <c r="C913">
        <v>2010</v>
      </c>
      <c r="D913" s="1">
        <v>0</v>
      </c>
      <c r="E913" s="1">
        <v>16868.7</v>
      </c>
      <c r="F913" t="s">
        <v>857</v>
      </c>
      <c r="G913" t="str">
        <f>_xlfn.XLOOKUP(C913,tblCOA[AccountNo],tblCOA[AccountName],"Unmapped")</f>
        <v>Accounts Payable</v>
      </c>
      <c r="H913" t="str">
        <f>_xlfn.XLOOKUP(C913,tblCOA[AccountNo],tblCOA[Category],"Unmapped")</f>
        <v>Liabilities</v>
      </c>
      <c r="I913" s="4">
        <f t="shared" si="42"/>
        <v>-16868.7</v>
      </c>
      <c r="J913">
        <f t="shared" si="43"/>
        <v>2024</v>
      </c>
      <c r="K913" s="5">
        <f t="shared" si="44"/>
        <v>45566</v>
      </c>
    </row>
    <row r="914" spans="1:11" x14ac:dyDescent="0.25">
      <c r="A914" t="s">
        <v>1466</v>
      </c>
      <c r="B914" s="3">
        <v>45569</v>
      </c>
      <c r="C914">
        <v>1200</v>
      </c>
      <c r="D914" s="1">
        <v>11404.94</v>
      </c>
      <c r="E914" s="1">
        <v>0</v>
      </c>
      <c r="F914" t="s">
        <v>1467</v>
      </c>
      <c r="G914" t="str">
        <f>_xlfn.XLOOKUP(C914,tblCOA[AccountNo],tblCOA[AccountName],"Unmapped")</f>
        <v>Accounts Receivable</v>
      </c>
      <c r="H914" t="str">
        <f>_xlfn.XLOOKUP(C914,tblCOA[AccountNo],tblCOA[Category],"Unmapped")</f>
        <v>Assets</v>
      </c>
      <c r="I914" s="4">
        <f t="shared" si="42"/>
        <v>11404.94</v>
      </c>
      <c r="J914">
        <f t="shared" si="43"/>
        <v>2024</v>
      </c>
      <c r="K914" s="5">
        <f t="shared" si="44"/>
        <v>45566</v>
      </c>
    </row>
    <row r="915" spans="1:11" x14ac:dyDescent="0.25">
      <c r="A915" t="s">
        <v>1468</v>
      </c>
      <c r="B915" s="3">
        <v>45569</v>
      </c>
      <c r="C915">
        <v>4010</v>
      </c>
      <c r="D915" s="1">
        <v>0</v>
      </c>
      <c r="E915" s="1">
        <v>11404.94</v>
      </c>
      <c r="F915" t="s">
        <v>1469</v>
      </c>
      <c r="G915" t="str">
        <f>_xlfn.XLOOKUP(C915,tblCOA[AccountNo],tblCOA[AccountName],"Unmapped")</f>
        <v>Product Sales</v>
      </c>
      <c r="H915" t="str">
        <f>_xlfn.XLOOKUP(C915,tblCOA[AccountNo],tblCOA[Category],"Unmapped")</f>
        <v>Revenue</v>
      </c>
      <c r="I915" s="4">
        <f t="shared" si="42"/>
        <v>-11404.94</v>
      </c>
      <c r="J915">
        <f t="shared" si="43"/>
        <v>2024</v>
      </c>
      <c r="K915" s="5">
        <f t="shared" si="44"/>
        <v>45566</v>
      </c>
    </row>
    <row r="916" spans="1:11" x14ac:dyDescent="0.25">
      <c r="A916" t="s">
        <v>2706</v>
      </c>
      <c r="B916" s="3">
        <v>45570</v>
      </c>
      <c r="C916">
        <v>1200</v>
      </c>
      <c r="D916" s="1">
        <v>19971.87</v>
      </c>
      <c r="E916" s="1">
        <v>0</v>
      </c>
      <c r="F916" t="s">
        <v>2707</v>
      </c>
      <c r="G916" t="str">
        <f>_xlfn.XLOOKUP(C916,tblCOA[AccountNo],tblCOA[AccountName],"Unmapped")</f>
        <v>Accounts Receivable</v>
      </c>
      <c r="H916" t="str">
        <f>_xlfn.XLOOKUP(C916,tblCOA[AccountNo],tblCOA[Category],"Unmapped")</f>
        <v>Assets</v>
      </c>
      <c r="I916" s="4">
        <f t="shared" si="42"/>
        <v>19971.87</v>
      </c>
      <c r="J916">
        <f t="shared" si="43"/>
        <v>2024</v>
      </c>
      <c r="K916" s="5">
        <f t="shared" si="44"/>
        <v>45566</v>
      </c>
    </row>
    <row r="917" spans="1:11" x14ac:dyDescent="0.25">
      <c r="A917" t="s">
        <v>2708</v>
      </c>
      <c r="B917" s="3">
        <v>45570</v>
      </c>
      <c r="C917">
        <v>4010</v>
      </c>
      <c r="D917" s="1">
        <v>0</v>
      </c>
      <c r="E917" s="1">
        <v>19971.87</v>
      </c>
      <c r="F917" t="s">
        <v>2709</v>
      </c>
      <c r="G917" t="str">
        <f>_xlfn.XLOOKUP(C917,tblCOA[AccountNo],tblCOA[AccountName],"Unmapped")</f>
        <v>Product Sales</v>
      </c>
      <c r="H917" t="str">
        <f>_xlfn.XLOOKUP(C917,tblCOA[AccountNo],tblCOA[Category],"Unmapped")</f>
        <v>Revenue</v>
      </c>
      <c r="I917" s="4">
        <f t="shared" si="42"/>
        <v>-19971.87</v>
      </c>
      <c r="J917">
        <f t="shared" si="43"/>
        <v>2024</v>
      </c>
      <c r="K917" s="5">
        <f t="shared" si="44"/>
        <v>45566</v>
      </c>
    </row>
    <row r="918" spans="1:11" x14ac:dyDescent="0.25">
      <c r="A918" t="s">
        <v>762</v>
      </c>
      <c r="B918" s="3">
        <v>45572</v>
      </c>
      <c r="C918">
        <v>1200</v>
      </c>
      <c r="D918" s="1">
        <v>16606.37</v>
      </c>
      <c r="E918" s="1">
        <v>0</v>
      </c>
      <c r="F918" t="s">
        <v>763</v>
      </c>
      <c r="G918" t="str">
        <f>_xlfn.XLOOKUP(C918,tblCOA[AccountNo],tblCOA[AccountName],"Unmapped")</f>
        <v>Accounts Receivable</v>
      </c>
      <c r="H918" t="str">
        <f>_xlfn.XLOOKUP(C918,tblCOA[AccountNo],tblCOA[Category],"Unmapped")</f>
        <v>Assets</v>
      </c>
      <c r="I918" s="4">
        <f t="shared" si="42"/>
        <v>16606.37</v>
      </c>
      <c r="J918">
        <f t="shared" si="43"/>
        <v>2024</v>
      </c>
      <c r="K918" s="5">
        <f t="shared" si="44"/>
        <v>45566</v>
      </c>
    </row>
    <row r="919" spans="1:11" x14ac:dyDescent="0.25">
      <c r="A919" t="s">
        <v>764</v>
      </c>
      <c r="B919" s="3">
        <v>45572</v>
      </c>
      <c r="C919">
        <v>4010</v>
      </c>
      <c r="D919" s="1">
        <v>0</v>
      </c>
      <c r="E919" s="1">
        <v>16606.37</v>
      </c>
      <c r="F919" t="s">
        <v>765</v>
      </c>
      <c r="G919" t="str">
        <f>_xlfn.XLOOKUP(C919,tblCOA[AccountNo],tblCOA[AccountName],"Unmapped")</f>
        <v>Product Sales</v>
      </c>
      <c r="H919" t="str">
        <f>_xlfn.XLOOKUP(C919,tblCOA[AccountNo],tblCOA[Category],"Unmapped")</f>
        <v>Revenue</v>
      </c>
      <c r="I919" s="4">
        <f t="shared" si="42"/>
        <v>-16606.37</v>
      </c>
      <c r="J919">
        <f t="shared" si="43"/>
        <v>2024</v>
      </c>
      <c r="K919" s="5">
        <f t="shared" si="44"/>
        <v>45566</v>
      </c>
    </row>
    <row r="920" spans="1:11" x14ac:dyDescent="0.25">
      <c r="A920" t="s">
        <v>3842</v>
      </c>
      <c r="B920" s="3">
        <v>45576</v>
      </c>
      <c r="C920">
        <v>1200</v>
      </c>
      <c r="D920" s="1">
        <v>16087.04</v>
      </c>
      <c r="E920" s="1">
        <v>0</v>
      </c>
      <c r="F920" t="s">
        <v>3843</v>
      </c>
      <c r="G920" t="str">
        <f>_xlfn.XLOOKUP(C920,tblCOA[AccountNo],tblCOA[AccountName],"Unmapped")</f>
        <v>Accounts Receivable</v>
      </c>
      <c r="H920" t="str">
        <f>_xlfn.XLOOKUP(C920,tblCOA[AccountNo],tblCOA[Category],"Unmapped")</f>
        <v>Assets</v>
      </c>
      <c r="I920" s="4">
        <f t="shared" si="42"/>
        <v>16087.04</v>
      </c>
      <c r="J920">
        <f t="shared" si="43"/>
        <v>2024</v>
      </c>
      <c r="K920" s="5">
        <f t="shared" si="44"/>
        <v>45566</v>
      </c>
    </row>
    <row r="921" spans="1:11" x14ac:dyDescent="0.25">
      <c r="A921" t="s">
        <v>3844</v>
      </c>
      <c r="B921" s="3">
        <v>45576</v>
      </c>
      <c r="C921">
        <v>4010</v>
      </c>
      <c r="D921" s="1">
        <v>0</v>
      </c>
      <c r="E921" s="1">
        <v>16087.04</v>
      </c>
      <c r="F921" t="s">
        <v>3845</v>
      </c>
      <c r="G921" t="str">
        <f>_xlfn.XLOOKUP(C921,tblCOA[AccountNo],tblCOA[AccountName],"Unmapped")</f>
        <v>Product Sales</v>
      </c>
      <c r="H921" t="str">
        <f>_xlfn.XLOOKUP(C921,tblCOA[AccountNo],tblCOA[Category],"Unmapped")</f>
        <v>Revenue</v>
      </c>
      <c r="I921" s="4">
        <f t="shared" si="42"/>
        <v>-16087.04</v>
      </c>
      <c r="J921">
        <f t="shared" si="43"/>
        <v>2024</v>
      </c>
      <c r="K921" s="5">
        <f t="shared" si="44"/>
        <v>45566</v>
      </c>
    </row>
    <row r="922" spans="1:11" x14ac:dyDescent="0.25">
      <c r="A922" t="s">
        <v>2846</v>
      </c>
      <c r="B922" s="3">
        <v>45578</v>
      </c>
      <c r="C922">
        <v>5010</v>
      </c>
      <c r="D922" s="1">
        <v>11458.45</v>
      </c>
      <c r="E922" s="1">
        <v>0</v>
      </c>
      <c r="F922" t="s">
        <v>2847</v>
      </c>
      <c r="G922" t="str">
        <f>_xlfn.XLOOKUP(C922,tblCOA[AccountNo],tblCOA[AccountName],"Unmapped")</f>
        <v>Cost of Goods Sold</v>
      </c>
      <c r="H922" t="str">
        <f>_xlfn.XLOOKUP(C922,tblCOA[AccountNo],tblCOA[Category],"Unmapped")</f>
        <v>Expenses</v>
      </c>
      <c r="I922" s="4">
        <f t="shared" si="42"/>
        <v>11458.45</v>
      </c>
      <c r="J922">
        <f t="shared" si="43"/>
        <v>2024</v>
      </c>
      <c r="K922" s="5">
        <f t="shared" si="44"/>
        <v>45566</v>
      </c>
    </row>
    <row r="923" spans="1:11" x14ac:dyDescent="0.25">
      <c r="A923" t="s">
        <v>2848</v>
      </c>
      <c r="B923" s="3">
        <v>45578</v>
      </c>
      <c r="C923">
        <v>2010</v>
      </c>
      <c r="D923" s="1">
        <v>0</v>
      </c>
      <c r="E923" s="1">
        <v>11458.45</v>
      </c>
      <c r="F923" t="s">
        <v>2849</v>
      </c>
      <c r="G923" t="str">
        <f>_xlfn.XLOOKUP(C923,tblCOA[AccountNo],tblCOA[AccountName],"Unmapped")</f>
        <v>Accounts Payable</v>
      </c>
      <c r="H923" t="str">
        <f>_xlfn.XLOOKUP(C923,tblCOA[AccountNo],tblCOA[Category],"Unmapped")</f>
        <v>Liabilities</v>
      </c>
      <c r="I923" s="4">
        <f t="shared" si="42"/>
        <v>-11458.45</v>
      </c>
      <c r="J923">
        <f t="shared" si="43"/>
        <v>2024</v>
      </c>
      <c r="K923" s="5">
        <f t="shared" si="44"/>
        <v>45566</v>
      </c>
    </row>
    <row r="924" spans="1:11" x14ac:dyDescent="0.25">
      <c r="A924" t="s">
        <v>3718</v>
      </c>
      <c r="B924" s="3">
        <v>45578</v>
      </c>
      <c r="C924">
        <v>5010</v>
      </c>
      <c r="D924" s="1">
        <v>11990.39</v>
      </c>
      <c r="E924" s="1">
        <v>0</v>
      </c>
      <c r="F924" t="s">
        <v>3719</v>
      </c>
      <c r="G924" t="str">
        <f>_xlfn.XLOOKUP(C924,tblCOA[AccountNo],tblCOA[AccountName],"Unmapped")</f>
        <v>Cost of Goods Sold</v>
      </c>
      <c r="H924" t="str">
        <f>_xlfn.XLOOKUP(C924,tblCOA[AccountNo],tblCOA[Category],"Unmapped")</f>
        <v>Expenses</v>
      </c>
      <c r="I924" s="4">
        <f t="shared" si="42"/>
        <v>11990.39</v>
      </c>
      <c r="J924">
        <f t="shared" si="43"/>
        <v>2024</v>
      </c>
      <c r="K924" s="5">
        <f t="shared" si="44"/>
        <v>45566</v>
      </c>
    </row>
    <row r="925" spans="1:11" x14ac:dyDescent="0.25">
      <c r="A925" t="s">
        <v>3720</v>
      </c>
      <c r="B925" s="3">
        <v>45578</v>
      </c>
      <c r="C925">
        <v>2010</v>
      </c>
      <c r="D925" s="1">
        <v>0</v>
      </c>
      <c r="E925" s="1">
        <v>11990.39</v>
      </c>
      <c r="F925" t="s">
        <v>3721</v>
      </c>
      <c r="G925" t="str">
        <f>_xlfn.XLOOKUP(C925,tblCOA[AccountNo],tblCOA[AccountName],"Unmapped")</f>
        <v>Accounts Payable</v>
      </c>
      <c r="H925" t="str">
        <f>_xlfn.XLOOKUP(C925,tblCOA[AccountNo],tblCOA[Category],"Unmapped")</f>
        <v>Liabilities</v>
      </c>
      <c r="I925" s="4">
        <f t="shared" si="42"/>
        <v>-11990.39</v>
      </c>
      <c r="J925">
        <f t="shared" si="43"/>
        <v>2024</v>
      </c>
      <c r="K925" s="5">
        <f t="shared" si="44"/>
        <v>45566</v>
      </c>
    </row>
    <row r="926" spans="1:11" x14ac:dyDescent="0.25">
      <c r="A926" t="s">
        <v>3690</v>
      </c>
      <c r="B926" s="3">
        <v>45580</v>
      </c>
      <c r="C926">
        <v>1200</v>
      </c>
      <c r="D926" s="1">
        <v>27101.200000000001</v>
      </c>
      <c r="E926" s="1">
        <v>0</v>
      </c>
      <c r="F926" t="s">
        <v>3691</v>
      </c>
      <c r="G926" t="str">
        <f>_xlfn.XLOOKUP(C926,tblCOA[AccountNo],tblCOA[AccountName],"Unmapped")</f>
        <v>Accounts Receivable</v>
      </c>
      <c r="H926" t="str">
        <f>_xlfn.XLOOKUP(C926,tblCOA[AccountNo],tblCOA[Category],"Unmapped")</f>
        <v>Assets</v>
      </c>
      <c r="I926" s="4">
        <f t="shared" si="42"/>
        <v>27101.200000000001</v>
      </c>
      <c r="J926">
        <f t="shared" si="43"/>
        <v>2024</v>
      </c>
      <c r="K926" s="5">
        <f t="shared" si="44"/>
        <v>45566</v>
      </c>
    </row>
    <row r="927" spans="1:11" x14ac:dyDescent="0.25">
      <c r="A927" t="s">
        <v>3692</v>
      </c>
      <c r="B927" s="3">
        <v>45580</v>
      </c>
      <c r="C927">
        <v>4010</v>
      </c>
      <c r="D927" s="1">
        <v>0</v>
      </c>
      <c r="E927" s="1">
        <v>27101.200000000001</v>
      </c>
      <c r="F927" t="s">
        <v>3693</v>
      </c>
      <c r="G927" t="str">
        <f>_xlfn.XLOOKUP(C927,tblCOA[AccountNo],tblCOA[AccountName],"Unmapped")</f>
        <v>Product Sales</v>
      </c>
      <c r="H927" t="str">
        <f>_xlfn.XLOOKUP(C927,tblCOA[AccountNo],tblCOA[Category],"Unmapped")</f>
        <v>Revenue</v>
      </c>
      <c r="I927" s="4">
        <f t="shared" si="42"/>
        <v>-27101.200000000001</v>
      </c>
      <c r="J927">
        <f t="shared" si="43"/>
        <v>2024</v>
      </c>
      <c r="K927" s="5">
        <f t="shared" si="44"/>
        <v>45566</v>
      </c>
    </row>
    <row r="928" spans="1:11" x14ac:dyDescent="0.25">
      <c r="A928" t="s">
        <v>1110</v>
      </c>
      <c r="B928" s="3">
        <v>45580</v>
      </c>
      <c r="C928">
        <v>5010</v>
      </c>
      <c r="D928" s="1">
        <v>1528.14</v>
      </c>
      <c r="E928" s="1">
        <v>0</v>
      </c>
      <c r="F928" t="s">
        <v>1111</v>
      </c>
      <c r="G928" t="str">
        <f>_xlfn.XLOOKUP(C928,tblCOA[AccountNo],tblCOA[AccountName],"Unmapped")</f>
        <v>Cost of Goods Sold</v>
      </c>
      <c r="H928" t="str">
        <f>_xlfn.XLOOKUP(C928,tblCOA[AccountNo],tblCOA[Category],"Unmapped")</f>
        <v>Expenses</v>
      </c>
      <c r="I928" s="4">
        <f t="shared" si="42"/>
        <v>1528.14</v>
      </c>
      <c r="J928">
        <f t="shared" si="43"/>
        <v>2024</v>
      </c>
      <c r="K928" s="5">
        <f t="shared" si="44"/>
        <v>45566</v>
      </c>
    </row>
    <row r="929" spans="1:11" x14ac:dyDescent="0.25">
      <c r="A929" t="s">
        <v>1112</v>
      </c>
      <c r="B929" s="3">
        <v>45580</v>
      </c>
      <c r="C929">
        <v>2010</v>
      </c>
      <c r="D929" s="1">
        <v>0</v>
      </c>
      <c r="E929" s="1">
        <v>1528.14</v>
      </c>
      <c r="F929" t="s">
        <v>1113</v>
      </c>
      <c r="G929" t="str">
        <f>_xlfn.XLOOKUP(C929,tblCOA[AccountNo],tblCOA[AccountName],"Unmapped")</f>
        <v>Accounts Payable</v>
      </c>
      <c r="H929" t="str">
        <f>_xlfn.XLOOKUP(C929,tblCOA[AccountNo],tblCOA[Category],"Unmapped")</f>
        <v>Liabilities</v>
      </c>
      <c r="I929" s="4">
        <f t="shared" si="42"/>
        <v>-1528.14</v>
      </c>
      <c r="J929">
        <f t="shared" si="43"/>
        <v>2024</v>
      </c>
      <c r="K929" s="5">
        <f t="shared" si="44"/>
        <v>45566</v>
      </c>
    </row>
    <row r="930" spans="1:11" x14ac:dyDescent="0.25">
      <c r="A930" t="s">
        <v>938</v>
      </c>
      <c r="B930" s="3">
        <v>45581</v>
      </c>
      <c r="C930">
        <v>1200</v>
      </c>
      <c r="D930" s="1">
        <v>29025.13</v>
      </c>
      <c r="E930" s="1">
        <v>0</v>
      </c>
      <c r="F930" t="s">
        <v>939</v>
      </c>
      <c r="G930" t="str">
        <f>_xlfn.XLOOKUP(C930,tblCOA[AccountNo],tblCOA[AccountName],"Unmapped")</f>
        <v>Accounts Receivable</v>
      </c>
      <c r="H930" t="str">
        <f>_xlfn.XLOOKUP(C930,tblCOA[AccountNo],tblCOA[Category],"Unmapped")</f>
        <v>Assets</v>
      </c>
      <c r="I930" s="4">
        <f t="shared" si="42"/>
        <v>29025.13</v>
      </c>
      <c r="J930">
        <f t="shared" si="43"/>
        <v>2024</v>
      </c>
      <c r="K930" s="5">
        <f t="shared" si="44"/>
        <v>45566</v>
      </c>
    </row>
    <row r="931" spans="1:11" x14ac:dyDescent="0.25">
      <c r="A931" t="s">
        <v>940</v>
      </c>
      <c r="B931" s="3">
        <v>45581</v>
      </c>
      <c r="C931">
        <v>4010</v>
      </c>
      <c r="D931" s="1">
        <v>0</v>
      </c>
      <c r="E931" s="1">
        <v>29025.13</v>
      </c>
      <c r="F931" t="s">
        <v>941</v>
      </c>
      <c r="G931" t="str">
        <f>_xlfn.XLOOKUP(C931,tblCOA[AccountNo],tblCOA[AccountName],"Unmapped")</f>
        <v>Product Sales</v>
      </c>
      <c r="H931" t="str">
        <f>_xlfn.XLOOKUP(C931,tblCOA[AccountNo],tblCOA[Category],"Unmapped")</f>
        <v>Revenue</v>
      </c>
      <c r="I931" s="4">
        <f t="shared" si="42"/>
        <v>-29025.13</v>
      </c>
      <c r="J931">
        <f t="shared" si="43"/>
        <v>2024</v>
      </c>
      <c r="K931" s="5">
        <f t="shared" si="44"/>
        <v>45566</v>
      </c>
    </row>
    <row r="932" spans="1:11" x14ac:dyDescent="0.25">
      <c r="A932" t="s">
        <v>3530</v>
      </c>
      <c r="B932" s="3">
        <v>45583</v>
      </c>
      <c r="C932">
        <v>1200</v>
      </c>
      <c r="D932" s="1">
        <v>32646.84</v>
      </c>
      <c r="E932" s="1">
        <v>0</v>
      </c>
      <c r="F932" t="s">
        <v>3531</v>
      </c>
      <c r="G932" t="str">
        <f>_xlfn.XLOOKUP(C932,tblCOA[AccountNo],tblCOA[AccountName],"Unmapped")</f>
        <v>Accounts Receivable</v>
      </c>
      <c r="H932" t="str">
        <f>_xlfn.XLOOKUP(C932,tblCOA[AccountNo],tblCOA[Category],"Unmapped")</f>
        <v>Assets</v>
      </c>
      <c r="I932" s="4">
        <f t="shared" si="42"/>
        <v>32646.84</v>
      </c>
      <c r="J932">
        <f t="shared" si="43"/>
        <v>2024</v>
      </c>
      <c r="K932" s="5">
        <f t="shared" si="44"/>
        <v>45566</v>
      </c>
    </row>
    <row r="933" spans="1:11" x14ac:dyDescent="0.25">
      <c r="A933" t="s">
        <v>3532</v>
      </c>
      <c r="B933" s="3">
        <v>45583</v>
      </c>
      <c r="C933">
        <v>4010</v>
      </c>
      <c r="D933" s="1">
        <v>0</v>
      </c>
      <c r="E933" s="1">
        <v>32646.84</v>
      </c>
      <c r="F933" t="s">
        <v>3533</v>
      </c>
      <c r="G933" t="str">
        <f>_xlfn.XLOOKUP(C933,tblCOA[AccountNo],tblCOA[AccountName],"Unmapped")</f>
        <v>Product Sales</v>
      </c>
      <c r="H933" t="str">
        <f>_xlfn.XLOOKUP(C933,tblCOA[AccountNo],tblCOA[Category],"Unmapped")</f>
        <v>Revenue</v>
      </c>
      <c r="I933" s="4">
        <f t="shared" si="42"/>
        <v>-32646.84</v>
      </c>
      <c r="J933">
        <f t="shared" si="43"/>
        <v>2024</v>
      </c>
      <c r="K933" s="5">
        <f t="shared" si="44"/>
        <v>45566</v>
      </c>
    </row>
    <row r="934" spans="1:11" x14ac:dyDescent="0.25">
      <c r="A934" t="s">
        <v>398</v>
      </c>
      <c r="B934" s="3">
        <v>45583</v>
      </c>
      <c r="C934">
        <v>5010</v>
      </c>
      <c r="D934" s="1">
        <v>18692.77</v>
      </c>
      <c r="E934" s="1">
        <v>0</v>
      </c>
      <c r="F934" t="s">
        <v>399</v>
      </c>
      <c r="G934" t="str">
        <f>_xlfn.XLOOKUP(C934,tblCOA[AccountNo],tblCOA[AccountName],"Unmapped")</f>
        <v>Cost of Goods Sold</v>
      </c>
      <c r="H934" t="str">
        <f>_xlfn.XLOOKUP(C934,tblCOA[AccountNo],tblCOA[Category],"Unmapped")</f>
        <v>Expenses</v>
      </c>
      <c r="I934" s="4">
        <f t="shared" si="42"/>
        <v>18692.77</v>
      </c>
      <c r="J934">
        <f t="shared" si="43"/>
        <v>2024</v>
      </c>
      <c r="K934" s="5">
        <f t="shared" si="44"/>
        <v>45566</v>
      </c>
    </row>
    <row r="935" spans="1:11" x14ac:dyDescent="0.25">
      <c r="A935" t="s">
        <v>400</v>
      </c>
      <c r="B935" s="3">
        <v>45583</v>
      </c>
      <c r="C935">
        <v>2010</v>
      </c>
      <c r="D935" s="1">
        <v>0</v>
      </c>
      <c r="E935" s="1">
        <v>18692.77</v>
      </c>
      <c r="F935" t="s">
        <v>401</v>
      </c>
      <c r="G935" t="str">
        <f>_xlfn.XLOOKUP(C935,tblCOA[AccountNo],tblCOA[AccountName],"Unmapped")</f>
        <v>Accounts Payable</v>
      </c>
      <c r="H935" t="str">
        <f>_xlfn.XLOOKUP(C935,tblCOA[AccountNo],tblCOA[Category],"Unmapped")</f>
        <v>Liabilities</v>
      </c>
      <c r="I935" s="4">
        <f t="shared" si="42"/>
        <v>-18692.77</v>
      </c>
      <c r="J935">
        <f t="shared" si="43"/>
        <v>2024</v>
      </c>
      <c r="K935" s="5">
        <f t="shared" si="44"/>
        <v>45566</v>
      </c>
    </row>
    <row r="936" spans="1:11" x14ac:dyDescent="0.25">
      <c r="A936" t="s">
        <v>2134</v>
      </c>
      <c r="B936" s="3">
        <v>45584</v>
      </c>
      <c r="C936">
        <v>5010</v>
      </c>
      <c r="D936" s="1">
        <v>15361.79</v>
      </c>
      <c r="E936" s="1">
        <v>0</v>
      </c>
      <c r="F936" t="s">
        <v>2135</v>
      </c>
      <c r="G936" t="str">
        <f>_xlfn.XLOOKUP(C936,tblCOA[AccountNo],tblCOA[AccountName],"Unmapped")</f>
        <v>Cost of Goods Sold</v>
      </c>
      <c r="H936" t="str">
        <f>_xlfn.XLOOKUP(C936,tblCOA[AccountNo],tblCOA[Category],"Unmapped")</f>
        <v>Expenses</v>
      </c>
      <c r="I936" s="4">
        <f t="shared" si="42"/>
        <v>15361.79</v>
      </c>
      <c r="J936">
        <f t="shared" si="43"/>
        <v>2024</v>
      </c>
      <c r="K936" s="5">
        <f t="shared" si="44"/>
        <v>45566</v>
      </c>
    </row>
    <row r="937" spans="1:11" x14ac:dyDescent="0.25">
      <c r="A937" t="s">
        <v>2136</v>
      </c>
      <c r="B937" s="3">
        <v>45584</v>
      </c>
      <c r="C937">
        <v>2010</v>
      </c>
      <c r="D937" s="1">
        <v>0</v>
      </c>
      <c r="E937" s="1">
        <v>15361.79</v>
      </c>
      <c r="F937" t="s">
        <v>2137</v>
      </c>
      <c r="G937" t="str">
        <f>_xlfn.XLOOKUP(C937,tblCOA[AccountNo],tblCOA[AccountName],"Unmapped")</f>
        <v>Accounts Payable</v>
      </c>
      <c r="H937" t="str">
        <f>_xlfn.XLOOKUP(C937,tblCOA[AccountNo],tblCOA[Category],"Unmapped")</f>
        <v>Liabilities</v>
      </c>
      <c r="I937" s="4">
        <f t="shared" si="42"/>
        <v>-15361.79</v>
      </c>
      <c r="J937">
        <f t="shared" si="43"/>
        <v>2024</v>
      </c>
      <c r="K937" s="5">
        <f t="shared" si="44"/>
        <v>45566</v>
      </c>
    </row>
    <row r="938" spans="1:11" x14ac:dyDescent="0.25">
      <c r="A938" t="s">
        <v>326</v>
      </c>
      <c r="B938" s="3">
        <v>45584</v>
      </c>
      <c r="C938">
        <v>5010</v>
      </c>
      <c r="D938" s="1">
        <v>8314.34</v>
      </c>
      <c r="E938" s="1">
        <v>0</v>
      </c>
      <c r="F938" t="s">
        <v>327</v>
      </c>
      <c r="G938" t="str">
        <f>_xlfn.XLOOKUP(C938,tblCOA[AccountNo],tblCOA[AccountName],"Unmapped")</f>
        <v>Cost of Goods Sold</v>
      </c>
      <c r="H938" t="str">
        <f>_xlfn.XLOOKUP(C938,tblCOA[AccountNo],tblCOA[Category],"Unmapped")</f>
        <v>Expenses</v>
      </c>
      <c r="I938" s="4">
        <f t="shared" si="42"/>
        <v>8314.34</v>
      </c>
      <c r="J938">
        <f t="shared" si="43"/>
        <v>2024</v>
      </c>
      <c r="K938" s="5">
        <f t="shared" si="44"/>
        <v>45566</v>
      </c>
    </row>
    <row r="939" spans="1:11" x14ac:dyDescent="0.25">
      <c r="A939" t="s">
        <v>328</v>
      </c>
      <c r="B939" s="3">
        <v>45584</v>
      </c>
      <c r="C939">
        <v>2010</v>
      </c>
      <c r="D939" s="1">
        <v>0</v>
      </c>
      <c r="E939" s="1">
        <v>8314.34</v>
      </c>
      <c r="F939" t="s">
        <v>329</v>
      </c>
      <c r="G939" t="str">
        <f>_xlfn.XLOOKUP(C939,tblCOA[AccountNo],tblCOA[AccountName],"Unmapped")</f>
        <v>Accounts Payable</v>
      </c>
      <c r="H939" t="str">
        <f>_xlfn.XLOOKUP(C939,tblCOA[AccountNo],tblCOA[Category],"Unmapped")</f>
        <v>Liabilities</v>
      </c>
      <c r="I939" s="4">
        <f t="shared" si="42"/>
        <v>-8314.34</v>
      </c>
      <c r="J939">
        <f t="shared" si="43"/>
        <v>2024</v>
      </c>
      <c r="K939" s="5">
        <f t="shared" si="44"/>
        <v>45566</v>
      </c>
    </row>
    <row r="940" spans="1:11" x14ac:dyDescent="0.25">
      <c r="A940" t="s">
        <v>62</v>
      </c>
      <c r="B940" s="3">
        <v>45584</v>
      </c>
      <c r="C940">
        <v>5010</v>
      </c>
      <c r="D940" s="1">
        <v>13576.89</v>
      </c>
      <c r="E940" s="1">
        <v>0</v>
      </c>
      <c r="F940" t="s">
        <v>63</v>
      </c>
      <c r="G940" t="str">
        <f>_xlfn.XLOOKUP(C940,tblCOA[AccountNo],tblCOA[AccountName],"Unmapped")</f>
        <v>Cost of Goods Sold</v>
      </c>
      <c r="H940" t="str">
        <f>_xlfn.XLOOKUP(C940,tblCOA[AccountNo],tblCOA[Category],"Unmapped")</f>
        <v>Expenses</v>
      </c>
      <c r="I940" s="4">
        <f t="shared" si="42"/>
        <v>13576.89</v>
      </c>
      <c r="J940">
        <f t="shared" si="43"/>
        <v>2024</v>
      </c>
      <c r="K940" s="5">
        <f t="shared" si="44"/>
        <v>45566</v>
      </c>
    </row>
    <row r="941" spans="1:11" x14ac:dyDescent="0.25">
      <c r="A941" t="s">
        <v>64</v>
      </c>
      <c r="B941" s="3">
        <v>45584</v>
      </c>
      <c r="C941">
        <v>2010</v>
      </c>
      <c r="D941" s="1">
        <v>0</v>
      </c>
      <c r="E941" s="1">
        <v>13576.89</v>
      </c>
      <c r="F941" t="s">
        <v>65</v>
      </c>
      <c r="G941" t="str">
        <f>_xlfn.XLOOKUP(C941,tblCOA[AccountNo],tblCOA[AccountName],"Unmapped")</f>
        <v>Accounts Payable</v>
      </c>
      <c r="H941" t="str">
        <f>_xlfn.XLOOKUP(C941,tblCOA[AccountNo],tblCOA[Category],"Unmapped")</f>
        <v>Liabilities</v>
      </c>
      <c r="I941" s="4">
        <f t="shared" si="42"/>
        <v>-13576.89</v>
      </c>
      <c r="J941">
        <f t="shared" si="43"/>
        <v>2024</v>
      </c>
      <c r="K941" s="5">
        <f t="shared" si="44"/>
        <v>45566</v>
      </c>
    </row>
    <row r="942" spans="1:11" x14ac:dyDescent="0.25">
      <c r="A942" t="s">
        <v>758</v>
      </c>
      <c r="B942" s="3">
        <v>45584</v>
      </c>
      <c r="C942">
        <v>5010</v>
      </c>
      <c r="D942" s="1">
        <v>1322.84</v>
      </c>
      <c r="E942" s="1">
        <v>0</v>
      </c>
      <c r="F942" t="s">
        <v>759</v>
      </c>
      <c r="G942" t="str">
        <f>_xlfn.XLOOKUP(C942,tblCOA[AccountNo],tblCOA[AccountName],"Unmapped")</f>
        <v>Cost of Goods Sold</v>
      </c>
      <c r="H942" t="str">
        <f>_xlfn.XLOOKUP(C942,tblCOA[AccountNo],tblCOA[Category],"Unmapped")</f>
        <v>Expenses</v>
      </c>
      <c r="I942" s="4">
        <f t="shared" si="42"/>
        <v>1322.84</v>
      </c>
      <c r="J942">
        <f t="shared" si="43"/>
        <v>2024</v>
      </c>
      <c r="K942" s="5">
        <f t="shared" si="44"/>
        <v>45566</v>
      </c>
    </row>
    <row r="943" spans="1:11" x14ac:dyDescent="0.25">
      <c r="A943" t="s">
        <v>760</v>
      </c>
      <c r="B943" s="3">
        <v>45584</v>
      </c>
      <c r="C943">
        <v>2010</v>
      </c>
      <c r="D943" s="1">
        <v>0</v>
      </c>
      <c r="E943" s="1">
        <v>1322.84</v>
      </c>
      <c r="F943" t="s">
        <v>761</v>
      </c>
      <c r="G943" t="str">
        <f>_xlfn.XLOOKUP(C943,tblCOA[AccountNo],tblCOA[AccountName],"Unmapped")</f>
        <v>Accounts Payable</v>
      </c>
      <c r="H943" t="str">
        <f>_xlfn.XLOOKUP(C943,tblCOA[AccountNo],tblCOA[Category],"Unmapped")</f>
        <v>Liabilities</v>
      </c>
      <c r="I943" s="4">
        <f t="shared" si="42"/>
        <v>-1322.84</v>
      </c>
      <c r="J943">
        <f t="shared" si="43"/>
        <v>2024</v>
      </c>
      <c r="K943" s="5">
        <f t="shared" si="44"/>
        <v>45566</v>
      </c>
    </row>
    <row r="944" spans="1:11" x14ac:dyDescent="0.25">
      <c r="A944" t="s">
        <v>2842</v>
      </c>
      <c r="B944" s="3">
        <v>45587</v>
      </c>
      <c r="C944">
        <v>1200</v>
      </c>
      <c r="D944" s="1">
        <v>13926.88</v>
      </c>
      <c r="E944" s="1">
        <v>0</v>
      </c>
      <c r="F944" t="s">
        <v>2843</v>
      </c>
      <c r="G944" t="str">
        <f>_xlfn.XLOOKUP(C944,tblCOA[AccountNo],tblCOA[AccountName],"Unmapped")</f>
        <v>Accounts Receivable</v>
      </c>
      <c r="H944" t="str">
        <f>_xlfn.XLOOKUP(C944,tblCOA[AccountNo],tblCOA[Category],"Unmapped")</f>
        <v>Assets</v>
      </c>
      <c r="I944" s="4">
        <f t="shared" si="42"/>
        <v>13926.88</v>
      </c>
      <c r="J944">
        <f t="shared" si="43"/>
        <v>2024</v>
      </c>
      <c r="K944" s="5">
        <f t="shared" si="44"/>
        <v>45566</v>
      </c>
    </row>
    <row r="945" spans="1:11" x14ac:dyDescent="0.25">
      <c r="A945" t="s">
        <v>2844</v>
      </c>
      <c r="B945" s="3">
        <v>45587</v>
      </c>
      <c r="C945">
        <v>4010</v>
      </c>
      <c r="D945" s="1">
        <v>0</v>
      </c>
      <c r="E945" s="1">
        <v>13926.88</v>
      </c>
      <c r="F945" t="s">
        <v>2845</v>
      </c>
      <c r="G945" t="str">
        <f>_xlfn.XLOOKUP(C945,tblCOA[AccountNo],tblCOA[AccountName],"Unmapped")</f>
        <v>Product Sales</v>
      </c>
      <c r="H945" t="str">
        <f>_xlfn.XLOOKUP(C945,tblCOA[AccountNo],tblCOA[Category],"Unmapped")</f>
        <v>Revenue</v>
      </c>
      <c r="I945" s="4">
        <f t="shared" si="42"/>
        <v>-13926.88</v>
      </c>
      <c r="J945">
        <f t="shared" si="43"/>
        <v>2024</v>
      </c>
      <c r="K945" s="5">
        <f t="shared" si="44"/>
        <v>45566</v>
      </c>
    </row>
    <row r="946" spans="1:11" x14ac:dyDescent="0.25">
      <c r="A946" t="s">
        <v>3142</v>
      </c>
      <c r="B946" s="3">
        <v>45587</v>
      </c>
      <c r="C946">
        <v>5010</v>
      </c>
      <c r="D946" s="1">
        <v>1026.51</v>
      </c>
      <c r="E946" s="1">
        <v>0</v>
      </c>
      <c r="F946" t="s">
        <v>3143</v>
      </c>
      <c r="G946" t="str">
        <f>_xlfn.XLOOKUP(C946,tblCOA[AccountNo],tblCOA[AccountName],"Unmapped")</f>
        <v>Cost of Goods Sold</v>
      </c>
      <c r="H946" t="str">
        <f>_xlfn.XLOOKUP(C946,tblCOA[AccountNo],tblCOA[Category],"Unmapped")</f>
        <v>Expenses</v>
      </c>
      <c r="I946" s="4">
        <f t="shared" si="42"/>
        <v>1026.51</v>
      </c>
      <c r="J946">
        <f t="shared" si="43"/>
        <v>2024</v>
      </c>
      <c r="K946" s="5">
        <f t="shared" si="44"/>
        <v>45566</v>
      </c>
    </row>
    <row r="947" spans="1:11" x14ac:dyDescent="0.25">
      <c r="A947" t="s">
        <v>3144</v>
      </c>
      <c r="B947" s="3">
        <v>45587</v>
      </c>
      <c r="C947">
        <v>2010</v>
      </c>
      <c r="D947" s="1">
        <v>0</v>
      </c>
      <c r="E947" s="1">
        <v>1026.51</v>
      </c>
      <c r="F947" t="s">
        <v>3145</v>
      </c>
      <c r="G947" t="str">
        <f>_xlfn.XLOOKUP(C947,tblCOA[AccountNo],tblCOA[AccountName],"Unmapped")</f>
        <v>Accounts Payable</v>
      </c>
      <c r="H947" t="str">
        <f>_xlfn.XLOOKUP(C947,tblCOA[AccountNo],tblCOA[Category],"Unmapped")</f>
        <v>Liabilities</v>
      </c>
      <c r="I947" s="4">
        <f t="shared" si="42"/>
        <v>-1026.51</v>
      </c>
      <c r="J947">
        <f t="shared" si="43"/>
        <v>2024</v>
      </c>
      <c r="K947" s="5">
        <f t="shared" si="44"/>
        <v>45566</v>
      </c>
    </row>
    <row r="948" spans="1:11" x14ac:dyDescent="0.25">
      <c r="A948" t="s">
        <v>3894</v>
      </c>
      <c r="B948" s="3">
        <v>45588</v>
      </c>
      <c r="C948">
        <v>5010</v>
      </c>
      <c r="D948" s="1">
        <v>8489.93</v>
      </c>
      <c r="E948" s="1">
        <v>0</v>
      </c>
      <c r="F948" t="s">
        <v>3895</v>
      </c>
      <c r="G948" t="str">
        <f>_xlfn.XLOOKUP(C948,tblCOA[AccountNo],tblCOA[AccountName],"Unmapped")</f>
        <v>Cost of Goods Sold</v>
      </c>
      <c r="H948" t="str">
        <f>_xlfn.XLOOKUP(C948,tblCOA[AccountNo],tblCOA[Category],"Unmapped")</f>
        <v>Expenses</v>
      </c>
      <c r="I948" s="4">
        <f t="shared" si="42"/>
        <v>8489.93</v>
      </c>
      <c r="J948">
        <f t="shared" si="43"/>
        <v>2024</v>
      </c>
      <c r="K948" s="5">
        <f t="shared" si="44"/>
        <v>45566</v>
      </c>
    </row>
    <row r="949" spans="1:11" x14ac:dyDescent="0.25">
      <c r="A949" t="s">
        <v>3896</v>
      </c>
      <c r="B949" s="3">
        <v>45588</v>
      </c>
      <c r="C949">
        <v>2010</v>
      </c>
      <c r="D949" s="1">
        <v>0</v>
      </c>
      <c r="E949" s="1">
        <v>8489.93</v>
      </c>
      <c r="F949" t="s">
        <v>3897</v>
      </c>
      <c r="G949" t="str">
        <f>_xlfn.XLOOKUP(C949,tblCOA[AccountNo],tblCOA[AccountName],"Unmapped")</f>
        <v>Accounts Payable</v>
      </c>
      <c r="H949" t="str">
        <f>_xlfn.XLOOKUP(C949,tblCOA[AccountNo],tblCOA[Category],"Unmapped")</f>
        <v>Liabilities</v>
      </c>
      <c r="I949" s="4">
        <f t="shared" si="42"/>
        <v>-8489.93</v>
      </c>
      <c r="J949">
        <f t="shared" si="43"/>
        <v>2024</v>
      </c>
      <c r="K949" s="5">
        <f t="shared" si="44"/>
        <v>45566</v>
      </c>
    </row>
    <row r="950" spans="1:11" x14ac:dyDescent="0.25">
      <c r="A950" t="s">
        <v>826</v>
      </c>
      <c r="B950" s="3">
        <v>45588</v>
      </c>
      <c r="C950">
        <v>1200</v>
      </c>
      <c r="D950" s="1">
        <v>28598.18</v>
      </c>
      <c r="E950" s="1">
        <v>0</v>
      </c>
      <c r="F950" t="s">
        <v>827</v>
      </c>
      <c r="G950" t="str">
        <f>_xlfn.XLOOKUP(C950,tblCOA[AccountNo],tblCOA[AccountName],"Unmapped")</f>
        <v>Accounts Receivable</v>
      </c>
      <c r="H950" t="str">
        <f>_xlfn.XLOOKUP(C950,tblCOA[AccountNo],tblCOA[Category],"Unmapped")</f>
        <v>Assets</v>
      </c>
      <c r="I950" s="4">
        <f t="shared" si="42"/>
        <v>28598.18</v>
      </c>
      <c r="J950">
        <f t="shared" si="43"/>
        <v>2024</v>
      </c>
      <c r="K950" s="5">
        <f t="shared" si="44"/>
        <v>45566</v>
      </c>
    </row>
    <row r="951" spans="1:11" x14ac:dyDescent="0.25">
      <c r="A951" t="s">
        <v>828</v>
      </c>
      <c r="B951" s="3">
        <v>45588</v>
      </c>
      <c r="C951">
        <v>4010</v>
      </c>
      <c r="D951" s="1">
        <v>0</v>
      </c>
      <c r="E951" s="1">
        <v>28598.18</v>
      </c>
      <c r="F951" t="s">
        <v>829</v>
      </c>
      <c r="G951" t="str">
        <f>_xlfn.XLOOKUP(C951,tblCOA[AccountNo],tblCOA[AccountName],"Unmapped")</f>
        <v>Product Sales</v>
      </c>
      <c r="H951" t="str">
        <f>_xlfn.XLOOKUP(C951,tblCOA[AccountNo],tblCOA[Category],"Unmapped")</f>
        <v>Revenue</v>
      </c>
      <c r="I951" s="4">
        <f t="shared" si="42"/>
        <v>-28598.18</v>
      </c>
      <c r="J951">
        <f t="shared" si="43"/>
        <v>2024</v>
      </c>
      <c r="K951" s="5">
        <f t="shared" si="44"/>
        <v>45566</v>
      </c>
    </row>
    <row r="952" spans="1:11" x14ac:dyDescent="0.25">
      <c r="A952" t="s">
        <v>1502</v>
      </c>
      <c r="B952" s="3">
        <v>45588</v>
      </c>
      <c r="C952">
        <v>5010</v>
      </c>
      <c r="D952" s="1">
        <v>19646.990000000002</v>
      </c>
      <c r="E952" s="1">
        <v>0</v>
      </c>
      <c r="F952" t="s">
        <v>1503</v>
      </c>
      <c r="G952" t="str">
        <f>_xlfn.XLOOKUP(C952,tblCOA[AccountNo],tblCOA[AccountName],"Unmapped")</f>
        <v>Cost of Goods Sold</v>
      </c>
      <c r="H952" t="str">
        <f>_xlfn.XLOOKUP(C952,tblCOA[AccountNo],tblCOA[Category],"Unmapped")</f>
        <v>Expenses</v>
      </c>
      <c r="I952" s="4">
        <f t="shared" si="42"/>
        <v>19646.990000000002</v>
      </c>
      <c r="J952">
        <f t="shared" si="43"/>
        <v>2024</v>
      </c>
      <c r="K952" s="5">
        <f t="shared" si="44"/>
        <v>45566</v>
      </c>
    </row>
    <row r="953" spans="1:11" x14ac:dyDescent="0.25">
      <c r="A953" t="s">
        <v>1504</v>
      </c>
      <c r="B953" s="3">
        <v>45588</v>
      </c>
      <c r="C953">
        <v>2010</v>
      </c>
      <c r="D953" s="1">
        <v>0</v>
      </c>
      <c r="E953" s="1">
        <v>19646.990000000002</v>
      </c>
      <c r="F953" t="s">
        <v>1505</v>
      </c>
      <c r="G953" t="str">
        <f>_xlfn.XLOOKUP(C953,tblCOA[AccountNo],tblCOA[AccountName],"Unmapped")</f>
        <v>Accounts Payable</v>
      </c>
      <c r="H953" t="str">
        <f>_xlfn.XLOOKUP(C953,tblCOA[AccountNo],tblCOA[Category],"Unmapped")</f>
        <v>Liabilities</v>
      </c>
      <c r="I953" s="4">
        <f t="shared" si="42"/>
        <v>-19646.990000000002</v>
      </c>
      <c r="J953">
        <f t="shared" si="43"/>
        <v>2024</v>
      </c>
      <c r="K953" s="5">
        <f t="shared" si="44"/>
        <v>45566</v>
      </c>
    </row>
    <row r="954" spans="1:11" x14ac:dyDescent="0.25">
      <c r="A954" t="s">
        <v>3050</v>
      </c>
      <c r="B954" s="3">
        <v>45589</v>
      </c>
      <c r="C954">
        <v>1200</v>
      </c>
      <c r="D954" s="1">
        <v>39916.22</v>
      </c>
      <c r="E954" s="1">
        <v>0</v>
      </c>
      <c r="F954" t="s">
        <v>3051</v>
      </c>
      <c r="G954" t="str">
        <f>_xlfn.XLOOKUP(C954,tblCOA[AccountNo],tblCOA[AccountName],"Unmapped")</f>
        <v>Accounts Receivable</v>
      </c>
      <c r="H954" t="str">
        <f>_xlfn.XLOOKUP(C954,tblCOA[AccountNo],tblCOA[Category],"Unmapped")</f>
        <v>Assets</v>
      </c>
      <c r="I954" s="4">
        <f t="shared" si="42"/>
        <v>39916.22</v>
      </c>
      <c r="J954">
        <f t="shared" si="43"/>
        <v>2024</v>
      </c>
      <c r="K954" s="5">
        <f t="shared" si="44"/>
        <v>45566</v>
      </c>
    </row>
    <row r="955" spans="1:11" x14ac:dyDescent="0.25">
      <c r="A955" t="s">
        <v>3052</v>
      </c>
      <c r="B955" s="3">
        <v>45589</v>
      </c>
      <c r="C955">
        <v>4010</v>
      </c>
      <c r="D955" s="1">
        <v>0</v>
      </c>
      <c r="E955" s="1">
        <v>39916.22</v>
      </c>
      <c r="F955" t="s">
        <v>3053</v>
      </c>
      <c r="G955" t="str">
        <f>_xlfn.XLOOKUP(C955,tblCOA[AccountNo],tblCOA[AccountName],"Unmapped")</f>
        <v>Product Sales</v>
      </c>
      <c r="H955" t="str">
        <f>_xlfn.XLOOKUP(C955,tblCOA[AccountNo],tblCOA[Category],"Unmapped")</f>
        <v>Revenue</v>
      </c>
      <c r="I955" s="4">
        <f t="shared" si="42"/>
        <v>-39916.22</v>
      </c>
      <c r="J955">
        <f t="shared" si="43"/>
        <v>2024</v>
      </c>
      <c r="K955" s="5">
        <f t="shared" si="44"/>
        <v>45566</v>
      </c>
    </row>
    <row r="956" spans="1:11" x14ac:dyDescent="0.25">
      <c r="A956" t="s">
        <v>1486</v>
      </c>
      <c r="B956" s="3">
        <v>45592</v>
      </c>
      <c r="C956">
        <v>5010</v>
      </c>
      <c r="D956" s="1">
        <v>14975.72</v>
      </c>
      <c r="E956" s="1">
        <v>0</v>
      </c>
      <c r="F956" t="s">
        <v>1487</v>
      </c>
      <c r="G956" t="str">
        <f>_xlfn.XLOOKUP(C956,tblCOA[AccountNo],tblCOA[AccountName],"Unmapped")</f>
        <v>Cost of Goods Sold</v>
      </c>
      <c r="H956" t="str">
        <f>_xlfn.XLOOKUP(C956,tblCOA[AccountNo],tblCOA[Category],"Unmapped")</f>
        <v>Expenses</v>
      </c>
      <c r="I956" s="4">
        <f t="shared" si="42"/>
        <v>14975.72</v>
      </c>
      <c r="J956">
        <f t="shared" si="43"/>
        <v>2024</v>
      </c>
      <c r="K956" s="5">
        <f t="shared" si="44"/>
        <v>45566</v>
      </c>
    </row>
    <row r="957" spans="1:11" x14ac:dyDescent="0.25">
      <c r="A957" t="s">
        <v>1488</v>
      </c>
      <c r="B957" s="3">
        <v>45592</v>
      </c>
      <c r="C957">
        <v>2010</v>
      </c>
      <c r="D957" s="1">
        <v>0</v>
      </c>
      <c r="E957" s="1">
        <v>14975.72</v>
      </c>
      <c r="F957" t="s">
        <v>1489</v>
      </c>
      <c r="G957" t="str">
        <f>_xlfn.XLOOKUP(C957,tblCOA[AccountNo],tblCOA[AccountName],"Unmapped")</f>
        <v>Accounts Payable</v>
      </c>
      <c r="H957" t="str">
        <f>_xlfn.XLOOKUP(C957,tblCOA[AccountNo],tblCOA[Category],"Unmapped")</f>
        <v>Liabilities</v>
      </c>
      <c r="I957" s="4">
        <f t="shared" si="42"/>
        <v>-14975.72</v>
      </c>
      <c r="J957">
        <f t="shared" si="43"/>
        <v>2024</v>
      </c>
      <c r="K957" s="5">
        <f t="shared" si="44"/>
        <v>45566</v>
      </c>
    </row>
    <row r="958" spans="1:11" x14ac:dyDescent="0.25">
      <c r="A958" t="s">
        <v>1026</v>
      </c>
      <c r="B958" s="3">
        <v>45595</v>
      </c>
      <c r="C958">
        <v>1200</v>
      </c>
      <c r="D958" s="1">
        <v>23030.04</v>
      </c>
      <c r="E958" s="1">
        <v>0</v>
      </c>
      <c r="F958" t="s">
        <v>1027</v>
      </c>
      <c r="G958" t="str">
        <f>_xlfn.XLOOKUP(C958,tblCOA[AccountNo],tblCOA[AccountName],"Unmapped")</f>
        <v>Accounts Receivable</v>
      </c>
      <c r="H958" t="str">
        <f>_xlfn.XLOOKUP(C958,tblCOA[AccountNo],tblCOA[Category],"Unmapped")</f>
        <v>Assets</v>
      </c>
      <c r="I958" s="4">
        <f t="shared" si="42"/>
        <v>23030.04</v>
      </c>
      <c r="J958">
        <f t="shared" si="43"/>
        <v>2024</v>
      </c>
      <c r="K958" s="5">
        <f t="shared" si="44"/>
        <v>45566</v>
      </c>
    </row>
    <row r="959" spans="1:11" x14ac:dyDescent="0.25">
      <c r="A959" t="s">
        <v>1028</v>
      </c>
      <c r="B959" s="3">
        <v>45595</v>
      </c>
      <c r="C959">
        <v>4010</v>
      </c>
      <c r="D959" s="1">
        <v>0</v>
      </c>
      <c r="E959" s="1">
        <v>23030.04</v>
      </c>
      <c r="F959" t="s">
        <v>1029</v>
      </c>
      <c r="G959" t="str">
        <f>_xlfn.XLOOKUP(C959,tblCOA[AccountNo],tblCOA[AccountName],"Unmapped")</f>
        <v>Product Sales</v>
      </c>
      <c r="H959" t="str">
        <f>_xlfn.XLOOKUP(C959,tblCOA[AccountNo],tblCOA[Category],"Unmapped")</f>
        <v>Revenue</v>
      </c>
      <c r="I959" s="4">
        <f t="shared" si="42"/>
        <v>-23030.04</v>
      </c>
      <c r="J959">
        <f t="shared" si="43"/>
        <v>2024</v>
      </c>
      <c r="K959" s="5">
        <f t="shared" si="44"/>
        <v>45566</v>
      </c>
    </row>
    <row r="960" spans="1:11" x14ac:dyDescent="0.25">
      <c r="A960" t="s">
        <v>2590</v>
      </c>
      <c r="B960" s="3">
        <v>45598</v>
      </c>
      <c r="C960">
        <v>5010</v>
      </c>
      <c r="D960" s="1">
        <v>18351.53</v>
      </c>
      <c r="E960" s="1">
        <v>0</v>
      </c>
      <c r="F960" t="s">
        <v>2591</v>
      </c>
      <c r="G960" t="str">
        <f>_xlfn.XLOOKUP(C960,tblCOA[AccountNo],tblCOA[AccountName],"Unmapped")</f>
        <v>Cost of Goods Sold</v>
      </c>
      <c r="H960" t="str">
        <f>_xlfn.XLOOKUP(C960,tblCOA[AccountNo],tblCOA[Category],"Unmapped")</f>
        <v>Expenses</v>
      </c>
      <c r="I960" s="4">
        <f t="shared" si="42"/>
        <v>18351.53</v>
      </c>
      <c r="J960">
        <f t="shared" si="43"/>
        <v>2024</v>
      </c>
      <c r="K960" s="5">
        <f t="shared" si="44"/>
        <v>45597</v>
      </c>
    </row>
    <row r="961" spans="1:11" x14ac:dyDescent="0.25">
      <c r="A961" t="s">
        <v>2592</v>
      </c>
      <c r="B961" s="3">
        <v>45598</v>
      </c>
      <c r="C961">
        <v>2010</v>
      </c>
      <c r="D961" s="1">
        <v>0</v>
      </c>
      <c r="E961" s="1">
        <v>18351.53</v>
      </c>
      <c r="F961" t="s">
        <v>2593</v>
      </c>
      <c r="G961" t="str">
        <f>_xlfn.XLOOKUP(C961,tblCOA[AccountNo],tblCOA[AccountName],"Unmapped")</f>
        <v>Accounts Payable</v>
      </c>
      <c r="H961" t="str">
        <f>_xlfn.XLOOKUP(C961,tblCOA[AccountNo],tblCOA[Category],"Unmapped")</f>
        <v>Liabilities</v>
      </c>
      <c r="I961" s="4">
        <f t="shared" si="42"/>
        <v>-18351.53</v>
      </c>
      <c r="J961">
        <f t="shared" si="43"/>
        <v>2024</v>
      </c>
      <c r="K961" s="5">
        <f t="shared" si="44"/>
        <v>45597</v>
      </c>
    </row>
    <row r="962" spans="1:11" x14ac:dyDescent="0.25">
      <c r="A962" t="s">
        <v>1034</v>
      </c>
      <c r="B962" s="3">
        <v>45604</v>
      </c>
      <c r="C962">
        <v>1200</v>
      </c>
      <c r="D962" s="1">
        <v>7835.55</v>
      </c>
      <c r="E962" s="1">
        <v>0</v>
      </c>
      <c r="F962" t="s">
        <v>1035</v>
      </c>
      <c r="G962" t="str">
        <f>_xlfn.XLOOKUP(C962,tblCOA[AccountNo],tblCOA[AccountName],"Unmapped")</f>
        <v>Accounts Receivable</v>
      </c>
      <c r="H962" t="str">
        <f>_xlfn.XLOOKUP(C962,tblCOA[AccountNo],tblCOA[Category],"Unmapped")</f>
        <v>Assets</v>
      </c>
      <c r="I962" s="4">
        <f t="shared" ref="I962:I1025" si="45">D962-E962</f>
        <v>7835.55</v>
      </c>
      <c r="J962">
        <f t="shared" ref="J962:J1025" si="46">YEAR(B962)</f>
        <v>2024</v>
      </c>
      <c r="K962" s="5">
        <f t="shared" ref="K962:K1025" si="47">DATE(YEAR(B962),MONTH(B962),1)</f>
        <v>45597</v>
      </c>
    </row>
    <row r="963" spans="1:11" x14ac:dyDescent="0.25">
      <c r="A963" t="s">
        <v>1036</v>
      </c>
      <c r="B963" s="3">
        <v>45604</v>
      </c>
      <c r="C963">
        <v>4010</v>
      </c>
      <c r="D963" s="1">
        <v>0</v>
      </c>
      <c r="E963" s="1">
        <v>7835.55</v>
      </c>
      <c r="F963" t="s">
        <v>1037</v>
      </c>
      <c r="G963" t="str">
        <f>_xlfn.XLOOKUP(C963,tblCOA[AccountNo],tblCOA[AccountName],"Unmapped")</f>
        <v>Product Sales</v>
      </c>
      <c r="H963" t="str">
        <f>_xlfn.XLOOKUP(C963,tblCOA[AccountNo],tblCOA[Category],"Unmapped")</f>
        <v>Revenue</v>
      </c>
      <c r="I963" s="4">
        <f t="shared" si="45"/>
        <v>-7835.55</v>
      </c>
      <c r="J963">
        <f t="shared" si="46"/>
        <v>2024</v>
      </c>
      <c r="K963" s="5">
        <f t="shared" si="47"/>
        <v>45597</v>
      </c>
    </row>
    <row r="964" spans="1:11" x14ac:dyDescent="0.25">
      <c r="A964" t="s">
        <v>1838</v>
      </c>
      <c r="B964" s="3">
        <v>45604</v>
      </c>
      <c r="C964">
        <v>5010</v>
      </c>
      <c r="D964" s="1">
        <v>12676.66</v>
      </c>
      <c r="E964" s="1">
        <v>0</v>
      </c>
      <c r="F964" t="s">
        <v>1839</v>
      </c>
      <c r="G964" t="str">
        <f>_xlfn.XLOOKUP(C964,tblCOA[AccountNo],tblCOA[AccountName],"Unmapped")</f>
        <v>Cost of Goods Sold</v>
      </c>
      <c r="H964" t="str">
        <f>_xlfn.XLOOKUP(C964,tblCOA[AccountNo],tblCOA[Category],"Unmapped")</f>
        <v>Expenses</v>
      </c>
      <c r="I964" s="4">
        <f t="shared" si="45"/>
        <v>12676.66</v>
      </c>
      <c r="J964">
        <f t="shared" si="46"/>
        <v>2024</v>
      </c>
      <c r="K964" s="5">
        <f t="shared" si="47"/>
        <v>45597</v>
      </c>
    </row>
    <row r="965" spans="1:11" x14ac:dyDescent="0.25">
      <c r="A965" t="s">
        <v>1840</v>
      </c>
      <c r="B965" s="3">
        <v>45604</v>
      </c>
      <c r="C965">
        <v>2010</v>
      </c>
      <c r="D965" s="1">
        <v>0</v>
      </c>
      <c r="E965" s="1">
        <v>12676.66</v>
      </c>
      <c r="F965" t="s">
        <v>1841</v>
      </c>
      <c r="G965" t="str">
        <f>_xlfn.XLOOKUP(C965,tblCOA[AccountNo],tblCOA[AccountName],"Unmapped")</f>
        <v>Accounts Payable</v>
      </c>
      <c r="H965" t="str">
        <f>_xlfn.XLOOKUP(C965,tblCOA[AccountNo],tblCOA[Category],"Unmapped")</f>
        <v>Liabilities</v>
      </c>
      <c r="I965" s="4">
        <f t="shared" si="45"/>
        <v>-12676.66</v>
      </c>
      <c r="J965">
        <f t="shared" si="46"/>
        <v>2024</v>
      </c>
      <c r="K965" s="5">
        <f t="shared" si="47"/>
        <v>45597</v>
      </c>
    </row>
    <row r="966" spans="1:11" x14ac:dyDescent="0.25">
      <c r="A966" t="s">
        <v>2362</v>
      </c>
      <c r="B966" s="3">
        <v>45605</v>
      </c>
      <c r="C966">
        <v>1200</v>
      </c>
      <c r="D966" s="1">
        <v>33581.96</v>
      </c>
      <c r="E966" s="1">
        <v>0</v>
      </c>
      <c r="F966" t="s">
        <v>2363</v>
      </c>
      <c r="G966" t="str">
        <f>_xlfn.XLOOKUP(C966,tblCOA[AccountNo],tblCOA[AccountName],"Unmapped")</f>
        <v>Accounts Receivable</v>
      </c>
      <c r="H966" t="str">
        <f>_xlfn.XLOOKUP(C966,tblCOA[AccountNo],tblCOA[Category],"Unmapped")</f>
        <v>Assets</v>
      </c>
      <c r="I966" s="4">
        <f t="shared" si="45"/>
        <v>33581.96</v>
      </c>
      <c r="J966">
        <f t="shared" si="46"/>
        <v>2024</v>
      </c>
      <c r="K966" s="5">
        <f t="shared" si="47"/>
        <v>45597</v>
      </c>
    </row>
    <row r="967" spans="1:11" x14ac:dyDescent="0.25">
      <c r="A967" t="s">
        <v>2364</v>
      </c>
      <c r="B967" s="3">
        <v>45605</v>
      </c>
      <c r="C967">
        <v>4010</v>
      </c>
      <c r="D967" s="1">
        <v>0</v>
      </c>
      <c r="E967" s="1">
        <v>33581.96</v>
      </c>
      <c r="F967" t="s">
        <v>2365</v>
      </c>
      <c r="G967" t="str">
        <f>_xlfn.XLOOKUP(C967,tblCOA[AccountNo],tblCOA[AccountName],"Unmapped")</f>
        <v>Product Sales</v>
      </c>
      <c r="H967" t="str">
        <f>_xlfn.XLOOKUP(C967,tblCOA[AccountNo],tblCOA[Category],"Unmapped")</f>
        <v>Revenue</v>
      </c>
      <c r="I967" s="4">
        <f t="shared" si="45"/>
        <v>-33581.96</v>
      </c>
      <c r="J967">
        <f t="shared" si="46"/>
        <v>2024</v>
      </c>
      <c r="K967" s="5">
        <f t="shared" si="47"/>
        <v>45597</v>
      </c>
    </row>
    <row r="968" spans="1:11" x14ac:dyDescent="0.25">
      <c r="A968" t="s">
        <v>582</v>
      </c>
      <c r="B968" s="3">
        <v>45606</v>
      </c>
      <c r="C968">
        <v>5010</v>
      </c>
      <c r="D968" s="1">
        <v>11881.86</v>
      </c>
      <c r="E968" s="1">
        <v>0</v>
      </c>
      <c r="F968" t="s">
        <v>583</v>
      </c>
      <c r="G968" t="str">
        <f>_xlfn.XLOOKUP(C968,tblCOA[AccountNo],tblCOA[AccountName],"Unmapped")</f>
        <v>Cost of Goods Sold</v>
      </c>
      <c r="H968" t="str">
        <f>_xlfn.XLOOKUP(C968,tblCOA[AccountNo],tblCOA[Category],"Unmapped")</f>
        <v>Expenses</v>
      </c>
      <c r="I968" s="4">
        <f t="shared" si="45"/>
        <v>11881.86</v>
      </c>
      <c r="J968">
        <f t="shared" si="46"/>
        <v>2024</v>
      </c>
      <c r="K968" s="5">
        <f t="shared" si="47"/>
        <v>45597</v>
      </c>
    </row>
    <row r="969" spans="1:11" x14ac:dyDescent="0.25">
      <c r="A969" t="s">
        <v>584</v>
      </c>
      <c r="B969" s="3">
        <v>45606</v>
      </c>
      <c r="C969">
        <v>2010</v>
      </c>
      <c r="D969" s="1">
        <v>0</v>
      </c>
      <c r="E969" s="1">
        <v>11881.86</v>
      </c>
      <c r="F969" t="s">
        <v>585</v>
      </c>
      <c r="G969" t="str">
        <f>_xlfn.XLOOKUP(C969,tblCOA[AccountNo],tblCOA[AccountName],"Unmapped")</f>
        <v>Accounts Payable</v>
      </c>
      <c r="H969" t="str">
        <f>_xlfn.XLOOKUP(C969,tblCOA[AccountNo],tblCOA[Category],"Unmapped")</f>
        <v>Liabilities</v>
      </c>
      <c r="I969" s="4">
        <f t="shared" si="45"/>
        <v>-11881.86</v>
      </c>
      <c r="J969">
        <f t="shared" si="46"/>
        <v>2024</v>
      </c>
      <c r="K969" s="5">
        <f t="shared" si="47"/>
        <v>45597</v>
      </c>
    </row>
    <row r="970" spans="1:11" x14ac:dyDescent="0.25">
      <c r="A970" t="s">
        <v>2830</v>
      </c>
      <c r="B970" s="3">
        <v>45607</v>
      </c>
      <c r="C970">
        <v>5010</v>
      </c>
      <c r="D970" s="1">
        <v>19577.189999999999</v>
      </c>
      <c r="E970" s="1">
        <v>0</v>
      </c>
      <c r="F970" t="s">
        <v>2831</v>
      </c>
      <c r="G970" t="str">
        <f>_xlfn.XLOOKUP(C970,tblCOA[AccountNo],tblCOA[AccountName],"Unmapped")</f>
        <v>Cost of Goods Sold</v>
      </c>
      <c r="H970" t="str">
        <f>_xlfn.XLOOKUP(C970,tblCOA[AccountNo],tblCOA[Category],"Unmapped")</f>
        <v>Expenses</v>
      </c>
      <c r="I970" s="4">
        <f t="shared" si="45"/>
        <v>19577.189999999999</v>
      </c>
      <c r="J970">
        <f t="shared" si="46"/>
        <v>2024</v>
      </c>
      <c r="K970" s="5">
        <f t="shared" si="47"/>
        <v>45597</v>
      </c>
    </row>
    <row r="971" spans="1:11" x14ac:dyDescent="0.25">
      <c r="A971" t="s">
        <v>2832</v>
      </c>
      <c r="B971" s="3">
        <v>45607</v>
      </c>
      <c r="C971">
        <v>2010</v>
      </c>
      <c r="D971" s="1">
        <v>0</v>
      </c>
      <c r="E971" s="1">
        <v>19577.189999999999</v>
      </c>
      <c r="F971" t="s">
        <v>2833</v>
      </c>
      <c r="G971" t="str">
        <f>_xlfn.XLOOKUP(C971,tblCOA[AccountNo],tblCOA[AccountName],"Unmapped")</f>
        <v>Accounts Payable</v>
      </c>
      <c r="H971" t="str">
        <f>_xlfn.XLOOKUP(C971,tblCOA[AccountNo],tblCOA[Category],"Unmapped")</f>
        <v>Liabilities</v>
      </c>
      <c r="I971" s="4">
        <f t="shared" si="45"/>
        <v>-19577.189999999999</v>
      </c>
      <c r="J971">
        <f t="shared" si="46"/>
        <v>2024</v>
      </c>
      <c r="K971" s="5">
        <f t="shared" si="47"/>
        <v>45597</v>
      </c>
    </row>
    <row r="972" spans="1:11" x14ac:dyDescent="0.25">
      <c r="A972" t="s">
        <v>34</v>
      </c>
      <c r="B972" s="3">
        <v>45610</v>
      </c>
      <c r="C972">
        <v>1200</v>
      </c>
      <c r="D972" s="1">
        <v>38399.269999999997</v>
      </c>
      <c r="E972" s="1">
        <v>0</v>
      </c>
      <c r="F972" t="s">
        <v>35</v>
      </c>
      <c r="G972" t="str">
        <f>_xlfn.XLOOKUP(C972,tblCOA[AccountNo],tblCOA[AccountName],"Unmapped")</f>
        <v>Accounts Receivable</v>
      </c>
      <c r="H972" t="str">
        <f>_xlfn.XLOOKUP(C972,tblCOA[AccountNo],tblCOA[Category],"Unmapped")</f>
        <v>Assets</v>
      </c>
      <c r="I972" s="4">
        <f t="shared" si="45"/>
        <v>38399.269999999997</v>
      </c>
      <c r="J972">
        <f t="shared" si="46"/>
        <v>2024</v>
      </c>
      <c r="K972" s="5">
        <f t="shared" si="47"/>
        <v>45597</v>
      </c>
    </row>
    <row r="973" spans="1:11" x14ac:dyDescent="0.25">
      <c r="A973" t="s">
        <v>36</v>
      </c>
      <c r="B973" s="3">
        <v>45610</v>
      </c>
      <c r="C973">
        <v>4010</v>
      </c>
      <c r="D973" s="1">
        <v>0</v>
      </c>
      <c r="E973" s="1">
        <v>38399.269999999997</v>
      </c>
      <c r="F973" t="s">
        <v>37</v>
      </c>
      <c r="G973" t="str">
        <f>_xlfn.XLOOKUP(C973,tblCOA[AccountNo],tblCOA[AccountName],"Unmapped")</f>
        <v>Product Sales</v>
      </c>
      <c r="H973" t="str">
        <f>_xlfn.XLOOKUP(C973,tblCOA[AccountNo],tblCOA[Category],"Unmapped")</f>
        <v>Revenue</v>
      </c>
      <c r="I973" s="4">
        <f t="shared" si="45"/>
        <v>-38399.269999999997</v>
      </c>
      <c r="J973">
        <f t="shared" si="46"/>
        <v>2024</v>
      </c>
      <c r="K973" s="5">
        <f t="shared" si="47"/>
        <v>45597</v>
      </c>
    </row>
    <row r="974" spans="1:11" x14ac:dyDescent="0.25">
      <c r="A974" t="s">
        <v>1182</v>
      </c>
      <c r="B974" s="3">
        <v>45611</v>
      </c>
      <c r="C974">
        <v>5010</v>
      </c>
      <c r="D974" s="1">
        <v>5959.45</v>
      </c>
      <c r="E974" s="1">
        <v>0</v>
      </c>
      <c r="F974" t="s">
        <v>1183</v>
      </c>
      <c r="G974" t="str">
        <f>_xlfn.XLOOKUP(C974,tblCOA[AccountNo],tblCOA[AccountName],"Unmapped")</f>
        <v>Cost of Goods Sold</v>
      </c>
      <c r="H974" t="str">
        <f>_xlfn.XLOOKUP(C974,tblCOA[AccountNo],tblCOA[Category],"Unmapped")</f>
        <v>Expenses</v>
      </c>
      <c r="I974" s="4">
        <f t="shared" si="45"/>
        <v>5959.45</v>
      </c>
      <c r="J974">
        <f t="shared" si="46"/>
        <v>2024</v>
      </c>
      <c r="K974" s="5">
        <f t="shared" si="47"/>
        <v>45597</v>
      </c>
    </row>
    <row r="975" spans="1:11" x14ac:dyDescent="0.25">
      <c r="A975" t="s">
        <v>1184</v>
      </c>
      <c r="B975" s="3">
        <v>45611</v>
      </c>
      <c r="C975">
        <v>2010</v>
      </c>
      <c r="D975" s="1">
        <v>0</v>
      </c>
      <c r="E975" s="1">
        <v>5959.45</v>
      </c>
      <c r="F975" t="s">
        <v>1185</v>
      </c>
      <c r="G975" t="str">
        <f>_xlfn.XLOOKUP(C975,tblCOA[AccountNo],tblCOA[AccountName],"Unmapped")</f>
        <v>Accounts Payable</v>
      </c>
      <c r="H975" t="str">
        <f>_xlfn.XLOOKUP(C975,tblCOA[AccountNo],tblCOA[Category],"Unmapped")</f>
        <v>Liabilities</v>
      </c>
      <c r="I975" s="4">
        <f t="shared" si="45"/>
        <v>-5959.45</v>
      </c>
      <c r="J975">
        <f t="shared" si="46"/>
        <v>2024</v>
      </c>
      <c r="K975" s="5">
        <f t="shared" si="47"/>
        <v>45597</v>
      </c>
    </row>
    <row r="976" spans="1:11" x14ac:dyDescent="0.25">
      <c r="A976" t="s">
        <v>1534</v>
      </c>
      <c r="B976" s="3">
        <v>45611</v>
      </c>
      <c r="C976">
        <v>5010</v>
      </c>
      <c r="D976" s="1">
        <v>1640.47</v>
      </c>
      <c r="E976" s="1">
        <v>0</v>
      </c>
      <c r="F976" t="s">
        <v>1535</v>
      </c>
      <c r="G976" t="str">
        <f>_xlfn.XLOOKUP(C976,tblCOA[AccountNo],tblCOA[AccountName],"Unmapped")</f>
        <v>Cost of Goods Sold</v>
      </c>
      <c r="H976" t="str">
        <f>_xlfn.XLOOKUP(C976,tblCOA[AccountNo],tblCOA[Category],"Unmapped")</f>
        <v>Expenses</v>
      </c>
      <c r="I976" s="4">
        <f t="shared" si="45"/>
        <v>1640.47</v>
      </c>
      <c r="J976">
        <f t="shared" si="46"/>
        <v>2024</v>
      </c>
      <c r="K976" s="5">
        <f t="shared" si="47"/>
        <v>45597</v>
      </c>
    </row>
    <row r="977" spans="1:11" x14ac:dyDescent="0.25">
      <c r="A977" t="s">
        <v>1536</v>
      </c>
      <c r="B977" s="3">
        <v>45611</v>
      </c>
      <c r="C977">
        <v>2010</v>
      </c>
      <c r="D977" s="1">
        <v>0</v>
      </c>
      <c r="E977" s="1">
        <v>1640.47</v>
      </c>
      <c r="F977" t="s">
        <v>1537</v>
      </c>
      <c r="G977" t="str">
        <f>_xlfn.XLOOKUP(C977,tblCOA[AccountNo],tblCOA[AccountName],"Unmapped")</f>
        <v>Accounts Payable</v>
      </c>
      <c r="H977" t="str">
        <f>_xlfn.XLOOKUP(C977,tblCOA[AccountNo],tblCOA[Category],"Unmapped")</f>
        <v>Liabilities</v>
      </c>
      <c r="I977" s="4">
        <f t="shared" si="45"/>
        <v>-1640.47</v>
      </c>
      <c r="J977">
        <f t="shared" si="46"/>
        <v>2024</v>
      </c>
      <c r="K977" s="5">
        <f t="shared" si="47"/>
        <v>45597</v>
      </c>
    </row>
    <row r="978" spans="1:11" x14ac:dyDescent="0.25">
      <c r="A978" t="s">
        <v>650</v>
      </c>
      <c r="B978" s="3">
        <v>45613</v>
      </c>
      <c r="C978">
        <v>1200</v>
      </c>
      <c r="D978" s="1">
        <v>44978.6</v>
      </c>
      <c r="E978" s="1">
        <v>0</v>
      </c>
      <c r="F978" t="s">
        <v>651</v>
      </c>
      <c r="G978" t="str">
        <f>_xlfn.XLOOKUP(C978,tblCOA[AccountNo],tblCOA[AccountName],"Unmapped")</f>
        <v>Accounts Receivable</v>
      </c>
      <c r="H978" t="str">
        <f>_xlfn.XLOOKUP(C978,tblCOA[AccountNo],tblCOA[Category],"Unmapped")</f>
        <v>Assets</v>
      </c>
      <c r="I978" s="4">
        <f t="shared" si="45"/>
        <v>44978.6</v>
      </c>
      <c r="J978">
        <f t="shared" si="46"/>
        <v>2024</v>
      </c>
      <c r="K978" s="5">
        <f t="shared" si="47"/>
        <v>45597</v>
      </c>
    </row>
    <row r="979" spans="1:11" x14ac:dyDescent="0.25">
      <c r="A979" t="s">
        <v>652</v>
      </c>
      <c r="B979" s="3">
        <v>45613</v>
      </c>
      <c r="C979">
        <v>4010</v>
      </c>
      <c r="D979" s="1">
        <v>0</v>
      </c>
      <c r="E979" s="1">
        <v>44978.6</v>
      </c>
      <c r="F979" t="s">
        <v>653</v>
      </c>
      <c r="G979" t="str">
        <f>_xlfn.XLOOKUP(C979,tblCOA[AccountNo],tblCOA[AccountName],"Unmapped")</f>
        <v>Product Sales</v>
      </c>
      <c r="H979" t="str">
        <f>_xlfn.XLOOKUP(C979,tblCOA[AccountNo],tblCOA[Category],"Unmapped")</f>
        <v>Revenue</v>
      </c>
      <c r="I979" s="4">
        <f t="shared" si="45"/>
        <v>-44978.6</v>
      </c>
      <c r="J979">
        <f t="shared" si="46"/>
        <v>2024</v>
      </c>
      <c r="K979" s="5">
        <f t="shared" si="47"/>
        <v>45597</v>
      </c>
    </row>
    <row r="980" spans="1:11" x14ac:dyDescent="0.25">
      <c r="A980" t="s">
        <v>2614</v>
      </c>
      <c r="B980" s="3">
        <v>45614</v>
      </c>
      <c r="C980">
        <v>5010</v>
      </c>
      <c r="D980" s="1">
        <v>11552.78</v>
      </c>
      <c r="E980" s="1">
        <v>0</v>
      </c>
      <c r="F980" t="s">
        <v>2615</v>
      </c>
      <c r="G980" t="str">
        <f>_xlfn.XLOOKUP(C980,tblCOA[AccountNo],tblCOA[AccountName],"Unmapped")</f>
        <v>Cost of Goods Sold</v>
      </c>
      <c r="H980" t="str">
        <f>_xlfn.XLOOKUP(C980,tblCOA[AccountNo],tblCOA[Category],"Unmapped")</f>
        <v>Expenses</v>
      </c>
      <c r="I980" s="4">
        <f t="shared" si="45"/>
        <v>11552.78</v>
      </c>
      <c r="J980">
        <f t="shared" si="46"/>
        <v>2024</v>
      </c>
      <c r="K980" s="5">
        <f t="shared" si="47"/>
        <v>45597</v>
      </c>
    </row>
    <row r="981" spans="1:11" x14ac:dyDescent="0.25">
      <c r="A981" t="s">
        <v>2616</v>
      </c>
      <c r="B981" s="3">
        <v>45614</v>
      </c>
      <c r="C981">
        <v>2010</v>
      </c>
      <c r="D981" s="1">
        <v>0</v>
      </c>
      <c r="E981" s="1">
        <v>11552.78</v>
      </c>
      <c r="F981" t="s">
        <v>2617</v>
      </c>
      <c r="G981" t="str">
        <f>_xlfn.XLOOKUP(C981,tblCOA[AccountNo],tblCOA[AccountName],"Unmapped")</f>
        <v>Accounts Payable</v>
      </c>
      <c r="H981" t="str">
        <f>_xlfn.XLOOKUP(C981,tblCOA[AccountNo],tblCOA[Category],"Unmapped")</f>
        <v>Liabilities</v>
      </c>
      <c r="I981" s="4">
        <f t="shared" si="45"/>
        <v>-11552.78</v>
      </c>
      <c r="J981">
        <f t="shared" si="46"/>
        <v>2024</v>
      </c>
      <c r="K981" s="5">
        <f t="shared" si="47"/>
        <v>45597</v>
      </c>
    </row>
    <row r="982" spans="1:11" x14ac:dyDescent="0.25">
      <c r="A982" t="s">
        <v>2394</v>
      </c>
      <c r="B982" s="3">
        <v>45619</v>
      </c>
      <c r="C982">
        <v>1200</v>
      </c>
      <c r="D982" s="1">
        <v>31571.96</v>
      </c>
      <c r="E982" s="1">
        <v>0</v>
      </c>
      <c r="F982" t="s">
        <v>2395</v>
      </c>
      <c r="G982" t="str">
        <f>_xlfn.XLOOKUP(C982,tblCOA[AccountNo],tblCOA[AccountName],"Unmapped")</f>
        <v>Accounts Receivable</v>
      </c>
      <c r="H982" t="str">
        <f>_xlfn.XLOOKUP(C982,tblCOA[AccountNo],tblCOA[Category],"Unmapped")</f>
        <v>Assets</v>
      </c>
      <c r="I982" s="4">
        <f t="shared" si="45"/>
        <v>31571.96</v>
      </c>
      <c r="J982">
        <f t="shared" si="46"/>
        <v>2024</v>
      </c>
      <c r="K982" s="5">
        <f t="shared" si="47"/>
        <v>45597</v>
      </c>
    </row>
    <row r="983" spans="1:11" x14ac:dyDescent="0.25">
      <c r="A983" t="s">
        <v>2396</v>
      </c>
      <c r="B983" s="3">
        <v>45619</v>
      </c>
      <c r="C983">
        <v>4010</v>
      </c>
      <c r="D983" s="1">
        <v>0</v>
      </c>
      <c r="E983" s="1">
        <v>31571.96</v>
      </c>
      <c r="F983" t="s">
        <v>2397</v>
      </c>
      <c r="G983" t="str">
        <f>_xlfn.XLOOKUP(C983,tblCOA[AccountNo],tblCOA[AccountName],"Unmapped")</f>
        <v>Product Sales</v>
      </c>
      <c r="H983" t="str">
        <f>_xlfn.XLOOKUP(C983,tblCOA[AccountNo],tblCOA[Category],"Unmapped")</f>
        <v>Revenue</v>
      </c>
      <c r="I983" s="4">
        <f t="shared" si="45"/>
        <v>-31571.96</v>
      </c>
      <c r="J983">
        <f t="shared" si="46"/>
        <v>2024</v>
      </c>
      <c r="K983" s="5">
        <f t="shared" si="47"/>
        <v>45597</v>
      </c>
    </row>
    <row r="984" spans="1:11" x14ac:dyDescent="0.25">
      <c r="A984" t="s">
        <v>426</v>
      </c>
      <c r="B984" s="3">
        <v>45619</v>
      </c>
      <c r="C984">
        <v>1200</v>
      </c>
      <c r="D984" s="1">
        <v>46557.19</v>
      </c>
      <c r="E984" s="1">
        <v>0</v>
      </c>
      <c r="F984" t="s">
        <v>427</v>
      </c>
      <c r="G984" t="str">
        <f>_xlfn.XLOOKUP(C984,tblCOA[AccountNo],tblCOA[AccountName],"Unmapped")</f>
        <v>Accounts Receivable</v>
      </c>
      <c r="H984" t="str">
        <f>_xlfn.XLOOKUP(C984,tblCOA[AccountNo],tblCOA[Category],"Unmapped")</f>
        <v>Assets</v>
      </c>
      <c r="I984" s="4">
        <f t="shared" si="45"/>
        <v>46557.19</v>
      </c>
      <c r="J984">
        <f t="shared" si="46"/>
        <v>2024</v>
      </c>
      <c r="K984" s="5">
        <f t="shared" si="47"/>
        <v>45597</v>
      </c>
    </row>
    <row r="985" spans="1:11" x14ac:dyDescent="0.25">
      <c r="A985" t="s">
        <v>428</v>
      </c>
      <c r="B985" s="3">
        <v>45619</v>
      </c>
      <c r="C985">
        <v>4010</v>
      </c>
      <c r="D985" s="1">
        <v>0</v>
      </c>
      <c r="E985" s="1">
        <v>46557.19</v>
      </c>
      <c r="F985" t="s">
        <v>429</v>
      </c>
      <c r="G985" t="str">
        <f>_xlfn.XLOOKUP(C985,tblCOA[AccountNo],tblCOA[AccountName],"Unmapped")</f>
        <v>Product Sales</v>
      </c>
      <c r="H985" t="str">
        <f>_xlfn.XLOOKUP(C985,tblCOA[AccountNo],tblCOA[Category],"Unmapped")</f>
        <v>Revenue</v>
      </c>
      <c r="I985" s="4">
        <f t="shared" si="45"/>
        <v>-46557.19</v>
      </c>
      <c r="J985">
        <f t="shared" si="46"/>
        <v>2024</v>
      </c>
      <c r="K985" s="5">
        <f t="shared" si="47"/>
        <v>45597</v>
      </c>
    </row>
    <row r="986" spans="1:11" x14ac:dyDescent="0.25">
      <c r="A986" t="s">
        <v>2186</v>
      </c>
      <c r="B986" s="3">
        <v>45620</v>
      </c>
      <c r="C986">
        <v>1200</v>
      </c>
      <c r="D986" s="1">
        <v>19159.57</v>
      </c>
      <c r="E986" s="1">
        <v>0</v>
      </c>
      <c r="F986" t="s">
        <v>2187</v>
      </c>
      <c r="G986" t="str">
        <f>_xlfn.XLOOKUP(C986,tblCOA[AccountNo],tblCOA[AccountName],"Unmapped")</f>
        <v>Accounts Receivable</v>
      </c>
      <c r="H986" t="str">
        <f>_xlfn.XLOOKUP(C986,tblCOA[AccountNo],tblCOA[Category],"Unmapped")</f>
        <v>Assets</v>
      </c>
      <c r="I986" s="4">
        <f t="shared" si="45"/>
        <v>19159.57</v>
      </c>
      <c r="J986">
        <f t="shared" si="46"/>
        <v>2024</v>
      </c>
      <c r="K986" s="5">
        <f t="shared" si="47"/>
        <v>45597</v>
      </c>
    </row>
    <row r="987" spans="1:11" x14ac:dyDescent="0.25">
      <c r="A987" t="s">
        <v>2188</v>
      </c>
      <c r="B987" s="3">
        <v>45620</v>
      </c>
      <c r="C987">
        <v>4010</v>
      </c>
      <c r="D987" s="1">
        <v>0</v>
      </c>
      <c r="E987" s="1">
        <v>19159.57</v>
      </c>
      <c r="F987" t="s">
        <v>2189</v>
      </c>
      <c r="G987" t="str">
        <f>_xlfn.XLOOKUP(C987,tblCOA[AccountNo],tblCOA[AccountName],"Unmapped")</f>
        <v>Product Sales</v>
      </c>
      <c r="H987" t="str">
        <f>_xlfn.XLOOKUP(C987,tblCOA[AccountNo],tblCOA[Category],"Unmapped")</f>
        <v>Revenue</v>
      </c>
      <c r="I987" s="4">
        <f t="shared" si="45"/>
        <v>-19159.57</v>
      </c>
      <c r="J987">
        <f t="shared" si="46"/>
        <v>2024</v>
      </c>
      <c r="K987" s="5">
        <f t="shared" si="47"/>
        <v>45597</v>
      </c>
    </row>
    <row r="988" spans="1:11" x14ac:dyDescent="0.25">
      <c r="A988" t="s">
        <v>1630</v>
      </c>
      <c r="B988" s="3">
        <v>45621</v>
      </c>
      <c r="C988">
        <v>5010</v>
      </c>
      <c r="D988" s="1">
        <v>9142.9</v>
      </c>
      <c r="E988" s="1">
        <v>0</v>
      </c>
      <c r="F988" t="s">
        <v>1631</v>
      </c>
      <c r="G988" t="str">
        <f>_xlfn.XLOOKUP(C988,tblCOA[AccountNo],tblCOA[AccountName],"Unmapped")</f>
        <v>Cost of Goods Sold</v>
      </c>
      <c r="H988" t="str">
        <f>_xlfn.XLOOKUP(C988,tblCOA[AccountNo],tblCOA[Category],"Unmapped")</f>
        <v>Expenses</v>
      </c>
      <c r="I988" s="4">
        <f t="shared" si="45"/>
        <v>9142.9</v>
      </c>
      <c r="J988">
        <f t="shared" si="46"/>
        <v>2024</v>
      </c>
      <c r="K988" s="5">
        <f t="shared" si="47"/>
        <v>45597</v>
      </c>
    </row>
    <row r="989" spans="1:11" x14ac:dyDescent="0.25">
      <c r="A989" t="s">
        <v>1632</v>
      </c>
      <c r="B989" s="3">
        <v>45621</v>
      </c>
      <c r="C989">
        <v>2010</v>
      </c>
      <c r="D989" s="1">
        <v>0</v>
      </c>
      <c r="E989" s="1">
        <v>9142.9</v>
      </c>
      <c r="F989" t="s">
        <v>1633</v>
      </c>
      <c r="G989" t="str">
        <f>_xlfn.XLOOKUP(C989,tblCOA[AccountNo],tblCOA[AccountName],"Unmapped")</f>
        <v>Accounts Payable</v>
      </c>
      <c r="H989" t="str">
        <f>_xlfn.XLOOKUP(C989,tblCOA[AccountNo],tblCOA[Category],"Unmapped")</f>
        <v>Liabilities</v>
      </c>
      <c r="I989" s="4">
        <f t="shared" si="45"/>
        <v>-9142.9</v>
      </c>
      <c r="J989">
        <f t="shared" si="46"/>
        <v>2024</v>
      </c>
      <c r="K989" s="5">
        <f t="shared" si="47"/>
        <v>45597</v>
      </c>
    </row>
    <row r="990" spans="1:11" x14ac:dyDescent="0.25">
      <c r="A990" t="s">
        <v>2986</v>
      </c>
      <c r="B990" s="3">
        <v>45624</v>
      </c>
      <c r="C990">
        <v>1200</v>
      </c>
      <c r="D990" s="1">
        <v>26685.22</v>
      </c>
      <c r="E990" s="1">
        <v>0</v>
      </c>
      <c r="F990" t="s">
        <v>2987</v>
      </c>
      <c r="G990" t="str">
        <f>_xlfn.XLOOKUP(C990,tblCOA[AccountNo],tblCOA[AccountName],"Unmapped")</f>
        <v>Accounts Receivable</v>
      </c>
      <c r="H990" t="str">
        <f>_xlfn.XLOOKUP(C990,tblCOA[AccountNo],tblCOA[Category],"Unmapped")</f>
        <v>Assets</v>
      </c>
      <c r="I990" s="4">
        <f t="shared" si="45"/>
        <v>26685.22</v>
      </c>
      <c r="J990">
        <f t="shared" si="46"/>
        <v>2024</v>
      </c>
      <c r="K990" s="5">
        <f t="shared" si="47"/>
        <v>45597</v>
      </c>
    </row>
    <row r="991" spans="1:11" x14ac:dyDescent="0.25">
      <c r="A991" t="s">
        <v>2988</v>
      </c>
      <c r="B991" s="3">
        <v>45624</v>
      </c>
      <c r="C991">
        <v>4010</v>
      </c>
      <c r="D991" s="1">
        <v>0</v>
      </c>
      <c r="E991" s="1">
        <v>26685.22</v>
      </c>
      <c r="F991" t="s">
        <v>2989</v>
      </c>
      <c r="G991" t="str">
        <f>_xlfn.XLOOKUP(C991,tblCOA[AccountNo],tblCOA[AccountName],"Unmapped")</f>
        <v>Product Sales</v>
      </c>
      <c r="H991" t="str">
        <f>_xlfn.XLOOKUP(C991,tblCOA[AccountNo],tblCOA[Category],"Unmapped")</f>
        <v>Revenue</v>
      </c>
      <c r="I991" s="4">
        <f t="shared" si="45"/>
        <v>-26685.22</v>
      </c>
      <c r="J991">
        <f t="shared" si="46"/>
        <v>2024</v>
      </c>
      <c r="K991" s="5">
        <f t="shared" si="47"/>
        <v>45597</v>
      </c>
    </row>
    <row r="992" spans="1:11" x14ac:dyDescent="0.25">
      <c r="A992" t="s">
        <v>494</v>
      </c>
      <c r="B992" s="3">
        <v>45625</v>
      </c>
      <c r="C992">
        <v>5010</v>
      </c>
      <c r="D992" s="1">
        <v>7446.58</v>
      </c>
      <c r="E992" s="1">
        <v>0</v>
      </c>
      <c r="F992" t="s">
        <v>495</v>
      </c>
      <c r="G992" t="str">
        <f>_xlfn.XLOOKUP(C992,tblCOA[AccountNo],tblCOA[AccountName],"Unmapped")</f>
        <v>Cost of Goods Sold</v>
      </c>
      <c r="H992" t="str">
        <f>_xlfn.XLOOKUP(C992,tblCOA[AccountNo],tblCOA[Category],"Unmapped")</f>
        <v>Expenses</v>
      </c>
      <c r="I992" s="4">
        <f t="shared" si="45"/>
        <v>7446.58</v>
      </c>
      <c r="J992">
        <f t="shared" si="46"/>
        <v>2024</v>
      </c>
      <c r="K992" s="5">
        <f t="shared" si="47"/>
        <v>45597</v>
      </c>
    </row>
    <row r="993" spans="1:11" x14ac:dyDescent="0.25">
      <c r="A993" t="s">
        <v>496</v>
      </c>
      <c r="B993" s="3">
        <v>45625</v>
      </c>
      <c r="C993">
        <v>2010</v>
      </c>
      <c r="D993" s="1">
        <v>0</v>
      </c>
      <c r="E993" s="1">
        <v>7446.58</v>
      </c>
      <c r="F993" t="s">
        <v>497</v>
      </c>
      <c r="G993" t="str">
        <f>_xlfn.XLOOKUP(C993,tblCOA[AccountNo],tblCOA[AccountName],"Unmapped")</f>
        <v>Accounts Payable</v>
      </c>
      <c r="H993" t="str">
        <f>_xlfn.XLOOKUP(C993,tblCOA[AccountNo],tblCOA[Category],"Unmapped")</f>
        <v>Liabilities</v>
      </c>
      <c r="I993" s="4">
        <f t="shared" si="45"/>
        <v>-7446.58</v>
      </c>
      <c r="J993">
        <f t="shared" si="46"/>
        <v>2024</v>
      </c>
      <c r="K993" s="5">
        <f t="shared" si="47"/>
        <v>45597</v>
      </c>
    </row>
    <row r="994" spans="1:11" x14ac:dyDescent="0.25">
      <c r="A994" t="s">
        <v>1830</v>
      </c>
      <c r="B994" s="3">
        <v>45625</v>
      </c>
      <c r="C994">
        <v>5010</v>
      </c>
      <c r="D994" s="1">
        <v>4430.25</v>
      </c>
      <c r="E994" s="1">
        <v>0</v>
      </c>
      <c r="F994" t="s">
        <v>1831</v>
      </c>
      <c r="G994" t="str">
        <f>_xlfn.XLOOKUP(C994,tblCOA[AccountNo],tblCOA[AccountName],"Unmapped")</f>
        <v>Cost of Goods Sold</v>
      </c>
      <c r="H994" t="str">
        <f>_xlfn.XLOOKUP(C994,tblCOA[AccountNo],tblCOA[Category],"Unmapped")</f>
        <v>Expenses</v>
      </c>
      <c r="I994" s="4">
        <f t="shared" si="45"/>
        <v>4430.25</v>
      </c>
      <c r="J994">
        <f t="shared" si="46"/>
        <v>2024</v>
      </c>
      <c r="K994" s="5">
        <f t="shared" si="47"/>
        <v>45597</v>
      </c>
    </row>
    <row r="995" spans="1:11" x14ac:dyDescent="0.25">
      <c r="A995" t="s">
        <v>1832</v>
      </c>
      <c r="B995" s="3">
        <v>45625</v>
      </c>
      <c r="C995">
        <v>2010</v>
      </c>
      <c r="D995" s="1">
        <v>0</v>
      </c>
      <c r="E995" s="1">
        <v>4430.25</v>
      </c>
      <c r="F995" t="s">
        <v>1833</v>
      </c>
      <c r="G995" t="str">
        <f>_xlfn.XLOOKUP(C995,tblCOA[AccountNo],tblCOA[AccountName],"Unmapped")</f>
        <v>Accounts Payable</v>
      </c>
      <c r="H995" t="str">
        <f>_xlfn.XLOOKUP(C995,tblCOA[AccountNo],tblCOA[Category],"Unmapped")</f>
        <v>Liabilities</v>
      </c>
      <c r="I995" s="4">
        <f t="shared" si="45"/>
        <v>-4430.25</v>
      </c>
      <c r="J995">
        <f t="shared" si="46"/>
        <v>2024</v>
      </c>
      <c r="K995" s="5">
        <f t="shared" si="47"/>
        <v>45597</v>
      </c>
    </row>
    <row r="996" spans="1:11" x14ac:dyDescent="0.25">
      <c r="A996" t="s">
        <v>446</v>
      </c>
      <c r="B996" s="3">
        <v>45626</v>
      </c>
      <c r="C996">
        <v>5010</v>
      </c>
      <c r="D996" s="1">
        <v>15703.41</v>
      </c>
      <c r="E996" s="1">
        <v>0</v>
      </c>
      <c r="F996" t="s">
        <v>447</v>
      </c>
      <c r="G996" t="str">
        <f>_xlfn.XLOOKUP(C996,tblCOA[AccountNo],tblCOA[AccountName],"Unmapped")</f>
        <v>Cost of Goods Sold</v>
      </c>
      <c r="H996" t="str">
        <f>_xlfn.XLOOKUP(C996,tblCOA[AccountNo],tblCOA[Category],"Unmapped")</f>
        <v>Expenses</v>
      </c>
      <c r="I996" s="4">
        <f t="shared" si="45"/>
        <v>15703.41</v>
      </c>
      <c r="J996">
        <f t="shared" si="46"/>
        <v>2024</v>
      </c>
      <c r="K996" s="5">
        <f t="shared" si="47"/>
        <v>45597</v>
      </c>
    </row>
    <row r="997" spans="1:11" x14ac:dyDescent="0.25">
      <c r="A997" t="s">
        <v>448</v>
      </c>
      <c r="B997" s="3">
        <v>45626</v>
      </c>
      <c r="C997">
        <v>2010</v>
      </c>
      <c r="D997" s="1">
        <v>0</v>
      </c>
      <c r="E997" s="1">
        <v>15703.41</v>
      </c>
      <c r="F997" t="s">
        <v>449</v>
      </c>
      <c r="G997" t="str">
        <f>_xlfn.XLOOKUP(C997,tblCOA[AccountNo],tblCOA[AccountName],"Unmapped")</f>
        <v>Accounts Payable</v>
      </c>
      <c r="H997" t="str">
        <f>_xlfn.XLOOKUP(C997,tblCOA[AccountNo],tblCOA[Category],"Unmapped")</f>
        <v>Liabilities</v>
      </c>
      <c r="I997" s="4">
        <f t="shared" si="45"/>
        <v>-15703.41</v>
      </c>
      <c r="J997">
        <f t="shared" si="46"/>
        <v>2024</v>
      </c>
      <c r="K997" s="5">
        <f t="shared" si="47"/>
        <v>45597</v>
      </c>
    </row>
    <row r="998" spans="1:11" x14ac:dyDescent="0.25">
      <c r="A998" t="s">
        <v>558</v>
      </c>
      <c r="B998" s="3">
        <v>45626</v>
      </c>
      <c r="C998">
        <v>5010</v>
      </c>
      <c r="D998" s="1">
        <v>14525.44</v>
      </c>
      <c r="E998" s="1">
        <v>0</v>
      </c>
      <c r="F998" t="s">
        <v>559</v>
      </c>
      <c r="G998" t="str">
        <f>_xlfn.XLOOKUP(C998,tblCOA[AccountNo],tblCOA[AccountName],"Unmapped")</f>
        <v>Cost of Goods Sold</v>
      </c>
      <c r="H998" t="str">
        <f>_xlfn.XLOOKUP(C998,tblCOA[AccountNo],tblCOA[Category],"Unmapped")</f>
        <v>Expenses</v>
      </c>
      <c r="I998" s="4">
        <f t="shared" si="45"/>
        <v>14525.44</v>
      </c>
      <c r="J998">
        <f t="shared" si="46"/>
        <v>2024</v>
      </c>
      <c r="K998" s="5">
        <f t="shared" si="47"/>
        <v>45597</v>
      </c>
    </row>
    <row r="999" spans="1:11" x14ac:dyDescent="0.25">
      <c r="A999" t="s">
        <v>560</v>
      </c>
      <c r="B999" s="3">
        <v>45626</v>
      </c>
      <c r="C999">
        <v>2010</v>
      </c>
      <c r="D999" s="1">
        <v>0</v>
      </c>
      <c r="E999" s="1">
        <v>14525.44</v>
      </c>
      <c r="F999" t="s">
        <v>561</v>
      </c>
      <c r="G999" t="str">
        <f>_xlfn.XLOOKUP(C999,tblCOA[AccountNo],tblCOA[AccountName],"Unmapped")</f>
        <v>Accounts Payable</v>
      </c>
      <c r="H999" t="str">
        <f>_xlfn.XLOOKUP(C999,tblCOA[AccountNo],tblCOA[Category],"Unmapped")</f>
        <v>Liabilities</v>
      </c>
      <c r="I999" s="4">
        <f t="shared" si="45"/>
        <v>-14525.44</v>
      </c>
      <c r="J999">
        <f t="shared" si="46"/>
        <v>2024</v>
      </c>
      <c r="K999" s="5">
        <f t="shared" si="47"/>
        <v>45597</v>
      </c>
    </row>
    <row r="1000" spans="1:11" x14ac:dyDescent="0.25">
      <c r="A1000" t="s">
        <v>2870</v>
      </c>
      <c r="B1000" s="3">
        <v>45627</v>
      </c>
      <c r="C1000">
        <v>5010</v>
      </c>
      <c r="D1000" s="1">
        <v>16559.64</v>
      </c>
      <c r="E1000" s="1">
        <v>0</v>
      </c>
      <c r="F1000" t="s">
        <v>2871</v>
      </c>
      <c r="G1000" t="str">
        <f>_xlfn.XLOOKUP(C1000,tblCOA[AccountNo],tblCOA[AccountName],"Unmapped")</f>
        <v>Cost of Goods Sold</v>
      </c>
      <c r="H1000" t="str">
        <f>_xlfn.XLOOKUP(C1000,tblCOA[AccountNo],tblCOA[Category],"Unmapped")</f>
        <v>Expenses</v>
      </c>
      <c r="I1000" s="4">
        <f t="shared" si="45"/>
        <v>16559.64</v>
      </c>
      <c r="J1000">
        <f t="shared" si="46"/>
        <v>2024</v>
      </c>
      <c r="K1000" s="5">
        <f t="shared" si="47"/>
        <v>45627</v>
      </c>
    </row>
    <row r="1001" spans="1:11" x14ac:dyDescent="0.25">
      <c r="A1001" t="s">
        <v>2872</v>
      </c>
      <c r="B1001" s="3">
        <v>45627</v>
      </c>
      <c r="C1001">
        <v>2010</v>
      </c>
      <c r="D1001" s="1">
        <v>0</v>
      </c>
      <c r="E1001" s="1">
        <v>16559.64</v>
      </c>
      <c r="F1001" t="s">
        <v>2873</v>
      </c>
      <c r="G1001" t="str">
        <f>_xlfn.XLOOKUP(C1001,tblCOA[AccountNo],tblCOA[AccountName],"Unmapped")</f>
        <v>Accounts Payable</v>
      </c>
      <c r="H1001" t="str">
        <f>_xlfn.XLOOKUP(C1001,tblCOA[AccountNo],tblCOA[Category],"Unmapped")</f>
        <v>Liabilities</v>
      </c>
      <c r="I1001" s="4">
        <f t="shared" si="45"/>
        <v>-16559.64</v>
      </c>
      <c r="J1001">
        <f t="shared" si="46"/>
        <v>2024</v>
      </c>
      <c r="K1001" s="5">
        <f t="shared" si="47"/>
        <v>45627</v>
      </c>
    </row>
    <row r="1002" spans="1:11" x14ac:dyDescent="0.25">
      <c r="A1002" t="s">
        <v>178</v>
      </c>
      <c r="B1002" s="3">
        <v>45627</v>
      </c>
      <c r="C1002">
        <v>1200</v>
      </c>
      <c r="D1002" s="1">
        <v>37381.089999999997</v>
      </c>
      <c r="E1002" s="1">
        <v>0</v>
      </c>
      <c r="F1002" t="s">
        <v>179</v>
      </c>
      <c r="G1002" t="str">
        <f>_xlfn.XLOOKUP(C1002,tblCOA[AccountNo],tblCOA[AccountName],"Unmapped")</f>
        <v>Accounts Receivable</v>
      </c>
      <c r="H1002" t="str">
        <f>_xlfn.XLOOKUP(C1002,tblCOA[AccountNo],tblCOA[Category],"Unmapped")</f>
        <v>Assets</v>
      </c>
      <c r="I1002" s="4">
        <f t="shared" si="45"/>
        <v>37381.089999999997</v>
      </c>
      <c r="J1002">
        <f t="shared" si="46"/>
        <v>2024</v>
      </c>
      <c r="K1002" s="5">
        <f t="shared" si="47"/>
        <v>45627</v>
      </c>
    </row>
    <row r="1003" spans="1:11" x14ac:dyDescent="0.25">
      <c r="A1003" t="s">
        <v>180</v>
      </c>
      <c r="B1003" s="3">
        <v>45627</v>
      </c>
      <c r="C1003">
        <v>4010</v>
      </c>
      <c r="D1003" s="1">
        <v>0</v>
      </c>
      <c r="E1003" s="1">
        <v>37381.089999999997</v>
      </c>
      <c r="F1003" t="s">
        <v>181</v>
      </c>
      <c r="G1003" t="str">
        <f>_xlfn.XLOOKUP(C1003,tblCOA[AccountNo],tblCOA[AccountName],"Unmapped")</f>
        <v>Product Sales</v>
      </c>
      <c r="H1003" t="str">
        <f>_xlfn.XLOOKUP(C1003,tblCOA[AccountNo],tblCOA[Category],"Unmapped")</f>
        <v>Revenue</v>
      </c>
      <c r="I1003" s="4">
        <f t="shared" si="45"/>
        <v>-37381.089999999997</v>
      </c>
      <c r="J1003">
        <f t="shared" si="46"/>
        <v>2024</v>
      </c>
      <c r="K1003" s="5">
        <f t="shared" si="47"/>
        <v>45627</v>
      </c>
    </row>
    <row r="1004" spans="1:11" x14ac:dyDescent="0.25">
      <c r="A1004" t="s">
        <v>1250</v>
      </c>
      <c r="B1004" s="3">
        <v>45629</v>
      </c>
      <c r="C1004">
        <v>1200</v>
      </c>
      <c r="D1004" s="1">
        <v>44785.53</v>
      </c>
      <c r="E1004" s="1">
        <v>0</v>
      </c>
      <c r="F1004" t="s">
        <v>1251</v>
      </c>
      <c r="G1004" t="str">
        <f>_xlfn.XLOOKUP(C1004,tblCOA[AccountNo],tblCOA[AccountName],"Unmapped")</f>
        <v>Accounts Receivable</v>
      </c>
      <c r="H1004" t="str">
        <f>_xlfn.XLOOKUP(C1004,tblCOA[AccountNo],tblCOA[Category],"Unmapped")</f>
        <v>Assets</v>
      </c>
      <c r="I1004" s="4">
        <f t="shared" si="45"/>
        <v>44785.53</v>
      </c>
      <c r="J1004">
        <f t="shared" si="46"/>
        <v>2024</v>
      </c>
      <c r="K1004" s="5">
        <f t="shared" si="47"/>
        <v>45627</v>
      </c>
    </row>
    <row r="1005" spans="1:11" x14ac:dyDescent="0.25">
      <c r="A1005" t="s">
        <v>1252</v>
      </c>
      <c r="B1005" s="3">
        <v>45629</v>
      </c>
      <c r="C1005">
        <v>4010</v>
      </c>
      <c r="D1005" s="1">
        <v>0</v>
      </c>
      <c r="E1005" s="1">
        <v>44785.53</v>
      </c>
      <c r="F1005" t="s">
        <v>1253</v>
      </c>
      <c r="G1005" t="str">
        <f>_xlfn.XLOOKUP(C1005,tblCOA[AccountNo],tblCOA[AccountName],"Unmapped")</f>
        <v>Product Sales</v>
      </c>
      <c r="H1005" t="str">
        <f>_xlfn.XLOOKUP(C1005,tblCOA[AccountNo],tblCOA[Category],"Unmapped")</f>
        <v>Revenue</v>
      </c>
      <c r="I1005" s="4">
        <f t="shared" si="45"/>
        <v>-44785.53</v>
      </c>
      <c r="J1005">
        <f t="shared" si="46"/>
        <v>2024</v>
      </c>
      <c r="K1005" s="5">
        <f t="shared" si="47"/>
        <v>45627</v>
      </c>
    </row>
    <row r="1006" spans="1:11" x14ac:dyDescent="0.25">
      <c r="A1006" t="s">
        <v>2634</v>
      </c>
      <c r="B1006" s="3">
        <v>45630</v>
      </c>
      <c r="C1006">
        <v>1200</v>
      </c>
      <c r="D1006" s="1">
        <v>38597.79</v>
      </c>
      <c r="E1006" s="1">
        <v>0</v>
      </c>
      <c r="F1006" t="s">
        <v>2635</v>
      </c>
      <c r="G1006" t="str">
        <f>_xlfn.XLOOKUP(C1006,tblCOA[AccountNo],tblCOA[AccountName],"Unmapped")</f>
        <v>Accounts Receivable</v>
      </c>
      <c r="H1006" t="str">
        <f>_xlfn.XLOOKUP(C1006,tblCOA[AccountNo],tblCOA[Category],"Unmapped")</f>
        <v>Assets</v>
      </c>
      <c r="I1006" s="4">
        <f t="shared" si="45"/>
        <v>38597.79</v>
      </c>
      <c r="J1006">
        <f t="shared" si="46"/>
        <v>2024</v>
      </c>
      <c r="K1006" s="5">
        <f t="shared" si="47"/>
        <v>45627</v>
      </c>
    </row>
    <row r="1007" spans="1:11" x14ac:dyDescent="0.25">
      <c r="A1007" t="s">
        <v>2636</v>
      </c>
      <c r="B1007" s="3">
        <v>45630</v>
      </c>
      <c r="C1007">
        <v>4010</v>
      </c>
      <c r="D1007" s="1">
        <v>0</v>
      </c>
      <c r="E1007" s="1">
        <v>38597.79</v>
      </c>
      <c r="F1007" t="s">
        <v>2637</v>
      </c>
      <c r="G1007" t="str">
        <f>_xlfn.XLOOKUP(C1007,tblCOA[AccountNo],tblCOA[AccountName],"Unmapped")</f>
        <v>Product Sales</v>
      </c>
      <c r="H1007" t="str">
        <f>_xlfn.XLOOKUP(C1007,tblCOA[AccountNo],tblCOA[Category],"Unmapped")</f>
        <v>Revenue</v>
      </c>
      <c r="I1007" s="4">
        <f t="shared" si="45"/>
        <v>-38597.79</v>
      </c>
      <c r="J1007">
        <f t="shared" si="46"/>
        <v>2024</v>
      </c>
      <c r="K1007" s="5">
        <f t="shared" si="47"/>
        <v>45627</v>
      </c>
    </row>
    <row r="1008" spans="1:11" x14ac:dyDescent="0.25">
      <c r="A1008" t="s">
        <v>90</v>
      </c>
      <c r="B1008" s="3">
        <v>45633</v>
      </c>
      <c r="C1008">
        <v>1200</v>
      </c>
      <c r="D1008" s="1">
        <v>12755.27</v>
      </c>
      <c r="E1008" s="1">
        <v>0</v>
      </c>
      <c r="F1008" t="s">
        <v>91</v>
      </c>
      <c r="G1008" t="str">
        <f>_xlfn.XLOOKUP(C1008,tblCOA[AccountNo],tblCOA[AccountName],"Unmapped")</f>
        <v>Accounts Receivable</v>
      </c>
      <c r="H1008" t="str">
        <f>_xlfn.XLOOKUP(C1008,tblCOA[AccountNo],tblCOA[Category],"Unmapped")</f>
        <v>Assets</v>
      </c>
      <c r="I1008" s="4">
        <f t="shared" si="45"/>
        <v>12755.27</v>
      </c>
      <c r="J1008">
        <f t="shared" si="46"/>
        <v>2024</v>
      </c>
      <c r="K1008" s="5">
        <f t="shared" si="47"/>
        <v>45627</v>
      </c>
    </row>
    <row r="1009" spans="1:11" x14ac:dyDescent="0.25">
      <c r="A1009" t="s">
        <v>92</v>
      </c>
      <c r="B1009" s="3">
        <v>45633</v>
      </c>
      <c r="C1009">
        <v>4010</v>
      </c>
      <c r="D1009" s="1">
        <v>0</v>
      </c>
      <c r="E1009" s="1">
        <v>12755.27</v>
      </c>
      <c r="F1009" t="s">
        <v>93</v>
      </c>
      <c r="G1009" t="str">
        <f>_xlfn.XLOOKUP(C1009,tblCOA[AccountNo],tblCOA[AccountName],"Unmapped")</f>
        <v>Product Sales</v>
      </c>
      <c r="H1009" t="str">
        <f>_xlfn.XLOOKUP(C1009,tblCOA[AccountNo],tblCOA[Category],"Unmapped")</f>
        <v>Revenue</v>
      </c>
      <c r="I1009" s="4">
        <f t="shared" si="45"/>
        <v>-12755.27</v>
      </c>
      <c r="J1009">
        <f t="shared" si="46"/>
        <v>2024</v>
      </c>
      <c r="K1009" s="5">
        <f t="shared" si="47"/>
        <v>45627</v>
      </c>
    </row>
    <row r="1010" spans="1:11" x14ac:dyDescent="0.25">
      <c r="A1010" t="s">
        <v>2570</v>
      </c>
      <c r="B1010" s="3">
        <v>45634</v>
      </c>
      <c r="C1010">
        <v>1200</v>
      </c>
      <c r="D1010" s="1">
        <v>19805.98</v>
      </c>
      <c r="E1010" s="1">
        <v>0</v>
      </c>
      <c r="F1010" t="s">
        <v>2571</v>
      </c>
      <c r="G1010" t="str">
        <f>_xlfn.XLOOKUP(C1010,tblCOA[AccountNo],tblCOA[AccountName],"Unmapped")</f>
        <v>Accounts Receivable</v>
      </c>
      <c r="H1010" t="str">
        <f>_xlfn.XLOOKUP(C1010,tblCOA[AccountNo],tblCOA[Category],"Unmapped")</f>
        <v>Assets</v>
      </c>
      <c r="I1010" s="4">
        <f t="shared" si="45"/>
        <v>19805.98</v>
      </c>
      <c r="J1010">
        <f t="shared" si="46"/>
        <v>2024</v>
      </c>
      <c r="K1010" s="5">
        <f t="shared" si="47"/>
        <v>45627</v>
      </c>
    </row>
    <row r="1011" spans="1:11" x14ac:dyDescent="0.25">
      <c r="A1011" t="s">
        <v>2572</v>
      </c>
      <c r="B1011" s="3">
        <v>45634</v>
      </c>
      <c r="C1011">
        <v>4010</v>
      </c>
      <c r="D1011" s="1">
        <v>0</v>
      </c>
      <c r="E1011" s="1">
        <v>19805.98</v>
      </c>
      <c r="F1011" t="s">
        <v>2573</v>
      </c>
      <c r="G1011" t="str">
        <f>_xlfn.XLOOKUP(C1011,tblCOA[AccountNo],tblCOA[AccountName],"Unmapped")</f>
        <v>Product Sales</v>
      </c>
      <c r="H1011" t="str">
        <f>_xlfn.XLOOKUP(C1011,tblCOA[AccountNo],tblCOA[Category],"Unmapped")</f>
        <v>Revenue</v>
      </c>
      <c r="I1011" s="4">
        <f t="shared" si="45"/>
        <v>-19805.98</v>
      </c>
      <c r="J1011">
        <f t="shared" si="46"/>
        <v>2024</v>
      </c>
      <c r="K1011" s="5">
        <f t="shared" si="47"/>
        <v>45627</v>
      </c>
    </row>
    <row r="1012" spans="1:11" x14ac:dyDescent="0.25">
      <c r="A1012" t="s">
        <v>886</v>
      </c>
      <c r="B1012" s="3">
        <v>45634</v>
      </c>
      <c r="C1012">
        <v>5010</v>
      </c>
      <c r="D1012" s="1">
        <v>17463.88</v>
      </c>
      <c r="E1012" s="1">
        <v>0</v>
      </c>
      <c r="F1012" t="s">
        <v>887</v>
      </c>
      <c r="G1012" t="str">
        <f>_xlfn.XLOOKUP(C1012,tblCOA[AccountNo],tblCOA[AccountName],"Unmapped")</f>
        <v>Cost of Goods Sold</v>
      </c>
      <c r="H1012" t="str">
        <f>_xlfn.XLOOKUP(C1012,tblCOA[AccountNo],tblCOA[Category],"Unmapped")</f>
        <v>Expenses</v>
      </c>
      <c r="I1012" s="4">
        <f t="shared" si="45"/>
        <v>17463.88</v>
      </c>
      <c r="J1012">
        <f t="shared" si="46"/>
        <v>2024</v>
      </c>
      <c r="K1012" s="5">
        <f t="shared" si="47"/>
        <v>45627</v>
      </c>
    </row>
    <row r="1013" spans="1:11" x14ac:dyDescent="0.25">
      <c r="A1013" t="s">
        <v>888</v>
      </c>
      <c r="B1013" s="3">
        <v>45634</v>
      </c>
      <c r="C1013">
        <v>2010</v>
      </c>
      <c r="D1013" s="1">
        <v>0</v>
      </c>
      <c r="E1013" s="1">
        <v>17463.88</v>
      </c>
      <c r="F1013" t="s">
        <v>889</v>
      </c>
      <c r="G1013" t="str">
        <f>_xlfn.XLOOKUP(C1013,tblCOA[AccountNo],tblCOA[AccountName],"Unmapped")</f>
        <v>Accounts Payable</v>
      </c>
      <c r="H1013" t="str">
        <f>_xlfn.XLOOKUP(C1013,tblCOA[AccountNo],tblCOA[Category],"Unmapped")</f>
        <v>Liabilities</v>
      </c>
      <c r="I1013" s="4">
        <f t="shared" si="45"/>
        <v>-17463.88</v>
      </c>
      <c r="J1013">
        <f t="shared" si="46"/>
        <v>2024</v>
      </c>
      <c r="K1013" s="5">
        <f t="shared" si="47"/>
        <v>45627</v>
      </c>
    </row>
    <row r="1014" spans="1:11" x14ac:dyDescent="0.25">
      <c r="A1014" t="s">
        <v>1438</v>
      </c>
      <c r="B1014" s="3">
        <v>45634</v>
      </c>
      <c r="C1014">
        <v>5010</v>
      </c>
      <c r="D1014" s="1">
        <v>14524.55</v>
      </c>
      <c r="E1014" s="1">
        <v>0</v>
      </c>
      <c r="F1014" t="s">
        <v>1439</v>
      </c>
      <c r="G1014" t="str">
        <f>_xlfn.XLOOKUP(C1014,tblCOA[AccountNo],tblCOA[AccountName],"Unmapped")</f>
        <v>Cost of Goods Sold</v>
      </c>
      <c r="H1014" t="str">
        <f>_xlfn.XLOOKUP(C1014,tblCOA[AccountNo],tblCOA[Category],"Unmapped")</f>
        <v>Expenses</v>
      </c>
      <c r="I1014" s="4">
        <f t="shared" si="45"/>
        <v>14524.55</v>
      </c>
      <c r="J1014">
        <f t="shared" si="46"/>
        <v>2024</v>
      </c>
      <c r="K1014" s="5">
        <f t="shared" si="47"/>
        <v>45627</v>
      </c>
    </row>
    <row r="1015" spans="1:11" x14ac:dyDescent="0.25">
      <c r="A1015" t="s">
        <v>1440</v>
      </c>
      <c r="B1015" s="3">
        <v>45634</v>
      </c>
      <c r="C1015">
        <v>2010</v>
      </c>
      <c r="D1015" s="1">
        <v>0</v>
      </c>
      <c r="E1015" s="1">
        <v>14524.55</v>
      </c>
      <c r="F1015" t="s">
        <v>1441</v>
      </c>
      <c r="G1015" t="str">
        <f>_xlfn.XLOOKUP(C1015,tblCOA[AccountNo],tblCOA[AccountName],"Unmapped")</f>
        <v>Accounts Payable</v>
      </c>
      <c r="H1015" t="str">
        <f>_xlfn.XLOOKUP(C1015,tblCOA[AccountNo],tblCOA[Category],"Unmapped")</f>
        <v>Liabilities</v>
      </c>
      <c r="I1015" s="4">
        <f t="shared" si="45"/>
        <v>-14524.55</v>
      </c>
      <c r="J1015">
        <f t="shared" si="46"/>
        <v>2024</v>
      </c>
      <c r="K1015" s="5">
        <f t="shared" si="47"/>
        <v>45627</v>
      </c>
    </row>
    <row r="1016" spans="1:11" x14ac:dyDescent="0.25">
      <c r="A1016" t="s">
        <v>906</v>
      </c>
      <c r="B1016" s="3">
        <v>45637</v>
      </c>
      <c r="C1016">
        <v>1200</v>
      </c>
      <c r="D1016" s="1">
        <v>5973.02</v>
      </c>
      <c r="E1016" s="1">
        <v>0</v>
      </c>
      <c r="F1016" t="s">
        <v>907</v>
      </c>
      <c r="G1016" t="str">
        <f>_xlfn.XLOOKUP(C1016,tblCOA[AccountNo],tblCOA[AccountName],"Unmapped")</f>
        <v>Accounts Receivable</v>
      </c>
      <c r="H1016" t="str">
        <f>_xlfn.XLOOKUP(C1016,tblCOA[AccountNo],tblCOA[Category],"Unmapped")</f>
        <v>Assets</v>
      </c>
      <c r="I1016" s="4">
        <f t="shared" si="45"/>
        <v>5973.02</v>
      </c>
      <c r="J1016">
        <f t="shared" si="46"/>
        <v>2024</v>
      </c>
      <c r="K1016" s="5">
        <f t="shared" si="47"/>
        <v>45627</v>
      </c>
    </row>
    <row r="1017" spans="1:11" x14ac:dyDescent="0.25">
      <c r="A1017" t="s">
        <v>908</v>
      </c>
      <c r="B1017" s="3">
        <v>45637</v>
      </c>
      <c r="C1017">
        <v>4010</v>
      </c>
      <c r="D1017" s="1">
        <v>0</v>
      </c>
      <c r="E1017" s="1">
        <v>5973.02</v>
      </c>
      <c r="F1017" t="s">
        <v>909</v>
      </c>
      <c r="G1017" t="str">
        <f>_xlfn.XLOOKUP(C1017,tblCOA[AccountNo],tblCOA[AccountName],"Unmapped")</f>
        <v>Product Sales</v>
      </c>
      <c r="H1017" t="str">
        <f>_xlfn.XLOOKUP(C1017,tblCOA[AccountNo],tblCOA[Category],"Unmapped")</f>
        <v>Revenue</v>
      </c>
      <c r="I1017" s="4">
        <f t="shared" si="45"/>
        <v>-5973.02</v>
      </c>
      <c r="J1017">
        <f t="shared" si="46"/>
        <v>2024</v>
      </c>
      <c r="K1017" s="5">
        <f t="shared" si="47"/>
        <v>45627</v>
      </c>
    </row>
    <row r="1018" spans="1:11" x14ac:dyDescent="0.25">
      <c r="A1018" t="s">
        <v>2214</v>
      </c>
      <c r="B1018" s="3">
        <v>45638</v>
      </c>
      <c r="C1018">
        <v>5010</v>
      </c>
      <c r="D1018" s="1">
        <v>10715.5</v>
      </c>
      <c r="E1018" s="1">
        <v>0</v>
      </c>
      <c r="F1018" t="s">
        <v>2215</v>
      </c>
      <c r="G1018" t="str">
        <f>_xlfn.XLOOKUP(C1018,tblCOA[AccountNo],tblCOA[AccountName],"Unmapped")</f>
        <v>Cost of Goods Sold</v>
      </c>
      <c r="H1018" t="str">
        <f>_xlfn.XLOOKUP(C1018,tblCOA[AccountNo],tblCOA[Category],"Unmapped")</f>
        <v>Expenses</v>
      </c>
      <c r="I1018" s="4">
        <f t="shared" si="45"/>
        <v>10715.5</v>
      </c>
      <c r="J1018">
        <f t="shared" si="46"/>
        <v>2024</v>
      </c>
      <c r="K1018" s="5">
        <f t="shared" si="47"/>
        <v>45627</v>
      </c>
    </row>
    <row r="1019" spans="1:11" x14ac:dyDescent="0.25">
      <c r="A1019" t="s">
        <v>2216</v>
      </c>
      <c r="B1019" s="3">
        <v>45638</v>
      </c>
      <c r="C1019">
        <v>2010</v>
      </c>
      <c r="D1019" s="1">
        <v>0</v>
      </c>
      <c r="E1019" s="1">
        <v>10715.5</v>
      </c>
      <c r="F1019" t="s">
        <v>2217</v>
      </c>
      <c r="G1019" t="str">
        <f>_xlfn.XLOOKUP(C1019,tblCOA[AccountNo],tblCOA[AccountName],"Unmapped")</f>
        <v>Accounts Payable</v>
      </c>
      <c r="H1019" t="str">
        <f>_xlfn.XLOOKUP(C1019,tblCOA[AccountNo],tblCOA[Category],"Unmapped")</f>
        <v>Liabilities</v>
      </c>
      <c r="I1019" s="4">
        <f t="shared" si="45"/>
        <v>-10715.5</v>
      </c>
      <c r="J1019">
        <f t="shared" si="46"/>
        <v>2024</v>
      </c>
      <c r="K1019" s="5">
        <f t="shared" si="47"/>
        <v>45627</v>
      </c>
    </row>
    <row r="1020" spans="1:11" x14ac:dyDescent="0.25">
      <c r="A1020" t="s">
        <v>1402</v>
      </c>
      <c r="B1020" s="3">
        <v>45638</v>
      </c>
      <c r="C1020">
        <v>1200</v>
      </c>
      <c r="D1020" s="1">
        <v>39428.67</v>
      </c>
      <c r="E1020" s="1">
        <v>0</v>
      </c>
      <c r="F1020" t="s">
        <v>1403</v>
      </c>
      <c r="G1020" t="str">
        <f>_xlfn.XLOOKUP(C1020,tblCOA[AccountNo],tblCOA[AccountName],"Unmapped")</f>
        <v>Accounts Receivable</v>
      </c>
      <c r="H1020" t="str">
        <f>_xlfn.XLOOKUP(C1020,tblCOA[AccountNo],tblCOA[Category],"Unmapped")</f>
        <v>Assets</v>
      </c>
      <c r="I1020" s="4">
        <f t="shared" si="45"/>
        <v>39428.67</v>
      </c>
      <c r="J1020">
        <f t="shared" si="46"/>
        <v>2024</v>
      </c>
      <c r="K1020" s="5">
        <f t="shared" si="47"/>
        <v>45627</v>
      </c>
    </row>
    <row r="1021" spans="1:11" x14ac:dyDescent="0.25">
      <c r="A1021" t="s">
        <v>1404</v>
      </c>
      <c r="B1021" s="3">
        <v>45638</v>
      </c>
      <c r="C1021">
        <v>4010</v>
      </c>
      <c r="D1021" s="1">
        <v>0</v>
      </c>
      <c r="E1021" s="1">
        <v>39428.67</v>
      </c>
      <c r="F1021" t="s">
        <v>1405</v>
      </c>
      <c r="G1021" t="str">
        <f>_xlfn.XLOOKUP(C1021,tblCOA[AccountNo],tblCOA[AccountName],"Unmapped")</f>
        <v>Product Sales</v>
      </c>
      <c r="H1021" t="str">
        <f>_xlfn.XLOOKUP(C1021,tblCOA[AccountNo],tblCOA[Category],"Unmapped")</f>
        <v>Revenue</v>
      </c>
      <c r="I1021" s="4">
        <f t="shared" si="45"/>
        <v>-39428.67</v>
      </c>
      <c r="J1021">
        <f t="shared" si="46"/>
        <v>2024</v>
      </c>
      <c r="K1021" s="5">
        <f t="shared" si="47"/>
        <v>45627</v>
      </c>
    </row>
    <row r="1022" spans="1:11" x14ac:dyDescent="0.25">
      <c r="A1022" t="s">
        <v>1514</v>
      </c>
      <c r="B1022" s="3">
        <v>45638</v>
      </c>
      <c r="C1022">
        <v>1200</v>
      </c>
      <c r="D1022" s="1">
        <v>3470.44</v>
      </c>
      <c r="E1022" s="1">
        <v>0</v>
      </c>
      <c r="F1022" t="s">
        <v>1515</v>
      </c>
      <c r="G1022" t="str">
        <f>_xlfn.XLOOKUP(C1022,tblCOA[AccountNo],tblCOA[AccountName],"Unmapped")</f>
        <v>Accounts Receivable</v>
      </c>
      <c r="H1022" t="str">
        <f>_xlfn.XLOOKUP(C1022,tblCOA[AccountNo],tblCOA[Category],"Unmapped")</f>
        <v>Assets</v>
      </c>
      <c r="I1022" s="4">
        <f t="shared" si="45"/>
        <v>3470.44</v>
      </c>
      <c r="J1022">
        <f t="shared" si="46"/>
        <v>2024</v>
      </c>
      <c r="K1022" s="5">
        <f t="shared" si="47"/>
        <v>45627</v>
      </c>
    </row>
    <row r="1023" spans="1:11" x14ac:dyDescent="0.25">
      <c r="A1023" t="s">
        <v>1516</v>
      </c>
      <c r="B1023" s="3">
        <v>45638</v>
      </c>
      <c r="C1023">
        <v>4010</v>
      </c>
      <c r="D1023" s="1">
        <v>0</v>
      </c>
      <c r="E1023" s="1">
        <v>3470.44</v>
      </c>
      <c r="F1023" t="s">
        <v>1517</v>
      </c>
      <c r="G1023" t="str">
        <f>_xlfn.XLOOKUP(C1023,tblCOA[AccountNo],tblCOA[AccountName],"Unmapped")</f>
        <v>Product Sales</v>
      </c>
      <c r="H1023" t="str">
        <f>_xlfn.XLOOKUP(C1023,tblCOA[AccountNo],tblCOA[Category],"Unmapped")</f>
        <v>Revenue</v>
      </c>
      <c r="I1023" s="4">
        <f t="shared" si="45"/>
        <v>-3470.44</v>
      </c>
      <c r="J1023">
        <f t="shared" si="46"/>
        <v>2024</v>
      </c>
      <c r="K1023" s="5">
        <f t="shared" si="47"/>
        <v>45627</v>
      </c>
    </row>
    <row r="1024" spans="1:11" x14ac:dyDescent="0.25">
      <c r="A1024" t="s">
        <v>846</v>
      </c>
      <c r="B1024" s="3">
        <v>45640</v>
      </c>
      <c r="C1024">
        <v>5010</v>
      </c>
      <c r="D1024" s="1">
        <v>8460.7000000000007</v>
      </c>
      <c r="E1024" s="1">
        <v>0</v>
      </c>
      <c r="F1024" t="s">
        <v>847</v>
      </c>
      <c r="G1024" t="str">
        <f>_xlfn.XLOOKUP(C1024,tblCOA[AccountNo],tblCOA[AccountName],"Unmapped")</f>
        <v>Cost of Goods Sold</v>
      </c>
      <c r="H1024" t="str">
        <f>_xlfn.XLOOKUP(C1024,tblCOA[AccountNo],tblCOA[Category],"Unmapped")</f>
        <v>Expenses</v>
      </c>
      <c r="I1024" s="4">
        <f t="shared" si="45"/>
        <v>8460.7000000000007</v>
      </c>
      <c r="J1024">
        <f t="shared" si="46"/>
        <v>2024</v>
      </c>
      <c r="K1024" s="5">
        <f t="shared" si="47"/>
        <v>45627</v>
      </c>
    </row>
    <row r="1025" spans="1:11" x14ac:dyDescent="0.25">
      <c r="A1025" t="s">
        <v>848</v>
      </c>
      <c r="B1025" s="3">
        <v>45640</v>
      </c>
      <c r="C1025">
        <v>2010</v>
      </c>
      <c r="D1025" s="1">
        <v>0</v>
      </c>
      <c r="E1025" s="1">
        <v>8460.7000000000007</v>
      </c>
      <c r="F1025" t="s">
        <v>849</v>
      </c>
      <c r="G1025" t="str">
        <f>_xlfn.XLOOKUP(C1025,tblCOA[AccountNo],tblCOA[AccountName],"Unmapped")</f>
        <v>Accounts Payable</v>
      </c>
      <c r="H1025" t="str">
        <f>_xlfn.XLOOKUP(C1025,tblCOA[AccountNo],tblCOA[Category],"Unmapped")</f>
        <v>Liabilities</v>
      </c>
      <c r="I1025" s="4">
        <f t="shared" si="45"/>
        <v>-8460.7000000000007</v>
      </c>
      <c r="J1025">
        <f t="shared" si="46"/>
        <v>2024</v>
      </c>
      <c r="K1025" s="5">
        <f t="shared" si="47"/>
        <v>45627</v>
      </c>
    </row>
    <row r="1026" spans="1:11" x14ac:dyDescent="0.25">
      <c r="A1026" t="s">
        <v>2282</v>
      </c>
      <c r="B1026" s="3">
        <v>45642</v>
      </c>
      <c r="C1026">
        <v>1200</v>
      </c>
      <c r="D1026" s="1">
        <v>9202.68</v>
      </c>
      <c r="E1026" s="1">
        <v>0</v>
      </c>
      <c r="F1026" t="s">
        <v>2283</v>
      </c>
      <c r="G1026" t="str">
        <f>_xlfn.XLOOKUP(C1026,tblCOA[AccountNo],tblCOA[AccountName],"Unmapped")</f>
        <v>Accounts Receivable</v>
      </c>
      <c r="H1026" t="str">
        <f>_xlfn.XLOOKUP(C1026,tblCOA[AccountNo],tblCOA[Category],"Unmapped")</f>
        <v>Assets</v>
      </c>
      <c r="I1026" s="4">
        <f t="shared" ref="I1026:I1089" si="48">D1026-E1026</f>
        <v>9202.68</v>
      </c>
      <c r="J1026">
        <f t="shared" ref="J1026:J1089" si="49">YEAR(B1026)</f>
        <v>2024</v>
      </c>
      <c r="K1026" s="5">
        <f t="shared" ref="K1026:K1089" si="50">DATE(YEAR(B1026),MONTH(B1026),1)</f>
        <v>45627</v>
      </c>
    </row>
    <row r="1027" spans="1:11" x14ac:dyDescent="0.25">
      <c r="A1027" t="s">
        <v>2284</v>
      </c>
      <c r="B1027" s="3">
        <v>45642</v>
      </c>
      <c r="C1027">
        <v>4010</v>
      </c>
      <c r="D1027" s="1">
        <v>0</v>
      </c>
      <c r="E1027" s="1">
        <v>9202.68</v>
      </c>
      <c r="F1027" t="s">
        <v>2285</v>
      </c>
      <c r="G1027" t="str">
        <f>_xlfn.XLOOKUP(C1027,tblCOA[AccountNo],tblCOA[AccountName],"Unmapped")</f>
        <v>Product Sales</v>
      </c>
      <c r="H1027" t="str">
        <f>_xlfn.XLOOKUP(C1027,tblCOA[AccountNo],tblCOA[Category],"Unmapped")</f>
        <v>Revenue</v>
      </c>
      <c r="I1027" s="4">
        <f t="shared" si="48"/>
        <v>-9202.68</v>
      </c>
      <c r="J1027">
        <f t="shared" si="49"/>
        <v>2024</v>
      </c>
      <c r="K1027" s="5">
        <f t="shared" si="50"/>
        <v>45627</v>
      </c>
    </row>
    <row r="1028" spans="1:11" x14ac:dyDescent="0.25">
      <c r="A1028" t="s">
        <v>2014</v>
      </c>
      <c r="B1028" s="3">
        <v>45646</v>
      </c>
      <c r="C1028">
        <v>5010</v>
      </c>
      <c r="D1028" s="1">
        <v>2144.56</v>
      </c>
      <c r="E1028" s="1">
        <v>0</v>
      </c>
      <c r="F1028" t="s">
        <v>2015</v>
      </c>
      <c r="G1028" t="str">
        <f>_xlfn.XLOOKUP(C1028,tblCOA[AccountNo],tblCOA[AccountName],"Unmapped")</f>
        <v>Cost of Goods Sold</v>
      </c>
      <c r="H1028" t="str">
        <f>_xlfn.XLOOKUP(C1028,tblCOA[AccountNo],tblCOA[Category],"Unmapped")</f>
        <v>Expenses</v>
      </c>
      <c r="I1028" s="4">
        <f t="shared" si="48"/>
        <v>2144.56</v>
      </c>
      <c r="J1028">
        <f t="shared" si="49"/>
        <v>2024</v>
      </c>
      <c r="K1028" s="5">
        <f t="shared" si="50"/>
        <v>45627</v>
      </c>
    </row>
    <row r="1029" spans="1:11" x14ac:dyDescent="0.25">
      <c r="A1029" t="s">
        <v>2016</v>
      </c>
      <c r="B1029" s="3">
        <v>45646</v>
      </c>
      <c r="C1029">
        <v>2010</v>
      </c>
      <c r="D1029" s="1">
        <v>0</v>
      </c>
      <c r="E1029" s="1">
        <v>2144.56</v>
      </c>
      <c r="F1029" t="s">
        <v>2017</v>
      </c>
      <c r="G1029" t="str">
        <f>_xlfn.XLOOKUP(C1029,tblCOA[AccountNo],tblCOA[AccountName],"Unmapped")</f>
        <v>Accounts Payable</v>
      </c>
      <c r="H1029" t="str">
        <f>_xlfn.XLOOKUP(C1029,tblCOA[AccountNo],tblCOA[Category],"Unmapped")</f>
        <v>Liabilities</v>
      </c>
      <c r="I1029" s="4">
        <f t="shared" si="48"/>
        <v>-2144.56</v>
      </c>
      <c r="J1029">
        <f t="shared" si="49"/>
        <v>2024</v>
      </c>
      <c r="K1029" s="5">
        <f t="shared" si="50"/>
        <v>45627</v>
      </c>
    </row>
    <row r="1030" spans="1:11" x14ac:dyDescent="0.25">
      <c r="A1030" t="s">
        <v>2034</v>
      </c>
      <c r="B1030" s="3">
        <v>45648</v>
      </c>
      <c r="C1030">
        <v>1200</v>
      </c>
      <c r="D1030" s="1">
        <v>4337.51</v>
      </c>
      <c r="E1030" s="1">
        <v>0</v>
      </c>
      <c r="F1030" t="s">
        <v>2035</v>
      </c>
      <c r="G1030" t="str">
        <f>_xlfn.XLOOKUP(C1030,tblCOA[AccountNo],tblCOA[AccountName],"Unmapped")</f>
        <v>Accounts Receivable</v>
      </c>
      <c r="H1030" t="str">
        <f>_xlfn.XLOOKUP(C1030,tblCOA[AccountNo],tblCOA[Category],"Unmapped")</f>
        <v>Assets</v>
      </c>
      <c r="I1030" s="4">
        <f t="shared" si="48"/>
        <v>4337.51</v>
      </c>
      <c r="J1030">
        <f t="shared" si="49"/>
        <v>2024</v>
      </c>
      <c r="K1030" s="5">
        <f t="shared" si="50"/>
        <v>45627</v>
      </c>
    </row>
    <row r="1031" spans="1:11" x14ac:dyDescent="0.25">
      <c r="A1031" t="s">
        <v>2036</v>
      </c>
      <c r="B1031" s="3">
        <v>45648</v>
      </c>
      <c r="C1031">
        <v>4010</v>
      </c>
      <c r="D1031" s="1">
        <v>0</v>
      </c>
      <c r="E1031" s="1">
        <v>4337.51</v>
      </c>
      <c r="F1031" t="s">
        <v>2037</v>
      </c>
      <c r="G1031" t="str">
        <f>_xlfn.XLOOKUP(C1031,tblCOA[AccountNo],tblCOA[AccountName],"Unmapped")</f>
        <v>Product Sales</v>
      </c>
      <c r="H1031" t="str">
        <f>_xlfn.XLOOKUP(C1031,tblCOA[AccountNo],tblCOA[Category],"Unmapped")</f>
        <v>Revenue</v>
      </c>
      <c r="I1031" s="4">
        <f t="shared" si="48"/>
        <v>-4337.51</v>
      </c>
      <c r="J1031">
        <f t="shared" si="49"/>
        <v>2024</v>
      </c>
      <c r="K1031" s="5">
        <f t="shared" si="50"/>
        <v>45627</v>
      </c>
    </row>
    <row r="1032" spans="1:11" x14ac:dyDescent="0.25">
      <c r="A1032" t="s">
        <v>2158</v>
      </c>
      <c r="B1032" s="3">
        <v>45650</v>
      </c>
      <c r="C1032">
        <v>5010</v>
      </c>
      <c r="D1032" s="1">
        <v>18958.43</v>
      </c>
      <c r="E1032" s="1">
        <v>0</v>
      </c>
      <c r="F1032" t="s">
        <v>2159</v>
      </c>
      <c r="G1032" t="str">
        <f>_xlfn.XLOOKUP(C1032,tblCOA[AccountNo],tblCOA[AccountName],"Unmapped")</f>
        <v>Cost of Goods Sold</v>
      </c>
      <c r="H1032" t="str">
        <f>_xlfn.XLOOKUP(C1032,tblCOA[AccountNo],tblCOA[Category],"Unmapped")</f>
        <v>Expenses</v>
      </c>
      <c r="I1032" s="4">
        <f t="shared" si="48"/>
        <v>18958.43</v>
      </c>
      <c r="J1032">
        <f t="shared" si="49"/>
        <v>2024</v>
      </c>
      <c r="K1032" s="5">
        <f t="shared" si="50"/>
        <v>45627</v>
      </c>
    </row>
    <row r="1033" spans="1:11" x14ac:dyDescent="0.25">
      <c r="A1033" t="s">
        <v>2160</v>
      </c>
      <c r="B1033" s="3">
        <v>45650</v>
      </c>
      <c r="C1033">
        <v>2010</v>
      </c>
      <c r="D1033" s="1">
        <v>0</v>
      </c>
      <c r="E1033" s="1">
        <v>18958.43</v>
      </c>
      <c r="F1033" t="s">
        <v>2161</v>
      </c>
      <c r="G1033" t="str">
        <f>_xlfn.XLOOKUP(C1033,tblCOA[AccountNo],tblCOA[AccountName],"Unmapped")</f>
        <v>Accounts Payable</v>
      </c>
      <c r="H1033" t="str">
        <f>_xlfn.XLOOKUP(C1033,tblCOA[AccountNo],tblCOA[Category],"Unmapped")</f>
        <v>Liabilities</v>
      </c>
      <c r="I1033" s="4">
        <f t="shared" si="48"/>
        <v>-18958.43</v>
      </c>
      <c r="J1033">
        <f t="shared" si="49"/>
        <v>2024</v>
      </c>
      <c r="K1033" s="5">
        <f t="shared" si="50"/>
        <v>45627</v>
      </c>
    </row>
    <row r="1034" spans="1:11" x14ac:dyDescent="0.25">
      <c r="A1034" t="s">
        <v>2258</v>
      </c>
      <c r="B1034" s="3">
        <v>45650</v>
      </c>
      <c r="C1034">
        <v>1200</v>
      </c>
      <c r="D1034" s="1">
        <v>12873.25</v>
      </c>
      <c r="E1034" s="1">
        <v>0</v>
      </c>
      <c r="F1034" t="s">
        <v>2259</v>
      </c>
      <c r="G1034" t="str">
        <f>_xlfn.XLOOKUP(C1034,tblCOA[AccountNo],tblCOA[AccountName],"Unmapped")</f>
        <v>Accounts Receivable</v>
      </c>
      <c r="H1034" t="str">
        <f>_xlfn.XLOOKUP(C1034,tblCOA[AccountNo],tblCOA[Category],"Unmapped")</f>
        <v>Assets</v>
      </c>
      <c r="I1034" s="4">
        <f t="shared" si="48"/>
        <v>12873.25</v>
      </c>
      <c r="J1034">
        <f t="shared" si="49"/>
        <v>2024</v>
      </c>
      <c r="K1034" s="5">
        <f t="shared" si="50"/>
        <v>45627</v>
      </c>
    </row>
    <row r="1035" spans="1:11" x14ac:dyDescent="0.25">
      <c r="A1035" t="s">
        <v>2260</v>
      </c>
      <c r="B1035" s="3">
        <v>45650</v>
      </c>
      <c r="C1035">
        <v>4010</v>
      </c>
      <c r="D1035" s="1">
        <v>0</v>
      </c>
      <c r="E1035" s="1">
        <v>12873.25</v>
      </c>
      <c r="F1035" t="s">
        <v>2261</v>
      </c>
      <c r="G1035" t="str">
        <f>_xlfn.XLOOKUP(C1035,tblCOA[AccountNo],tblCOA[AccountName],"Unmapped")</f>
        <v>Product Sales</v>
      </c>
      <c r="H1035" t="str">
        <f>_xlfn.XLOOKUP(C1035,tblCOA[AccountNo],tblCOA[Category],"Unmapped")</f>
        <v>Revenue</v>
      </c>
      <c r="I1035" s="4">
        <f t="shared" si="48"/>
        <v>-12873.25</v>
      </c>
      <c r="J1035">
        <f t="shared" si="49"/>
        <v>2024</v>
      </c>
      <c r="K1035" s="5">
        <f t="shared" si="50"/>
        <v>45627</v>
      </c>
    </row>
    <row r="1036" spans="1:11" x14ac:dyDescent="0.25">
      <c r="A1036" t="s">
        <v>978</v>
      </c>
      <c r="B1036" s="3">
        <v>45652</v>
      </c>
      <c r="C1036">
        <v>1200</v>
      </c>
      <c r="D1036" s="1">
        <v>49705.04</v>
      </c>
      <c r="E1036" s="1">
        <v>0</v>
      </c>
      <c r="F1036" t="s">
        <v>979</v>
      </c>
      <c r="G1036" t="str">
        <f>_xlfn.XLOOKUP(C1036,tblCOA[AccountNo],tblCOA[AccountName],"Unmapped")</f>
        <v>Accounts Receivable</v>
      </c>
      <c r="H1036" t="str">
        <f>_xlfn.XLOOKUP(C1036,tblCOA[AccountNo],tblCOA[Category],"Unmapped")</f>
        <v>Assets</v>
      </c>
      <c r="I1036" s="4">
        <f t="shared" si="48"/>
        <v>49705.04</v>
      </c>
      <c r="J1036">
        <f t="shared" si="49"/>
        <v>2024</v>
      </c>
      <c r="K1036" s="5">
        <f t="shared" si="50"/>
        <v>45627</v>
      </c>
    </row>
    <row r="1037" spans="1:11" x14ac:dyDescent="0.25">
      <c r="A1037" t="s">
        <v>980</v>
      </c>
      <c r="B1037" s="3">
        <v>45652</v>
      </c>
      <c r="C1037">
        <v>4010</v>
      </c>
      <c r="D1037" s="1">
        <v>0</v>
      </c>
      <c r="E1037" s="1">
        <v>49705.04</v>
      </c>
      <c r="F1037" t="s">
        <v>981</v>
      </c>
      <c r="G1037" t="str">
        <f>_xlfn.XLOOKUP(C1037,tblCOA[AccountNo],tblCOA[AccountName],"Unmapped")</f>
        <v>Product Sales</v>
      </c>
      <c r="H1037" t="str">
        <f>_xlfn.XLOOKUP(C1037,tblCOA[AccountNo],tblCOA[Category],"Unmapped")</f>
        <v>Revenue</v>
      </c>
      <c r="I1037" s="4">
        <f t="shared" si="48"/>
        <v>-49705.04</v>
      </c>
      <c r="J1037">
        <f t="shared" si="49"/>
        <v>2024</v>
      </c>
      <c r="K1037" s="5">
        <f t="shared" si="50"/>
        <v>45627</v>
      </c>
    </row>
    <row r="1038" spans="1:11" x14ac:dyDescent="0.25">
      <c r="A1038" t="s">
        <v>438</v>
      </c>
      <c r="B1038" s="3">
        <v>45661</v>
      </c>
      <c r="C1038">
        <v>5010</v>
      </c>
      <c r="D1038" s="1">
        <v>4601.03</v>
      </c>
      <c r="E1038" s="1">
        <v>0</v>
      </c>
      <c r="F1038" t="s">
        <v>439</v>
      </c>
      <c r="G1038" t="str">
        <f>_xlfn.XLOOKUP(C1038,tblCOA[AccountNo],tblCOA[AccountName],"Unmapped")</f>
        <v>Cost of Goods Sold</v>
      </c>
      <c r="H1038" t="str">
        <f>_xlfn.XLOOKUP(C1038,tblCOA[AccountNo],tblCOA[Category],"Unmapped")</f>
        <v>Expenses</v>
      </c>
      <c r="I1038" s="4">
        <f t="shared" si="48"/>
        <v>4601.03</v>
      </c>
      <c r="J1038">
        <f t="shared" si="49"/>
        <v>2025</v>
      </c>
      <c r="K1038" s="5">
        <f t="shared" si="50"/>
        <v>45658</v>
      </c>
    </row>
    <row r="1039" spans="1:11" x14ac:dyDescent="0.25">
      <c r="A1039" t="s">
        <v>440</v>
      </c>
      <c r="B1039" s="3">
        <v>45661</v>
      </c>
      <c r="C1039">
        <v>2010</v>
      </c>
      <c r="D1039" s="1">
        <v>0</v>
      </c>
      <c r="E1039" s="1">
        <v>4601.03</v>
      </c>
      <c r="F1039" t="s">
        <v>441</v>
      </c>
      <c r="G1039" t="str">
        <f>_xlfn.XLOOKUP(C1039,tblCOA[AccountNo],tblCOA[AccountName],"Unmapped")</f>
        <v>Accounts Payable</v>
      </c>
      <c r="H1039" t="str">
        <f>_xlfn.XLOOKUP(C1039,tblCOA[AccountNo],tblCOA[Category],"Unmapped")</f>
        <v>Liabilities</v>
      </c>
      <c r="I1039" s="4">
        <f t="shared" si="48"/>
        <v>-4601.03</v>
      </c>
      <c r="J1039">
        <f t="shared" si="49"/>
        <v>2025</v>
      </c>
      <c r="K1039" s="5">
        <f t="shared" si="50"/>
        <v>45658</v>
      </c>
    </row>
    <row r="1040" spans="1:11" x14ac:dyDescent="0.25">
      <c r="A1040" t="s">
        <v>1942</v>
      </c>
      <c r="B1040" s="3">
        <v>45661</v>
      </c>
      <c r="C1040">
        <v>5010</v>
      </c>
      <c r="D1040" s="1">
        <v>6944.08</v>
      </c>
      <c r="E1040" s="1">
        <v>0</v>
      </c>
      <c r="F1040" t="s">
        <v>1943</v>
      </c>
      <c r="G1040" t="str">
        <f>_xlfn.XLOOKUP(C1040,tblCOA[AccountNo],tblCOA[AccountName],"Unmapped")</f>
        <v>Cost of Goods Sold</v>
      </c>
      <c r="H1040" t="str">
        <f>_xlfn.XLOOKUP(C1040,tblCOA[AccountNo],tblCOA[Category],"Unmapped")</f>
        <v>Expenses</v>
      </c>
      <c r="I1040" s="4">
        <f t="shared" si="48"/>
        <v>6944.08</v>
      </c>
      <c r="J1040">
        <f t="shared" si="49"/>
        <v>2025</v>
      </c>
      <c r="K1040" s="5">
        <f t="shared" si="50"/>
        <v>45658</v>
      </c>
    </row>
    <row r="1041" spans="1:11" x14ac:dyDescent="0.25">
      <c r="A1041" t="s">
        <v>1944</v>
      </c>
      <c r="B1041" s="3">
        <v>45661</v>
      </c>
      <c r="C1041">
        <v>2010</v>
      </c>
      <c r="D1041" s="1">
        <v>0</v>
      </c>
      <c r="E1041" s="1">
        <v>6944.08</v>
      </c>
      <c r="F1041" t="s">
        <v>1945</v>
      </c>
      <c r="G1041" t="str">
        <f>_xlfn.XLOOKUP(C1041,tblCOA[AccountNo],tblCOA[AccountName],"Unmapped")</f>
        <v>Accounts Payable</v>
      </c>
      <c r="H1041" t="str">
        <f>_xlfn.XLOOKUP(C1041,tblCOA[AccountNo],tblCOA[Category],"Unmapped")</f>
        <v>Liabilities</v>
      </c>
      <c r="I1041" s="4">
        <f t="shared" si="48"/>
        <v>-6944.08</v>
      </c>
      <c r="J1041">
        <f t="shared" si="49"/>
        <v>2025</v>
      </c>
      <c r="K1041" s="5">
        <f t="shared" si="50"/>
        <v>45658</v>
      </c>
    </row>
    <row r="1042" spans="1:11" x14ac:dyDescent="0.25">
      <c r="A1042" t="s">
        <v>3434</v>
      </c>
      <c r="B1042" s="3">
        <v>45662</v>
      </c>
      <c r="C1042">
        <v>1200</v>
      </c>
      <c r="D1042" s="1">
        <v>27560.92</v>
      </c>
      <c r="E1042" s="1">
        <v>0</v>
      </c>
      <c r="F1042" t="s">
        <v>3435</v>
      </c>
      <c r="G1042" t="str">
        <f>_xlfn.XLOOKUP(C1042,tblCOA[AccountNo],tblCOA[AccountName],"Unmapped")</f>
        <v>Accounts Receivable</v>
      </c>
      <c r="H1042" t="str">
        <f>_xlfn.XLOOKUP(C1042,tblCOA[AccountNo],tblCOA[Category],"Unmapped")</f>
        <v>Assets</v>
      </c>
      <c r="I1042" s="4">
        <f t="shared" si="48"/>
        <v>27560.92</v>
      </c>
      <c r="J1042">
        <f t="shared" si="49"/>
        <v>2025</v>
      </c>
      <c r="K1042" s="5">
        <f t="shared" si="50"/>
        <v>45658</v>
      </c>
    </row>
    <row r="1043" spans="1:11" x14ac:dyDescent="0.25">
      <c r="A1043" t="s">
        <v>3436</v>
      </c>
      <c r="B1043" s="3">
        <v>45662</v>
      </c>
      <c r="C1043">
        <v>4010</v>
      </c>
      <c r="D1043" s="1">
        <v>0</v>
      </c>
      <c r="E1043" s="1">
        <v>27560.92</v>
      </c>
      <c r="F1043" t="s">
        <v>3437</v>
      </c>
      <c r="G1043" t="str">
        <f>_xlfn.XLOOKUP(C1043,tblCOA[AccountNo],tblCOA[AccountName],"Unmapped")</f>
        <v>Product Sales</v>
      </c>
      <c r="H1043" t="str">
        <f>_xlfn.XLOOKUP(C1043,tblCOA[AccountNo],tblCOA[Category],"Unmapped")</f>
        <v>Revenue</v>
      </c>
      <c r="I1043" s="4">
        <f t="shared" si="48"/>
        <v>-27560.92</v>
      </c>
      <c r="J1043">
        <f t="shared" si="49"/>
        <v>2025</v>
      </c>
      <c r="K1043" s="5">
        <f t="shared" si="50"/>
        <v>45658</v>
      </c>
    </row>
    <row r="1044" spans="1:11" x14ac:dyDescent="0.25">
      <c r="A1044" t="s">
        <v>654</v>
      </c>
      <c r="B1044" s="3">
        <v>45662</v>
      </c>
      <c r="C1044">
        <v>5010</v>
      </c>
      <c r="D1044" s="1">
        <v>8410.65</v>
      </c>
      <c r="E1044" s="1">
        <v>0</v>
      </c>
      <c r="F1044" t="s">
        <v>655</v>
      </c>
      <c r="G1044" t="str">
        <f>_xlfn.XLOOKUP(C1044,tblCOA[AccountNo],tblCOA[AccountName],"Unmapped")</f>
        <v>Cost of Goods Sold</v>
      </c>
      <c r="H1044" t="str">
        <f>_xlfn.XLOOKUP(C1044,tblCOA[AccountNo],tblCOA[Category],"Unmapped")</f>
        <v>Expenses</v>
      </c>
      <c r="I1044" s="4">
        <f t="shared" si="48"/>
        <v>8410.65</v>
      </c>
      <c r="J1044">
        <f t="shared" si="49"/>
        <v>2025</v>
      </c>
      <c r="K1044" s="5">
        <f t="shared" si="50"/>
        <v>45658</v>
      </c>
    </row>
    <row r="1045" spans="1:11" x14ac:dyDescent="0.25">
      <c r="A1045" t="s">
        <v>656</v>
      </c>
      <c r="B1045" s="3">
        <v>45662</v>
      </c>
      <c r="C1045">
        <v>2010</v>
      </c>
      <c r="D1045" s="1">
        <v>0</v>
      </c>
      <c r="E1045" s="1">
        <v>8410.65</v>
      </c>
      <c r="F1045" t="s">
        <v>657</v>
      </c>
      <c r="G1045" t="str">
        <f>_xlfn.XLOOKUP(C1045,tblCOA[AccountNo],tblCOA[AccountName],"Unmapped")</f>
        <v>Accounts Payable</v>
      </c>
      <c r="H1045" t="str">
        <f>_xlfn.XLOOKUP(C1045,tblCOA[AccountNo],tblCOA[Category],"Unmapped")</f>
        <v>Liabilities</v>
      </c>
      <c r="I1045" s="4">
        <f t="shared" si="48"/>
        <v>-8410.65</v>
      </c>
      <c r="J1045">
        <f t="shared" si="49"/>
        <v>2025</v>
      </c>
      <c r="K1045" s="5">
        <f t="shared" si="50"/>
        <v>45658</v>
      </c>
    </row>
    <row r="1046" spans="1:11" x14ac:dyDescent="0.25">
      <c r="A1046" t="s">
        <v>1170</v>
      </c>
      <c r="B1046" s="3">
        <v>45662</v>
      </c>
      <c r="C1046">
        <v>1200</v>
      </c>
      <c r="D1046" s="1">
        <v>29708.86</v>
      </c>
      <c r="E1046" s="1">
        <v>0</v>
      </c>
      <c r="F1046" t="s">
        <v>1171</v>
      </c>
      <c r="G1046" t="str">
        <f>_xlfn.XLOOKUP(C1046,tblCOA[AccountNo],tblCOA[AccountName],"Unmapped")</f>
        <v>Accounts Receivable</v>
      </c>
      <c r="H1046" t="str">
        <f>_xlfn.XLOOKUP(C1046,tblCOA[AccountNo],tblCOA[Category],"Unmapped")</f>
        <v>Assets</v>
      </c>
      <c r="I1046" s="4">
        <f t="shared" si="48"/>
        <v>29708.86</v>
      </c>
      <c r="J1046">
        <f t="shared" si="49"/>
        <v>2025</v>
      </c>
      <c r="K1046" s="5">
        <f t="shared" si="50"/>
        <v>45658</v>
      </c>
    </row>
    <row r="1047" spans="1:11" x14ac:dyDescent="0.25">
      <c r="A1047" t="s">
        <v>1172</v>
      </c>
      <c r="B1047" s="3">
        <v>45662</v>
      </c>
      <c r="C1047">
        <v>4010</v>
      </c>
      <c r="D1047" s="1">
        <v>0</v>
      </c>
      <c r="E1047" s="1">
        <v>29708.86</v>
      </c>
      <c r="F1047" t="s">
        <v>1173</v>
      </c>
      <c r="G1047" t="str">
        <f>_xlfn.XLOOKUP(C1047,tblCOA[AccountNo],tblCOA[AccountName],"Unmapped")</f>
        <v>Product Sales</v>
      </c>
      <c r="H1047" t="str">
        <f>_xlfn.XLOOKUP(C1047,tblCOA[AccountNo],tblCOA[Category],"Unmapped")</f>
        <v>Revenue</v>
      </c>
      <c r="I1047" s="4">
        <f t="shared" si="48"/>
        <v>-29708.86</v>
      </c>
      <c r="J1047">
        <f t="shared" si="49"/>
        <v>2025</v>
      </c>
      <c r="K1047" s="5">
        <f t="shared" si="50"/>
        <v>45658</v>
      </c>
    </row>
    <row r="1048" spans="1:11" x14ac:dyDescent="0.25">
      <c r="A1048" t="s">
        <v>1582</v>
      </c>
      <c r="B1048" s="3">
        <v>45664</v>
      </c>
      <c r="C1048">
        <v>5010</v>
      </c>
      <c r="D1048" s="1">
        <v>3164.81</v>
      </c>
      <c r="E1048" s="1">
        <v>0</v>
      </c>
      <c r="F1048" t="s">
        <v>1583</v>
      </c>
      <c r="G1048" t="str">
        <f>_xlfn.XLOOKUP(C1048,tblCOA[AccountNo],tblCOA[AccountName],"Unmapped")</f>
        <v>Cost of Goods Sold</v>
      </c>
      <c r="H1048" t="str">
        <f>_xlfn.XLOOKUP(C1048,tblCOA[AccountNo],tblCOA[Category],"Unmapped")</f>
        <v>Expenses</v>
      </c>
      <c r="I1048" s="4">
        <f t="shared" si="48"/>
        <v>3164.81</v>
      </c>
      <c r="J1048">
        <f t="shared" si="49"/>
        <v>2025</v>
      </c>
      <c r="K1048" s="5">
        <f t="shared" si="50"/>
        <v>45658</v>
      </c>
    </row>
    <row r="1049" spans="1:11" x14ac:dyDescent="0.25">
      <c r="A1049" t="s">
        <v>1584</v>
      </c>
      <c r="B1049" s="3">
        <v>45664</v>
      </c>
      <c r="C1049">
        <v>2010</v>
      </c>
      <c r="D1049" s="1">
        <v>0</v>
      </c>
      <c r="E1049" s="1">
        <v>3164.81</v>
      </c>
      <c r="F1049" t="s">
        <v>1585</v>
      </c>
      <c r="G1049" t="str">
        <f>_xlfn.XLOOKUP(C1049,tblCOA[AccountNo],tblCOA[AccountName],"Unmapped")</f>
        <v>Accounts Payable</v>
      </c>
      <c r="H1049" t="str">
        <f>_xlfn.XLOOKUP(C1049,tblCOA[AccountNo],tblCOA[Category],"Unmapped")</f>
        <v>Liabilities</v>
      </c>
      <c r="I1049" s="4">
        <f t="shared" si="48"/>
        <v>-3164.81</v>
      </c>
      <c r="J1049">
        <f t="shared" si="49"/>
        <v>2025</v>
      </c>
      <c r="K1049" s="5">
        <f t="shared" si="50"/>
        <v>45658</v>
      </c>
    </row>
    <row r="1050" spans="1:11" x14ac:dyDescent="0.25">
      <c r="A1050" t="s">
        <v>1922</v>
      </c>
      <c r="B1050" s="3">
        <v>45666</v>
      </c>
      <c r="C1050">
        <v>1200</v>
      </c>
      <c r="D1050" s="1">
        <v>32261.73</v>
      </c>
      <c r="E1050" s="1">
        <v>0</v>
      </c>
      <c r="F1050" t="s">
        <v>1923</v>
      </c>
      <c r="G1050" t="str">
        <f>_xlfn.XLOOKUP(C1050,tblCOA[AccountNo],tblCOA[AccountName],"Unmapped")</f>
        <v>Accounts Receivable</v>
      </c>
      <c r="H1050" t="str">
        <f>_xlfn.XLOOKUP(C1050,tblCOA[AccountNo],tblCOA[Category],"Unmapped")</f>
        <v>Assets</v>
      </c>
      <c r="I1050" s="4">
        <f t="shared" si="48"/>
        <v>32261.73</v>
      </c>
      <c r="J1050">
        <f t="shared" si="49"/>
        <v>2025</v>
      </c>
      <c r="K1050" s="5">
        <f t="shared" si="50"/>
        <v>45658</v>
      </c>
    </row>
    <row r="1051" spans="1:11" x14ac:dyDescent="0.25">
      <c r="A1051" t="s">
        <v>1924</v>
      </c>
      <c r="B1051" s="3">
        <v>45666</v>
      </c>
      <c r="C1051">
        <v>4010</v>
      </c>
      <c r="D1051" s="1">
        <v>0</v>
      </c>
      <c r="E1051" s="1">
        <v>32261.73</v>
      </c>
      <c r="F1051" t="s">
        <v>1925</v>
      </c>
      <c r="G1051" t="str">
        <f>_xlfn.XLOOKUP(C1051,tblCOA[AccountNo],tblCOA[AccountName],"Unmapped")</f>
        <v>Product Sales</v>
      </c>
      <c r="H1051" t="str">
        <f>_xlfn.XLOOKUP(C1051,tblCOA[AccountNo],tblCOA[Category],"Unmapped")</f>
        <v>Revenue</v>
      </c>
      <c r="I1051" s="4">
        <f t="shared" si="48"/>
        <v>-32261.73</v>
      </c>
      <c r="J1051">
        <f t="shared" si="49"/>
        <v>2025</v>
      </c>
      <c r="K1051" s="5">
        <f t="shared" si="50"/>
        <v>45658</v>
      </c>
    </row>
    <row r="1052" spans="1:11" x14ac:dyDescent="0.25">
      <c r="A1052" t="s">
        <v>3282</v>
      </c>
      <c r="B1052" s="3">
        <v>45667</v>
      </c>
      <c r="C1052">
        <v>1200</v>
      </c>
      <c r="D1052" s="1">
        <v>6023.32</v>
      </c>
      <c r="E1052" s="1">
        <v>0</v>
      </c>
      <c r="F1052" t="s">
        <v>3283</v>
      </c>
      <c r="G1052" t="str">
        <f>_xlfn.XLOOKUP(C1052,tblCOA[AccountNo],tblCOA[AccountName],"Unmapped")</f>
        <v>Accounts Receivable</v>
      </c>
      <c r="H1052" t="str">
        <f>_xlfn.XLOOKUP(C1052,tblCOA[AccountNo],tblCOA[Category],"Unmapped")</f>
        <v>Assets</v>
      </c>
      <c r="I1052" s="4">
        <f t="shared" si="48"/>
        <v>6023.32</v>
      </c>
      <c r="J1052">
        <f t="shared" si="49"/>
        <v>2025</v>
      </c>
      <c r="K1052" s="5">
        <f t="shared" si="50"/>
        <v>45658</v>
      </c>
    </row>
    <row r="1053" spans="1:11" x14ac:dyDescent="0.25">
      <c r="A1053" t="s">
        <v>3284</v>
      </c>
      <c r="B1053" s="3">
        <v>45667</v>
      </c>
      <c r="C1053">
        <v>4010</v>
      </c>
      <c r="D1053" s="1">
        <v>0</v>
      </c>
      <c r="E1053" s="1">
        <v>6023.32</v>
      </c>
      <c r="F1053" t="s">
        <v>3285</v>
      </c>
      <c r="G1053" t="str">
        <f>_xlfn.XLOOKUP(C1053,tblCOA[AccountNo],tblCOA[AccountName],"Unmapped")</f>
        <v>Product Sales</v>
      </c>
      <c r="H1053" t="str">
        <f>_xlfn.XLOOKUP(C1053,tblCOA[AccountNo],tblCOA[Category],"Unmapped")</f>
        <v>Revenue</v>
      </c>
      <c r="I1053" s="4">
        <f t="shared" si="48"/>
        <v>-6023.32</v>
      </c>
      <c r="J1053">
        <f t="shared" si="49"/>
        <v>2025</v>
      </c>
      <c r="K1053" s="5">
        <f t="shared" si="50"/>
        <v>45658</v>
      </c>
    </row>
    <row r="1054" spans="1:11" x14ac:dyDescent="0.25">
      <c r="A1054" t="s">
        <v>3130</v>
      </c>
      <c r="B1054" s="3">
        <v>45668</v>
      </c>
      <c r="C1054">
        <v>1200</v>
      </c>
      <c r="D1054" s="1">
        <v>12533.11</v>
      </c>
      <c r="E1054" s="1">
        <v>0</v>
      </c>
      <c r="F1054" t="s">
        <v>3131</v>
      </c>
      <c r="G1054" t="str">
        <f>_xlfn.XLOOKUP(C1054,tblCOA[AccountNo],tblCOA[AccountName],"Unmapped")</f>
        <v>Accounts Receivable</v>
      </c>
      <c r="H1054" t="str">
        <f>_xlfn.XLOOKUP(C1054,tblCOA[AccountNo],tblCOA[Category],"Unmapped")</f>
        <v>Assets</v>
      </c>
      <c r="I1054" s="4">
        <f t="shared" si="48"/>
        <v>12533.11</v>
      </c>
      <c r="J1054">
        <f t="shared" si="49"/>
        <v>2025</v>
      </c>
      <c r="K1054" s="5">
        <f t="shared" si="50"/>
        <v>45658</v>
      </c>
    </row>
    <row r="1055" spans="1:11" x14ac:dyDescent="0.25">
      <c r="A1055" t="s">
        <v>3132</v>
      </c>
      <c r="B1055" s="3">
        <v>45668</v>
      </c>
      <c r="C1055">
        <v>4010</v>
      </c>
      <c r="D1055" s="1">
        <v>0</v>
      </c>
      <c r="E1055" s="1">
        <v>12533.11</v>
      </c>
      <c r="F1055" t="s">
        <v>3133</v>
      </c>
      <c r="G1055" t="str">
        <f>_xlfn.XLOOKUP(C1055,tblCOA[AccountNo],tblCOA[AccountName],"Unmapped")</f>
        <v>Product Sales</v>
      </c>
      <c r="H1055" t="str">
        <f>_xlfn.XLOOKUP(C1055,tblCOA[AccountNo],tblCOA[Category],"Unmapped")</f>
        <v>Revenue</v>
      </c>
      <c r="I1055" s="4">
        <f t="shared" si="48"/>
        <v>-12533.11</v>
      </c>
      <c r="J1055">
        <f t="shared" si="49"/>
        <v>2025</v>
      </c>
      <c r="K1055" s="5">
        <f t="shared" si="50"/>
        <v>45658</v>
      </c>
    </row>
    <row r="1056" spans="1:11" x14ac:dyDescent="0.25">
      <c r="A1056" t="s">
        <v>1518</v>
      </c>
      <c r="B1056" s="3">
        <v>45668</v>
      </c>
      <c r="C1056">
        <v>5010</v>
      </c>
      <c r="D1056" s="1">
        <v>11377.73</v>
      </c>
      <c r="E1056" s="1">
        <v>0</v>
      </c>
      <c r="F1056" t="s">
        <v>1519</v>
      </c>
      <c r="G1056" t="str">
        <f>_xlfn.XLOOKUP(C1056,tblCOA[AccountNo],tblCOA[AccountName],"Unmapped")</f>
        <v>Cost of Goods Sold</v>
      </c>
      <c r="H1056" t="str">
        <f>_xlfn.XLOOKUP(C1056,tblCOA[AccountNo],tblCOA[Category],"Unmapped")</f>
        <v>Expenses</v>
      </c>
      <c r="I1056" s="4">
        <f t="shared" si="48"/>
        <v>11377.73</v>
      </c>
      <c r="J1056">
        <f t="shared" si="49"/>
        <v>2025</v>
      </c>
      <c r="K1056" s="5">
        <f t="shared" si="50"/>
        <v>45658</v>
      </c>
    </row>
    <row r="1057" spans="1:11" x14ac:dyDescent="0.25">
      <c r="A1057" t="s">
        <v>1520</v>
      </c>
      <c r="B1057" s="3">
        <v>45668</v>
      </c>
      <c r="C1057">
        <v>2010</v>
      </c>
      <c r="D1057" s="1">
        <v>0</v>
      </c>
      <c r="E1057" s="1">
        <v>11377.73</v>
      </c>
      <c r="F1057" t="s">
        <v>1521</v>
      </c>
      <c r="G1057" t="str">
        <f>_xlfn.XLOOKUP(C1057,tblCOA[AccountNo],tblCOA[AccountName],"Unmapped")</f>
        <v>Accounts Payable</v>
      </c>
      <c r="H1057" t="str">
        <f>_xlfn.XLOOKUP(C1057,tblCOA[AccountNo],tblCOA[Category],"Unmapped")</f>
        <v>Liabilities</v>
      </c>
      <c r="I1057" s="4">
        <f t="shared" si="48"/>
        <v>-11377.73</v>
      </c>
      <c r="J1057">
        <f t="shared" si="49"/>
        <v>2025</v>
      </c>
      <c r="K1057" s="5">
        <f t="shared" si="50"/>
        <v>45658</v>
      </c>
    </row>
    <row r="1058" spans="1:11" x14ac:dyDescent="0.25">
      <c r="A1058" t="s">
        <v>1002</v>
      </c>
      <c r="B1058" s="3">
        <v>45671</v>
      </c>
      <c r="C1058">
        <v>1200</v>
      </c>
      <c r="D1058" s="1">
        <v>38033.9</v>
      </c>
      <c r="E1058" s="1">
        <v>0</v>
      </c>
      <c r="F1058" t="s">
        <v>1003</v>
      </c>
      <c r="G1058" t="str">
        <f>_xlfn.XLOOKUP(C1058,tblCOA[AccountNo],tblCOA[AccountName],"Unmapped")</f>
        <v>Accounts Receivable</v>
      </c>
      <c r="H1058" t="str">
        <f>_xlfn.XLOOKUP(C1058,tblCOA[AccountNo],tblCOA[Category],"Unmapped")</f>
        <v>Assets</v>
      </c>
      <c r="I1058" s="4">
        <f t="shared" si="48"/>
        <v>38033.9</v>
      </c>
      <c r="J1058">
        <f t="shared" si="49"/>
        <v>2025</v>
      </c>
      <c r="K1058" s="5">
        <f t="shared" si="50"/>
        <v>45658</v>
      </c>
    </row>
    <row r="1059" spans="1:11" x14ac:dyDescent="0.25">
      <c r="A1059" t="s">
        <v>1004</v>
      </c>
      <c r="B1059" s="3">
        <v>45671</v>
      </c>
      <c r="C1059">
        <v>4010</v>
      </c>
      <c r="D1059" s="1">
        <v>0</v>
      </c>
      <c r="E1059" s="1">
        <v>38033.9</v>
      </c>
      <c r="F1059" t="s">
        <v>1005</v>
      </c>
      <c r="G1059" t="str">
        <f>_xlfn.XLOOKUP(C1059,tblCOA[AccountNo],tblCOA[AccountName],"Unmapped")</f>
        <v>Product Sales</v>
      </c>
      <c r="H1059" t="str">
        <f>_xlfn.XLOOKUP(C1059,tblCOA[AccountNo],tblCOA[Category],"Unmapped")</f>
        <v>Revenue</v>
      </c>
      <c r="I1059" s="4">
        <f t="shared" si="48"/>
        <v>-38033.9</v>
      </c>
      <c r="J1059">
        <f t="shared" si="49"/>
        <v>2025</v>
      </c>
      <c r="K1059" s="5">
        <f t="shared" si="50"/>
        <v>45658</v>
      </c>
    </row>
    <row r="1060" spans="1:11" x14ac:dyDescent="0.25">
      <c r="A1060" t="s">
        <v>1154</v>
      </c>
      <c r="B1060" s="3">
        <v>45671</v>
      </c>
      <c r="C1060">
        <v>1200</v>
      </c>
      <c r="D1060" s="1">
        <v>20787.810000000001</v>
      </c>
      <c r="E1060" s="1">
        <v>0</v>
      </c>
      <c r="F1060" t="s">
        <v>1155</v>
      </c>
      <c r="G1060" t="str">
        <f>_xlfn.XLOOKUP(C1060,tblCOA[AccountNo],tblCOA[AccountName],"Unmapped")</f>
        <v>Accounts Receivable</v>
      </c>
      <c r="H1060" t="str">
        <f>_xlfn.XLOOKUP(C1060,tblCOA[AccountNo],tblCOA[Category],"Unmapped")</f>
        <v>Assets</v>
      </c>
      <c r="I1060" s="4">
        <f t="shared" si="48"/>
        <v>20787.810000000001</v>
      </c>
      <c r="J1060">
        <f t="shared" si="49"/>
        <v>2025</v>
      </c>
      <c r="K1060" s="5">
        <f t="shared" si="50"/>
        <v>45658</v>
      </c>
    </row>
    <row r="1061" spans="1:11" x14ac:dyDescent="0.25">
      <c r="A1061" t="s">
        <v>1156</v>
      </c>
      <c r="B1061" s="3">
        <v>45671</v>
      </c>
      <c r="C1061">
        <v>4010</v>
      </c>
      <c r="D1061" s="1">
        <v>0</v>
      </c>
      <c r="E1061" s="1">
        <v>20787.810000000001</v>
      </c>
      <c r="F1061" t="s">
        <v>1157</v>
      </c>
      <c r="G1061" t="str">
        <f>_xlfn.XLOOKUP(C1061,tblCOA[AccountNo],tblCOA[AccountName],"Unmapped")</f>
        <v>Product Sales</v>
      </c>
      <c r="H1061" t="str">
        <f>_xlfn.XLOOKUP(C1061,tblCOA[AccountNo],tblCOA[Category],"Unmapped")</f>
        <v>Revenue</v>
      </c>
      <c r="I1061" s="4">
        <f t="shared" si="48"/>
        <v>-20787.810000000001</v>
      </c>
      <c r="J1061">
        <f t="shared" si="49"/>
        <v>2025</v>
      </c>
      <c r="K1061" s="5">
        <f t="shared" si="50"/>
        <v>45658</v>
      </c>
    </row>
    <row r="1062" spans="1:11" x14ac:dyDescent="0.25">
      <c r="A1062" t="s">
        <v>122</v>
      </c>
      <c r="B1062" s="3">
        <v>45673</v>
      </c>
      <c r="C1062">
        <v>1200</v>
      </c>
      <c r="D1062" s="1">
        <v>38220.910000000003</v>
      </c>
      <c r="E1062" s="1">
        <v>0</v>
      </c>
      <c r="F1062" t="s">
        <v>123</v>
      </c>
      <c r="G1062" t="str">
        <f>_xlfn.XLOOKUP(C1062,tblCOA[AccountNo],tblCOA[AccountName],"Unmapped")</f>
        <v>Accounts Receivable</v>
      </c>
      <c r="H1062" t="str">
        <f>_xlfn.XLOOKUP(C1062,tblCOA[AccountNo],tblCOA[Category],"Unmapped")</f>
        <v>Assets</v>
      </c>
      <c r="I1062" s="4">
        <f t="shared" si="48"/>
        <v>38220.910000000003</v>
      </c>
      <c r="J1062">
        <f t="shared" si="49"/>
        <v>2025</v>
      </c>
      <c r="K1062" s="5">
        <f t="shared" si="50"/>
        <v>45658</v>
      </c>
    </row>
    <row r="1063" spans="1:11" x14ac:dyDescent="0.25">
      <c r="A1063" t="s">
        <v>124</v>
      </c>
      <c r="B1063" s="3">
        <v>45673</v>
      </c>
      <c r="C1063">
        <v>4010</v>
      </c>
      <c r="D1063" s="1">
        <v>0</v>
      </c>
      <c r="E1063" s="1">
        <v>38220.910000000003</v>
      </c>
      <c r="F1063" t="s">
        <v>125</v>
      </c>
      <c r="G1063" t="str">
        <f>_xlfn.XLOOKUP(C1063,tblCOA[AccountNo],tblCOA[AccountName],"Unmapped")</f>
        <v>Product Sales</v>
      </c>
      <c r="H1063" t="str">
        <f>_xlfn.XLOOKUP(C1063,tblCOA[AccountNo],tblCOA[Category],"Unmapped")</f>
        <v>Revenue</v>
      </c>
      <c r="I1063" s="4">
        <f t="shared" si="48"/>
        <v>-38220.910000000003</v>
      </c>
      <c r="J1063">
        <f t="shared" si="49"/>
        <v>2025</v>
      </c>
      <c r="K1063" s="5">
        <f t="shared" si="50"/>
        <v>45658</v>
      </c>
    </row>
    <row r="1064" spans="1:11" x14ac:dyDescent="0.25">
      <c r="A1064" t="s">
        <v>3726</v>
      </c>
      <c r="B1064" s="3">
        <v>45676</v>
      </c>
      <c r="C1064">
        <v>5010</v>
      </c>
      <c r="D1064" s="1">
        <v>14680.35</v>
      </c>
      <c r="E1064" s="1">
        <v>0</v>
      </c>
      <c r="F1064" t="s">
        <v>3727</v>
      </c>
      <c r="G1064" t="str">
        <f>_xlfn.XLOOKUP(C1064,tblCOA[AccountNo],tblCOA[AccountName],"Unmapped")</f>
        <v>Cost of Goods Sold</v>
      </c>
      <c r="H1064" t="str">
        <f>_xlfn.XLOOKUP(C1064,tblCOA[AccountNo],tblCOA[Category],"Unmapped")</f>
        <v>Expenses</v>
      </c>
      <c r="I1064" s="4">
        <f t="shared" si="48"/>
        <v>14680.35</v>
      </c>
      <c r="J1064">
        <f t="shared" si="49"/>
        <v>2025</v>
      </c>
      <c r="K1064" s="5">
        <f t="shared" si="50"/>
        <v>45658</v>
      </c>
    </row>
    <row r="1065" spans="1:11" x14ac:dyDescent="0.25">
      <c r="A1065" t="s">
        <v>3728</v>
      </c>
      <c r="B1065" s="3">
        <v>45676</v>
      </c>
      <c r="C1065">
        <v>2010</v>
      </c>
      <c r="D1065" s="1">
        <v>0</v>
      </c>
      <c r="E1065" s="1">
        <v>14680.35</v>
      </c>
      <c r="F1065" t="s">
        <v>3729</v>
      </c>
      <c r="G1065" t="str">
        <f>_xlfn.XLOOKUP(C1065,tblCOA[AccountNo],tblCOA[AccountName],"Unmapped")</f>
        <v>Accounts Payable</v>
      </c>
      <c r="H1065" t="str">
        <f>_xlfn.XLOOKUP(C1065,tblCOA[AccountNo],tblCOA[Category],"Unmapped")</f>
        <v>Liabilities</v>
      </c>
      <c r="I1065" s="4">
        <f t="shared" si="48"/>
        <v>-14680.35</v>
      </c>
      <c r="J1065">
        <f t="shared" si="49"/>
        <v>2025</v>
      </c>
      <c r="K1065" s="5">
        <f t="shared" si="50"/>
        <v>45658</v>
      </c>
    </row>
    <row r="1066" spans="1:11" x14ac:dyDescent="0.25">
      <c r="A1066" t="s">
        <v>78</v>
      </c>
      <c r="B1066" s="3">
        <v>45678</v>
      </c>
      <c r="C1066">
        <v>5010</v>
      </c>
      <c r="D1066" s="1">
        <v>19312.759999999998</v>
      </c>
      <c r="E1066" s="1">
        <v>0</v>
      </c>
      <c r="F1066" t="s">
        <v>79</v>
      </c>
      <c r="G1066" t="str">
        <f>_xlfn.XLOOKUP(C1066,tblCOA[AccountNo],tblCOA[AccountName],"Unmapped")</f>
        <v>Cost of Goods Sold</v>
      </c>
      <c r="H1066" t="str">
        <f>_xlfn.XLOOKUP(C1066,tblCOA[AccountNo],tblCOA[Category],"Unmapped")</f>
        <v>Expenses</v>
      </c>
      <c r="I1066" s="4">
        <f t="shared" si="48"/>
        <v>19312.759999999998</v>
      </c>
      <c r="J1066">
        <f t="shared" si="49"/>
        <v>2025</v>
      </c>
      <c r="K1066" s="5">
        <f t="shared" si="50"/>
        <v>45658</v>
      </c>
    </row>
    <row r="1067" spans="1:11" x14ac:dyDescent="0.25">
      <c r="A1067" t="s">
        <v>80</v>
      </c>
      <c r="B1067" s="3">
        <v>45678</v>
      </c>
      <c r="C1067">
        <v>2010</v>
      </c>
      <c r="D1067" s="1">
        <v>0</v>
      </c>
      <c r="E1067" s="1">
        <v>19312.759999999998</v>
      </c>
      <c r="F1067" t="s">
        <v>81</v>
      </c>
      <c r="G1067" t="str">
        <f>_xlfn.XLOOKUP(C1067,tblCOA[AccountNo],tblCOA[AccountName],"Unmapped")</f>
        <v>Accounts Payable</v>
      </c>
      <c r="H1067" t="str">
        <f>_xlfn.XLOOKUP(C1067,tblCOA[AccountNo],tblCOA[Category],"Unmapped")</f>
        <v>Liabilities</v>
      </c>
      <c r="I1067" s="4">
        <f t="shared" si="48"/>
        <v>-19312.759999999998</v>
      </c>
      <c r="J1067">
        <f t="shared" si="49"/>
        <v>2025</v>
      </c>
      <c r="K1067" s="5">
        <f t="shared" si="50"/>
        <v>45658</v>
      </c>
    </row>
    <row r="1068" spans="1:11" x14ac:dyDescent="0.25">
      <c r="A1068" t="s">
        <v>1134</v>
      </c>
      <c r="B1068" s="3">
        <v>45678</v>
      </c>
      <c r="C1068">
        <v>5010</v>
      </c>
      <c r="D1068" s="1">
        <v>10252.540000000001</v>
      </c>
      <c r="E1068" s="1">
        <v>0</v>
      </c>
      <c r="F1068" t="s">
        <v>1135</v>
      </c>
      <c r="G1068" t="str">
        <f>_xlfn.XLOOKUP(C1068,tblCOA[AccountNo],tblCOA[AccountName],"Unmapped")</f>
        <v>Cost of Goods Sold</v>
      </c>
      <c r="H1068" t="str">
        <f>_xlfn.XLOOKUP(C1068,tblCOA[AccountNo],tblCOA[Category],"Unmapped")</f>
        <v>Expenses</v>
      </c>
      <c r="I1068" s="4">
        <f t="shared" si="48"/>
        <v>10252.540000000001</v>
      </c>
      <c r="J1068">
        <f t="shared" si="49"/>
        <v>2025</v>
      </c>
      <c r="K1068" s="5">
        <f t="shared" si="50"/>
        <v>45658</v>
      </c>
    </row>
    <row r="1069" spans="1:11" x14ac:dyDescent="0.25">
      <c r="A1069" t="s">
        <v>1136</v>
      </c>
      <c r="B1069" s="3">
        <v>45678</v>
      </c>
      <c r="C1069">
        <v>2010</v>
      </c>
      <c r="D1069" s="1">
        <v>0</v>
      </c>
      <c r="E1069" s="1">
        <v>10252.540000000001</v>
      </c>
      <c r="F1069" t="s">
        <v>1137</v>
      </c>
      <c r="G1069" t="str">
        <f>_xlfn.XLOOKUP(C1069,tblCOA[AccountNo],tblCOA[AccountName],"Unmapped")</f>
        <v>Accounts Payable</v>
      </c>
      <c r="H1069" t="str">
        <f>_xlfn.XLOOKUP(C1069,tblCOA[AccountNo],tblCOA[Category],"Unmapped")</f>
        <v>Liabilities</v>
      </c>
      <c r="I1069" s="4">
        <f t="shared" si="48"/>
        <v>-10252.540000000001</v>
      </c>
      <c r="J1069">
        <f t="shared" si="49"/>
        <v>2025</v>
      </c>
      <c r="K1069" s="5">
        <f t="shared" si="50"/>
        <v>45658</v>
      </c>
    </row>
    <row r="1070" spans="1:11" x14ac:dyDescent="0.25">
      <c r="A1070" t="s">
        <v>1818</v>
      </c>
      <c r="B1070" s="3">
        <v>45679</v>
      </c>
      <c r="C1070">
        <v>1200</v>
      </c>
      <c r="D1070" s="1">
        <v>12964.8</v>
      </c>
      <c r="E1070" s="1">
        <v>0</v>
      </c>
      <c r="F1070" t="s">
        <v>1819</v>
      </c>
      <c r="G1070" t="str">
        <f>_xlfn.XLOOKUP(C1070,tblCOA[AccountNo],tblCOA[AccountName],"Unmapped")</f>
        <v>Accounts Receivable</v>
      </c>
      <c r="H1070" t="str">
        <f>_xlfn.XLOOKUP(C1070,tblCOA[AccountNo],tblCOA[Category],"Unmapped")</f>
        <v>Assets</v>
      </c>
      <c r="I1070" s="4">
        <f t="shared" si="48"/>
        <v>12964.8</v>
      </c>
      <c r="J1070">
        <f t="shared" si="49"/>
        <v>2025</v>
      </c>
      <c r="K1070" s="5">
        <f t="shared" si="50"/>
        <v>45658</v>
      </c>
    </row>
    <row r="1071" spans="1:11" x14ac:dyDescent="0.25">
      <c r="A1071" t="s">
        <v>1820</v>
      </c>
      <c r="B1071" s="3">
        <v>45679</v>
      </c>
      <c r="C1071">
        <v>4010</v>
      </c>
      <c r="D1071" s="1">
        <v>0</v>
      </c>
      <c r="E1071" s="1">
        <v>12964.8</v>
      </c>
      <c r="F1071" t="s">
        <v>1821</v>
      </c>
      <c r="G1071" t="str">
        <f>_xlfn.XLOOKUP(C1071,tblCOA[AccountNo],tblCOA[AccountName],"Unmapped")</f>
        <v>Product Sales</v>
      </c>
      <c r="H1071" t="str">
        <f>_xlfn.XLOOKUP(C1071,tblCOA[AccountNo],tblCOA[Category],"Unmapped")</f>
        <v>Revenue</v>
      </c>
      <c r="I1071" s="4">
        <f t="shared" si="48"/>
        <v>-12964.8</v>
      </c>
      <c r="J1071">
        <f t="shared" si="49"/>
        <v>2025</v>
      </c>
      <c r="K1071" s="5">
        <f t="shared" si="50"/>
        <v>45658</v>
      </c>
    </row>
    <row r="1072" spans="1:11" x14ac:dyDescent="0.25">
      <c r="A1072" t="s">
        <v>3346</v>
      </c>
      <c r="B1072" s="3">
        <v>45680</v>
      </c>
      <c r="C1072">
        <v>1200</v>
      </c>
      <c r="D1072" s="1">
        <v>41218.36</v>
      </c>
      <c r="E1072" s="1">
        <v>0</v>
      </c>
      <c r="F1072" t="s">
        <v>3347</v>
      </c>
      <c r="G1072" t="str">
        <f>_xlfn.XLOOKUP(C1072,tblCOA[AccountNo],tblCOA[AccountName],"Unmapped")</f>
        <v>Accounts Receivable</v>
      </c>
      <c r="H1072" t="str">
        <f>_xlfn.XLOOKUP(C1072,tblCOA[AccountNo],tblCOA[Category],"Unmapped")</f>
        <v>Assets</v>
      </c>
      <c r="I1072" s="4">
        <f t="shared" si="48"/>
        <v>41218.36</v>
      </c>
      <c r="J1072">
        <f t="shared" si="49"/>
        <v>2025</v>
      </c>
      <c r="K1072" s="5">
        <f t="shared" si="50"/>
        <v>45658</v>
      </c>
    </row>
    <row r="1073" spans="1:11" x14ac:dyDescent="0.25">
      <c r="A1073" t="s">
        <v>3348</v>
      </c>
      <c r="B1073" s="3">
        <v>45680</v>
      </c>
      <c r="C1073">
        <v>4010</v>
      </c>
      <c r="D1073" s="1">
        <v>0</v>
      </c>
      <c r="E1073" s="1">
        <v>41218.36</v>
      </c>
      <c r="F1073" t="s">
        <v>3349</v>
      </c>
      <c r="G1073" t="str">
        <f>_xlfn.XLOOKUP(C1073,tblCOA[AccountNo],tblCOA[AccountName],"Unmapped")</f>
        <v>Product Sales</v>
      </c>
      <c r="H1073" t="str">
        <f>_xlfn.XLOOKUP(C1073,tblCOA[AccountNo],tblCOA[Category],"Unmapped")</f>
        <v>Revenue</v>
      </c>
      <c r="I1073" s="4">
        <f t="shared" si="48"/>
        <v>-41218.36</v>
      </c>
      <c r="J1073">
        <f t="shared" si="49"/>
        <v>2025</v>
      </c>
      <c r="K1073" s="5">
        <f t="shared" si="50"/>
        <v>45658</v>
      </c>
    </row>
    <row r="1074" spans="1:11" x14ac:dyDescent="0.25">
      <c r="A1074" t="s">
        <v>1346</v>
      </c>
      <c r="B1074" s="3">
        <v>45683</v>
      </c>
      <c r="C1074">
        <v>1200</v>
      </c>
      <c r="D1074" s="1">
        <v>10770.28</v>
      </c>
      <c r="E1074" s="1">
        <v>0</v>
      </c>
      <c r="F1074" t="s">
        <v>1347</v>
      </c>
      <c r="G1074" t="str">
        <f>_xlfn.XLOOKUP(C1074,tblCOA[AccountNo],tblCOA[AccountName],"Unmapped")</f>
        <v>Accounts Receivable</v>
      </c>
      <c r="H1074" t="str">
        <f>_xlfn.XLOOKUP(C1074,tblCOA[AccountNo],tblCOA[Category],"Unmapped")</f>
        <v>Assets</v>
      </c>
      <c r="I1074" s="4">
        <f t="shared" si="48"/>
        <v>10770.28</v>
      </c>
      <c r="J1074">
        <f t="shared" si="49"/>
        <v>2025</v>
      </c>
      <c r="K1074" s="5">
        <f t="shared" si="50"/>
        <v>45658</v>
      </c>
    </row>
    <row r="1075" spans="1:11" x14ac:dyDescent="0.25">
      <c r="A1075" t="s">
        <v>1348</v>
      </c>
      <c r="B1075" s="3">
        <v>45683</v>
      </c>
      <c r="C1075">
        <v>4010</v>
      </c>
      <c r="D1075" s="1">
        <v>0</v>
      </c>
      <c r="E1075" s="1">
        <v>10770.28</v>
      </c>
      <c r="F1075" t="s">
        <v>1349</v>
      </c>
      <c r="G1075" t="str">
        <f>_xlfn.XLOOKUP(C1075,tblCOA[AccountNo],tblCOA[AccountName],"Unmapped")</f>
        <v>Product Sales</v>
      </c>
      <c r="H1075" t="str">
        <f>_xlfn.XLOOKUP(C1075,tblCOA[AccountNo],tblCOA[Category],"Unmapped")</f>
        <v>Revenue</v>
      </c>
      <c r="I1075" s="4">
        <f t="shared" si="48"/>
        <v>-10770.28</v>
      </c>
      <c r="J1075">
        <f t="shared" si="49"/>
        <v>2025</v>
      </c>
      <c r="K1075" s="5">
        <f t="shared" si="50"/>
        <v>45658</v>
      </c>
    </row>
    <row r="1076" spans="1:11" x14ac:dyDescent="0.25">
      <c r="A1076" t="s">
        <v>2090</v>
      </c>
      <c r="B1076" s="3">
        <v>45688</v>
      </c>
      <c r="C1076">
        <v>1200</v>
      </c>
      <c r="D1076" s="1">
        <v>49599.07</v>
      </c>
      <c r="E1076" s="1">
        <v>0</v>
      </c>
      <c r="F1076" t="s">
        <v>2091</v>
      </c>
      <c r="G1076" t="str">
        <f>_xlfn.XLOOKUP(C1076,tblCOA[AccountNo],tblCOA[AccountName],"Unmapped")</f>
        <v>Accounts Receivable</v>
      </c>
      <c r="H1076" t="str">
        <f>_xlfn.XLOOKUP(C1076,tblCOA[AccountNo],tblCOA[Category],"Unmapped")</f>
        <v>Assets</v>
      </c>
      <c r="I1076" s="4">
        <f t="shared" si="48"/>
        <v>49599.07</v>
      </c>
      <c r="J1076">
        <f t="shared" si="49"/>
        <v>2025</v>
      </c>
      <c r="K1076" s="5">
        <f t="shared" si="50"/>
        <v>45658</v>
      </c>
    </row>
    <row r="1077" spans="1:11" x14ac:dyDescent="0.25">
      <c r="A1077" t="s">
        <v>2092</v>
      </c>
      <c r="B1077" s="3">
        <v>45688</v>
      </c>
      <c r="C1077">
        <v>4010</v>
      </c>
      <c r="D1077" s="1">
        <v>0</v>
      </c>
      <c r="E1077" s="1">
        <v>49599.07</v>
      </c>
      <c r="F1077" t="s">
        <v>2093</v>
      </c>
      <c r="G1077" t="str">
        <f>_xlfn.XLOOKUP(C1077,tblCOA[AccountNo],tblCOA[AccountName],"Unmapped")</f>
        <v>Product Sales</v>
      </c>
      <c r="H1077" t="str">
        <f>_xlfn.XLOOKUP(C1077,tblCOA[AccountNo],tblCOA[Category],"Unmapped")</f>
        <v>Revenue</v>
      </c>
      <c r="I1077" s="4">
        <f t="shared" si="48"/>
        <v>-49599.07</v>
      </c>
      <c r="J1077">
        <f t="shared" si="49"/>
        <v>2025</v>
      </c>
      <c r="K1077" s="5">
        <f t="shared" si="50"/>
        <v>45658</v>
      </c>
    </row>
    <row r="1078" spans="1:11" x14ac:dyDescent="0.25">
      <c r="A1078" t="s">
        <v>3034</v>
      </c>
      <c r="B1078" s="3">
        <v>45688</v>
      </c>
      <c r="C1078">
        <v>1200</v>
      </c>
      <c r="D1078" s="1">
        <v>37201.08</v>
      </c>
      <c r="E1078" s="1">
        <v>0</v>
      </c>
      <c r="F1078" t="s">
        <v>3035</v>
      </c>
      <c r="G1078" t="str">
        <f>_xlfn.XLOOKUP(C1078,tblCOA[AccountNo],tblCOA[AccountName],"Unmapped")</f>
        <v>Accounts Receivable</v>
      </c>
      <c r="H1078" t="str">
        <f>_xlfn.XLOOKUP(C1078,tblCOA[AccountNo],tblCOA[Category],"Unmapped")</f>
        <v>Assets</v>
      </c>
      <c r="I1078" s="4">
        <f t="shared" si="48"/>
        <v>37201.08</v>
      </c>
      <c r="J1078">
        <f t="shared" si="49"/>
        <v>2025</v>
      </c>
      <c r="K1078" s="5">
        <f t="shared" si="50"/>
        <v>45658</v>
      </c>
    </row>
    <row r="1079" spans="1:11" x14ac:dyDescent="0.25">
      <c r="A1079" t="s">
        <v>3036</v>
      </c>
      <c r="B1079" s="3">
        <v>45688</v>
      </c>
      <c r="C1079">
        <v>4010</v>
      </c>
      <c r="D1079" s="1">
        <v>0</v>
      </c>
      <c r="E1079" s="1">
        <v>37201.08</v>
      </c>
      <c r="F1079" t="s">
        <v>3037</v>
      </c>
      <c r="G1079" t="str">
        <f>_xlfn.XLOOKUP(C1079,tblCOA[AccountNo],tblCOA[AccountName],"Unmapped")</f>
        <v>Product Sales</v>
      </c>
      <c r="H1079" t="str">
        <f>_xlfn.XLOOKUP(C1079,tblCOA[AccountNo],tblCOA[Category],"Unmapped")</f>
        <v>Revenue</v>
      </c>
      <c r="I1079" s="4">
        <f t="shared" si="48"/>
        <v>-37201.08</v>
      </c>
      <c r="J1079">
        <f t="shared" si="49"/>
        <v>2025</v>
      </c>
      <c r="K1079" s="5">
        <f t="shared" si="50"/>
        <v>45658</v>
      </c>
    </row>
    <row r="1080" spans="1:11" x14ac:dyDescent="0.25">
      <c r="A1080" t="s">
        <v>150</v>
      </c>
      <c r="B1080" s="3">
        <v>45688</v>
      </c>
      <c r="C1080">
        <v>5010</v>
      </c>
      <c r="D1080" s="1">
        <v>12272.86</v>
      </c>
      <c r="E1080" s="1">
        <v>0</v>
      </c>
      <c r="F1080" t="s">
        <v>151</v>
      </c>
      <c r="G1080" t="str">
        <f>_xlfn.XLOOKUP(C1080,tblCOA[AccountNo],tblCOA[AccountName],"Unmapped")</f>
        <v>Cost of Goods Sold</v>
      </c>
      <c r="H1080" t="str">
        <f>_xlfn.XLOOKUP(C1080,tblCOA[AccountNo],tblCOA[Category],"Unmapped")</f>
        <v>Expenses</v>
      </c>
      <c r="I1080" s="4">
        <f t="shared" si="48"/>
        <v>12272.86</v>
      </c>
      <c r="J1080">
        <f t="shared" si="49"/>
        <v>2025</v>
      </c>
      <c r="K1080" s="5">
        <f t="shared" si="50"/>
        <v>45658</v>
      </c>
    </row>
    <row r="1081" spans="1:11" x14ac:dyDescent="0.25">
      <c r="A1081" t="s">
        <v>152</v>
      </c>
      <c r="B1081" s="3">
        <v>45688</v>
      </c>
      <c r="C1081">
        <v>2010</v>
      </c>
      <c r="D1081" s="1">
        <v>0</v>
      </c>
      <c r="E1081" s="1">
        <v>12272.86</v>
      </c>
      <c r="F1081" t="s">
        <v>153</v>
      </c>
      <c r="G1081" t="str">
        <f>_xlfn.XLOOKUP(C1081,tblCOA[AccountNo],tblCOA[AccountName],"Unmapped")</f>
        <v>Accounts Payable</v>
      </c>
      <c r="H1081" t="str">
        <f>_xlfn.XLOOKUP(C1081,tblCOA[AccountNo],tblCOA[Category],"Unmapped")</f>
        <v>Liabilities</v>
      </c>
      <c r="I1081" s="4">
        <f t="shared" si="48"/>
        <v>-12272.86</v>
      </c>
      <c r="J1081">
        <f t="shared" si="49"/>
        <v>2025</v>
      </c>
      <c r="K1081" s="5">
        <f t="shared" si="50"/>
        <v>45658</v>
      </c>
    </row>
    <row r="1082" spans="1:11" x14ac:dyDescent="0.25">
      <c r="A1082" t="s">
        <v>38</v>
      </c>
      <c r="B1082" s="3">
        <v>45692</v>
      </c>
      <c r="C1082">
        <v>5010</v>
      </c>
      <c r="D1082" s="1">
        <v>4295.97</v>
      </c>
      <c r="E1082" s="1">
        <v>0</v>
      </c>
      <c r="F1082" t="s">
        <v>39</v>
      </c>
      <c r="G1082" t="str">
        <f>_xlfn.XLOOKUP(C1082,tblCOA[AccountNo],tblCOA[AccountName],"Unmapped")</f>
        <v>Cost of Goods Sold</v>
      </c>
      <c r="H1082" t="str">
        <f>_xlfn.XLOOKUP(C1082,tblCOA[AccountNo],tblCOA[Category],"Unmapped")</f>
        <v>Expenses</v>
      </c>
      <c r="I1082" s="4">
        <f t="shared" si="48"/>
        <v>4295.97</v>
      </c>
      <c r="J1082">
        <f t="shared" si="49"/>
        <v>2025</v>
      </c>
      <c r="K1082" s="5">
        <f t="shared" si="50"/>
        <v>45689</v>
      </c>
    </row>
    <row r="1083" spans="1:11" x14ac:dyDescent="0.25">
      <c r="A1083" t="s">
        <v>3442</v>
      </c>
      <c r="B1083" s="3">
        <v>45692</v>
      </c>
      <c r="C1083">
        <v>1200</v>
      </c>
      <c r="D1083" s="1">
        <v>16905.75</v>
      </c>
      <c r="E1083" s="1">
        <v>0</v>
      </c>
      <c r="F1083" t="s">
        <v>3443</v>
      </c>
      <c r="G1083" t="str">
        <f>_xlfn.XLOOKUP(C1083,tblCOA[AccountNo],tblCOA[AccountName],"Unmapped")</f>
        <v>Accounts Receivable</v>
      </c>
      <c r="H1083" t="str">
        <f>_xlfn.XLOOKUP(C1083,tblCOA[AccountNo],tblCOA[Category],"Unmapped")</f>
        <v>Assets</v>
      </c>
      <c r="I1083" s="4">
        <f t="shared" si="48"/>
        <v>16905.75</v>
      </c>
      <c r="J1083">
        <f t="shared" si="49"/>
        <v>2025</v>
      </c>
      <c r="K1083" s="5">
        <f t="shared" si="50"/>
        <v>45689</v>
      </c>
    </row>
    <row r="1084" spans="1:11" x14ac:dyDescent="0.25">
      <c r="A1084" t="s">
        <v>3444</v>
      </c>
      <c r="B1084" s="3">
        <v>45692</v>
      </c>
      <c r="C1084">
        <v>4010</v>
      </c>
      <c r="D1084" s="1">
        <v>0</v>
      </c>
      <c r="E1084" s="1">
        <v>16905.75</v>
      </c>
      <c r="F1084" t="s">
        <v>3445</v>
      </c>
      <c r="G1084" t="str">
        <f>_xlfn.XLOOKUP(C1084,tblCOA[AccountNo],tblCOA[AccountName],"Unmapped")</f>
        <v>Product Sales</v>
      </c>
      <c r="H1084" t="str">
        <f>_xlfn.XLOOKUP(C1084,tblCOA[AccountNo],tblCOA[Category],"Unmapped")</f>
        <v>Revenue</v>
      </c>
      <c r="I1084" s="4">
        <f t="shared" si="48"/>
        <v>-16905.75</v>
      </c>
      <c r="J1084">
        <f t="shared" si="49"/>
        <v>2025</v>
      </c>
      <c r="K1084" s="5">
        <f t="shared" si="50"/>
        <v>45689</v>
      </c>
    </row>
    <row r="1085" spans="1:11" x14ac:dyDescent="0.25">
      <c r="A1085" t="s">
        <v>40</v>
      </c>
      <c r="B1085" s="3">
        <v>45692</v>
      </c>
      <c r="C1085">
        <v>2010</v>
      </c>
      <c r="D1085" s="1">
        <v>0</v>
      </c>
      <c r="E1085" s="1">
        <v>4295.97</v>
      </c>
      <c r="F1085" t="s">
        <v>41</v>
      </c>
      <c r="G1085" t="str">
        <f>_xlfn.XLOOKUP(C1085,tblCOA[AccountNo],tblCOA[AccountName],"Unmapped")</f>
        <v>Accounts Payable</v>
      </c>
      <c r="H1085" t="str">
        <f>_xlfn.XLOOKUP(C1085,tblCOA[AccountNo],tblCOA[Category],"Unmapped")</f>
        <v>Liabilities</v>
      </c>
      <c r="I1085" s="4">
        <f t="shared" si="48"/>
        <v>-4295.97</v>
      </c>
      <c r="J1085">
        <f t="shared" si="49"/>
        <v>2025</v>
      </c>
      <c r="K1085" s="5">
        <f t="shared" si="50"/>
        <v>45689</v>
      </c>
    </row>
    <row r="1086" spans="1:11" x14ac:dyDescent="0.25">
      <c r="A1086" t="s">
        <v>1070</v>
      </c>
      <c r="B1086" s="3">
        <v>45694</v>
      </c>
      <c r="C1086">
        <v>5010</v>
      </c>
      <c r="D1086" s="1">
        <v>2194.25</v>
      </c>
      <c r="E1086" s="1">
        <v>0</v>
      </c>
      <c r="F1086" t="s">
        <v>1071</v>
      </c>
      <c r="G1086" t="str">
        <f>_xlfn.XLOOKUP(C1086,tblCOA[AccountNo],tblCOA[AccountName],"Unmapped")</f>
        <v>Cost of Goods Sold</v>
      </c>
      <c r="H1086" t="str">
        <f>_xlfn.XLOOKUP(C1086,tblCOA[AccountNo],tblCOA[Category],"Unmapped")</f>
        <v>Expenses</v>
      </c>
      <c r="I1086" s="4">
        <f t="shared" si="48"/>
        <v>2194.25</v>
      </c>
      <c r="J1086">
        <f t="shared" si="49"/>
        <v>2025</v>
      </c>
      <c r="K1086" s="5">
        <f t="shared" si="50"/>
        <v>45689</v>
      </c>
    </row>
    <row r="1087" spans="1:11" x14ac:dyDescent="0.25">
      <c r="A1087" t="s">
        <v>1072</v>
      </c>
      <c r="B1087" s="3">
        <v>45694</v>
      </c>
      <c r="C1087">
        <v>2010</v>
      </c>
      <c r="D1087" s="1">
        <v>0</v>
      </c>
      <c r="E1087" s="1">
        <v>2194.25</v>
      </c>
      <c r="F1087" t="s">
        <v>1073</v>
      </c>
      <c r="G1087" t="str">
        <f>_xlfn.XLOOKUP(C1087,tblCOA[AccountNo],tblCOA[AccountName],"Unmapped")</f>
        <v>Accounts Payable</v>
      </c>
      <c r="H1087" t="str">
        <f>_xlfn.XLOOKUP(C1087,tblCOA[AccountNo],tblCOA[Category],"Unmapped")</f>
        <v>Liabilities</v>
      </c>
      <c r="I1087" s="4">
        <f t="shared" si="48"/>
        <v>-2194.25</v>
      </c>
      <c r="J1087">
        <f t="shared" si="49"/>
        <v>2025</v>
      </c>
      <c r="K1087" s="5">
        <f t="shared" si="50"/>
        <v>45689</v>
      </c>
    </row>
    <row r="1088" spans="1:11" x14ac:dyDescent="0.25">
      <c r="A1088" t="s">
        <v>3554</v>
      </c>
      <c r="B1088" s="3">
        <v>45696</v>
      </c>
      <c r="C1088">
        <v>1200</v>
      </c>
      <c r="D1088" s="1">
        <v>14125.27</v>
      </c>
      <c r="E1088" s="1">
        <v>0</v>
      </c>
      <c r="F1088" t="s">
        <v>3555</v>
      </c>
      <c r="G1088" t="str">
        <f>_xlfn.XLOOKUP(C1088,tblCOA[AccountNo],tblCOA[AccountName],"Unmapped")</f>
        <v>Accounts Receivable</v>
      </c>
      <c r="H1088" t="str">
        <f>_xlfn.XLOOKUP(C1088,tblCOA[AccountNo],tblCOA[Category],"Unmapped")</f>
        <v>Assets</v>
      </c>
      <c r="I1088" s="4">
        <f t="shared" si="48"/>
        <v>14125.27</v>
      </c>
      <c r="J1088">
        <f t="shared" si="49"/>
        <v>2025</v>
      </c>
      <c r="K1088" s="5">
        <f t="shared" si="50"/>
        <v>45689</v>
      </c>
    </row>
    <row r="1089" spans="1:11" x14ac:dyDescent="0.25">
      <c r="A1089" t="s">
        <v>3556</v>
      </c>
      <c r="B1089" s="3">
        <v>45696</v>
      </c>
      <c r="C1089">
        <v>4010</v>
      </c>
      <c r="D1089" s="1">
        <v>0</v>
      </c>
      <c r="E1089" s="1">
        <v>14125.27</v>
      </c>
      <c r="F1089" t="s">
        <v>3557</v>
      </c>
      <c r="G1089" t="str">
        <f>_xlfn.XLOOKUP(C1089,tblCOA[AccountNo],tblCOA[AccountName],"Unmapped")</f>
        <v>Product Sales</v>
      </c>
      <c r="H1089" t="str">
        <f>_xlfn.XLOOKUP(C1089,tblCOA[AccountNo],tblCOA[Category],"Unmapped")</f>
        <v>Revenue</v>
      </c>
      <c r="I1089" s="4">
        <f t="shared" si="48"/>
        <v>-14125.27</v>
      </c>
      <c r="J1089">
        <f t="shared" si="49"/>
        <v>2025</v>
      </c>
      <c r="K1089" s="5">
        <f t="shared" si="50"/>
        <v>45689</v>
      </c>
    </row>
    <row r="1090" spans="1:11" x14ac:dyDescent="0.25">
      <c r="A1090" t="s">
        <v>2642</v>
      </c>
      <c r="B1090" s="3">
        <v>45699</v>
      </c>
      <c r="C1090">
        <v>1200</v>
      </c>
      <c r="D1090" s="1">
        <v>30945.86</v>
      </c>
      <c r="E1090" s="1">
        <v>0</v>
      </c>
      <c r="F1090" t="s">
        <v>2643</v>
      </c>
      <c r="G1090" t="str">
        <f>_xlfn.XLOOKUP(C1090,tblCOA[AccountNo],tblCOA[AccountName],"Unmapped")</f>
        <v>Accounts Receivable</v>
      </c>
      <c r="H1090" t="str">
        <f>_xlfn.XLOOKUP(C1090,tblCOA[AccountNo],tblCOA[Category],"Unmapped")</f>
        <v>Assets</v>
      </c>
      <c r="I1090" s="4">
        <f t="shared" ref="I1090:I1153" si="51">D1090-E1090</f>
        <v>30945.86</v>
      </c>
      <c r="J1090">
        <f t="shared" ref="J1090:J1153" si="52">YEAR(B1090)</f>
        <v>2025</v>
      </c>
      <c r="K1090" s="5">
        <f t="shared" ref="K1090:K1153" si="53">DATE(YEAR(B1090),MONTH(B1090),1)</f>
        <v>45689</v>
      </c>
    </row>
    <row r="1091" spans="1:11" x14ac:dyDescent="0.25">
      <c r="A1091" t="s">
        <v>2644</v>
      </c>
      <c r="B1091" s="3">
        <v>45699</v>
      </c>
      <c r="C1091">
        <v>4010</v>
      </c>
      <c r="D1091" s="1">
        <v>0</v>
      </c>
      <c r="E1091" s="1">
        <v>30945.86</v>
      </c>
      <c r="F1091" t="s">
        <v>2645</v>
      </c>
      <c r="G1091" t="str">
        <f>_xlfn.XLOOKUP(C1091,tblCOA[AccountNo],tblCOA[AccountName],"Unmapped")</f>
        <v>Product Sales</v>
      </c>
      <c r="H1091" t="str">
        <f>_xlfn.XLOOKUP(C1091,tblCOA[AccountNo],tblCOA[Category],"Unmapped")</f>
        <v>Revenue</v>
      </c>
      <c r="I1091" s="4">
        <f t="shared" si="51"/>
        <v>-30945.86</v>
      </c>
      <c r="J1091">
        <f t="shared" si="52"/>
        <v>2025</v>
      </c>
      <c r="K1091" s="5">
        <f t="shared" si="53"/>
        <v>45689</v>
      </c>
    </row>
    <row r="1092" spans="1:11" x14ac:dyDescent="0.25">
      <c r="A1092" t="s">
        <v>142</v>
      </c>
      <c r="B1092" s="3">
        <v>45699</v>
      </c>
      <c r="C1092">
        <v>5010</v>
      </c>
      <c r="D1092" s="1">
        <v>5753.21</v>
      </c>
      <c r="E1092" s="1">
        <v>0</v>
      </c>
      <c r="F1092" t="s">
        <v>143</v>
      </c>
      <c r="G1092" t="str">
        <f>_xlfn.XLOOKUP(C1092,tblCOA[AccountNo],tblCOA[AccountName],"Unmapped")</f>
        <v>Cost of Goods Sold</v>
      </c>
      <c r="H1092" t="str">
        <f>_xlfn.XLOOKUP(C1092,tblCOA[AccountNo],tblCOA[Category],"Unmapped")</f>
        <v>Expenses</v>
      </c>
      <c r="I1092" s="4">
        <f t="shared" si="51"/>
        <v>5753.21</v>
      </c>
      <c r="J1092">
        <f t="shared" si="52"/>
        <v>2025</v>
      </c>
      <c r="K1092" s="5">
        <f t="shared" si="53"/>
        <v>45689</v>
      </c>
    </row>
    <row r="1093" spans="1:11" x14ac:dyDescent="0.25">
      <c r="A1093" t="s">
        <v>144</v>
      </c>
      <c r="B1093" s="3">
        <v>45699</v>
      </c>
      <c r="C1093">
        <v>2010</v>
      </c>
      <c r="D1093" s="1">
        <v>0</v>
      </c>
      <c r="E1093" s="1">
        <v>5753.21</v>
      </c>
      <c r="F1093" t="s">
        <v>145</v>
      </c>
      <c r="G1093" t="str">
        <f>_xlfn.XLOOKUP(C1093,tblCOA[AccountNo],tblCOA[AccountName],"Unmapped")</f>
        <v>Accounts Payable</v>
      </c>
      <c r="H1093" t="str">
        <f>_xlfn.XLOOKUP(C1093,tblCOA[AccountNo],tblCOA[Category],"Unmapped")</f>
        <v>Liabilities</v>
      </c>
      <c r="I1093" s="4">
        <f t="shared" si="51"/>
        <v>-5753.21</v>
      </c>
      <c r="J1093">
        <f t="shared" si="52"/>
        <v>2025</v>
      </c>
      <c r="K1093" s="5">
        <f t="shared" si="53"/>
        <v>45689</v>
      </c>
    </row>
    <row r="1094" spans="1:11" x14ac:dyDescent="0.25">
      <c r="A1094" t="s">
        <v>3534</v>
      </c>
      <c r="B1094" s="3">
        <v>45703</v>
      </c>
      <c r="C1094">
        <v>5010</v>
      </c>
      <c r="D1094" s="1">
        <v>12181.96</v>
      </c>
      <c r="E1094" s="1">
        <v>0</v>
      </c>
      <c r="F1094" t="s">
        <v>3535</v>
      </c>
      <c r="G1094" t="str">
        <f>_xlfn.XLOOKUP(C1094,tblCOA[AccountNo],tblCOA[AccountName],"Unmapped")</f>
        <v>Cost of Goods Sold</v>
      </c>
      <c r="H1094" t="str">
        <f>_xlfn.XLOOKUP(C1094,tblCOA[AccountNo],tblCOA[Category],"Unmapped")</f>
        <v>Expenses</v>
      </c>
      <c r="I1094" s="4">
        <f t="shared" si="51"/>
        <v>12181.96</v>
      </c>
      <c r="J1094">
        <f t="shared" si="52"/>
        <v>2025</v>
      </c>
      <c r="K1094" s="5">
        <f t="shared" si="53"/>
        <v>45689</v>
      </c>
    </row>
    <row r="1095" spans="1:11" x14ac:dyDescent="0.25">
      <c r="A1095" t="s">
        <v>3536</v>
      </c>
      <c r="B1095" s="3">
        <v>45703</v>
      </c>
      <c r="C1095">
        <v>2010</v>
      </c>
      <c r="D1095" s="1">
        <v>0</v>
      </c>
      <c r="E1095" s="1">
        <v>12181.96</v>
      </c>
      <c r="F1095" t="s">
        <v>3537</v>
      </c>
      <c r="G1095" t="str">
        <f>_xlfn.XLOOKUP(C1095,tblCOA[AccountNo],tblCOA[AccountName],"Unmapped")</f>
        <v>Accounts Payable</v>
      </c>
      <c r="H1095" t="str">
        <f>_xlfn.XLOOKUP(C1095,tblCOA[AccountNo],tblCOA[Category],"Unmapped")</f>
        <v>Liabilities</v>
      </c>
      <c r="I1095" s="4">
        <f t="shared" si="51"/>
        <v>-12181.96</v>
      </c>
      <c r="J1095">
        <f t="shared" si="52"/>
        <v>2025</v>
      </c>
      <c r="K1095" s="5">
        <f t="shared" si="53"/>
        <v>45689</v>
      </c>
    </row>
    <row r="1096" spans="1:11" x14ac:dyDescent="0.25">
      <c r="A1096" t="s">
        <v>1494</v>
      </c>
      <c r="B1096" s="3">
        <v>45703</v>
      </c>
      <c r="C1096">
        <v>5010</v>
      </c>
      <c r="D1096" s="1">
        <v>11229.91</v>
      </c>
      <c r="E1096" s="1">
        <v>0</v>
      </c>
      <c r="F1096" t="s">
        <v>1495</v>
      </c>
      <c r="G1096" t="str">
        <f>_xlfn.XLOOKUP(C1096,tblCOA[AccountNo],tblCOA[AccountName],"Unmapped")</f>
        <v>Cost of Goods Sold</v>
      </c>
      <c r="H1096" t="str">
        <f>_xlfn.XLOOKUP(C1096,tblCOA[AccountNo],tblCOA[Category],"Unmapped")</f>
        <v>Expenses</v>
      </c>
      <c r="I1096" s="4">
        <f t="shared" si="51"/>
        <v>11229.91</v>
      </c>
      <c r="J1096">
        <f t="shared" si="52"/>
        <v>2025</v>
      </c>
      <c r="K1096" s="5">
        <f t="shared" si="53"/>
        <v>45689</v>
      </c>
    </row>
    <row r="1097" spans="1:11" x14ac:dyDescent="0.25">
      <c r="A1097" t="s">
        <v>1496</v>
      </c>
      <c r="B1097" s="3">
        <v>45703</v>
      </c>
      <c r="C1097">
        <v>2010</v>
      </c>
      <c r="D1097" s="1">
        <v>0</v>
      </c>
      <c r="E1097" s="1">
        <v>11229.91</v>
      </c>
      <c r="F1097" t="s">
        <v>1497</v>
      </c>
      <c r="G1097" t="str">
        <f>_xlfn.XLOOKUP(C1097,tblCOA[AccountNo],tblCOA[AccountName],"Unmapped")</f>
        <v>Accounts Payable</v>
      </c>
      <c r="H1097" t="str">
        <f>_xlfn.XLOOKUP(C1097,tblCOA[AccountNo],tblCOA[Category],"Unmapped")</f>
        <v>Liabilities</v>
      </c>
      <c r="I1097" s="4">
        <f t="shared" si="51"/>
        <v>-11229.91</v>
      </c>
      <c r="J1097">
        <f t="shared" si="52"/>
        <v>2025</v>
      </c>
      <c r="K1097" s="5">
        <f t="shared" si="53"/>
        <v>45689</v>
      </c>
    </row>
    <row r="1098" spans="1:11" x14ac:dyDescent="0.25">
      <c r="A1098" t="s">
        <v>298</v>
      </c>
      <c r="B1098" s="3">
        <v>45707</v>
      </c>
      <c r="C1098">
        <v>1200</v>
      </c>
      <c r="D1098" s="1">
        <v>18324.34</v>
      </c>
      <c r="E1098" s="1">
        <v>0</v>
      </c>
      <c r="F1098" t="s">
        <v>299</v>
      </c>
      <c r="G1098" t="str">
        <f>_xlfn.XLOOKUP(C1098,tblCOA[AccountNo],tblCOA[AccountName],"Unmapped")</f>
        <v>Accounts Receivable</v>
      </c>
      <c r="H1098" t="str">
        <f>_xlfn.XLOOKUP(C1098,tblCOA[AccountNo],tblCOA[Category],"Unmapped")</f>
        <v>Assets</v>
      </c>
      <c r="I1098" s="4">
        <f t="shared" si="51"/>
        <v>18324.34</v>
      </c>
      <c r="J1098">
        <f t="shared" si="52"/>
        <v>2025</v>
      </c>
      <c r="K1098" s="5">
        <f t="shared" si="53"/>
        <v>45689</v>
      </c>
    </row>
    <row r="1099" spans="1:11" x14ac:dyDescent="0.25">
      <c r="A1099" t="s">
        <v>300</v>
      </c>
      <c r="B1099" s="3">
        <v>45707</v>
      </c>
      <c r="C1099">
        <v>4010</v>
      </c>
      <c r="D1099" s="1">
        <v>0</v>
      </c>
      <c r="E1099" s="1">
        <v>18324.34</v>
      </c>
      <c r="F1099" t="s">
        <v>301</v>
      </c>
      <c r="G1099" t="str">
        <f>_xlfn.XLOOKUP(C1099,tblCOA[AccountNo],tblCOA[AccountName],"Unmapped")</f>
        <v>Product Sales</v>
      </c>
      <c r="H1099" t="str">
        <f>_xlfn.XLOOKUP(C1099,tblCOA[AccountNo],tblCOA[Category],"Unmapped")</f>
        <v>Revenue</v>
      </c>
      <c r="I1099" s="4">
        <f t="shared" si="51"/>
        <v>-18324.34</v>
      </c>
      <c r="J1099">
        <f t="shared" si="52"/>
        <v>2025</v>
      </c>
      <c r="K1099" s="5">
        <f t="shared" si="53"/>
        <v>45689</v>
      </c>
    </row>
    <row r="1100" spans="1:11" x14ac:dyDescent="0.25">
      <c r="A1100" t="s">
        <v>2738</v>
      </c>
      <c r="B1100" s="3">
        <v>45710</v>
      </c>
      <c r="C1100">
        <v>1200</v>
      </c>
      <c r="D1100" s="1">
        <v>33527.08</v>
      </c>
      <c r="E1100" s="1">
        <v>0</v>
      </c>
      <c r="F1100" t="s">
        <v>2739</v>
      </c>
      <c r="G1100" t="str">
        <f>_xlfn.XLOOKUP(C1100,tblCOA[AccountNo],tblCOA[AccountName],"Unmapped")</f>
        <v>Accounts Receivable</v>
      </c>
      <c r="H1100" t="str">
        <f>_xlfn.XLOOKUP(C1100,tblCOA[AccountNo],tblCOA[Category],"Unmapped")</f>
        <v>Assets</v>
      </c>
      <c r="I1100" s="4">
        <f t="shared" si="51"/>
        <v>33527.08</v>
      </c>
      <c r="J1100">
        <f t="shared" si="52"/>
        <v>2025</v>
      </c>
      <c r="K1100" s="5">
        <f t="shared" si="53"/>
        <v>45689</v>
      </c>
    </row>
    <row r="1101" spans="1:11" x14ac:dyDescent="0.25">
      <c r="A1101" t="s">
        <v>2740</v>
      </c>
      <c r="B1101" s="3">
        <v>45710</v>
      </c>
      <c r="C1101">
        <v>4010</v>
      </c>
      <c r="D1101" s="1">
        <v>0</v>
      </c>
      <c r="E1101" s="1">
        <v>33527.08</v>
      </c>
      <c r="F1101" t="s">
        <v>2741</v>
      </c>
      <c r="G1101" t="str">
        <f>_xlfn.XLOOKUP(C1101,tblCOA[AccountNo],tblCOA[AccountName],"Unmapped")</f>
        <v>Product Sales</v>
      </c>
      <c r="H1101" t="str">
        <f>_xlfn.XLOOKUP(C1101,tblCOA[AccountNo],tblCOA[Category],"Unmapped")</f>
        <v>Revenue</v>
      </c>
      <c r="I1101" s="4">
        <f t="shared" si="51"/>
        <v>-33527.08</v>
      </c>
      <c r="J1101">
        <f t="shared" si="52"/>
        <v>2025</v>
      </c>
      <c r="K1101" s="5">
        <f t="shared" si="53"/>
        <v>45689</v>
      </c>
    </row>
    <row r="1102" spans="1:11" x14ac:dyDescent="0.25">
      <c r="A1102" t="s">
        <v>1746</v>
      </c>
      <c r="B1102" s="3">
        <v>45711</v>
      </c>
      <c r="C1102">
        <v>1200</v>
      </c>
      <c r="D1102" s="1">
        <v>30407.79</v>
      </c>
      <c r="E1102" s="1">
        <v>0</v>
      </c>
      <c r="F1102" t="s">
        <v>1747</v>
      </c>
      <c r="G1102" t="str">
        <f>_xlfn.XLOOKUP(C1102,tblCOA[AccountNo],tblCOA[AccountName],"Unmapped")</f>
        <v>Accounts Receivable</v>
      </c>
      <c r="H1102" t="str">
        <f>_xlfn.XLOOKUP(C1102,tblCOA[AccountNo],tblCOA[Category],"Unmapped")</f>
        <v>Assets</v>
      </c>
      <c r="I1102" s="4">
        <f t="shared" si="51"/>
        <v>30407.79</v>
      </c>
      <c r="J1102">
        <f t="shared" si="52"/>
        <v>2025</v>
      </c>
      <c r="K1102" s="5">
        <f t="shared" si="53"/>
        <v>45689</v>
      </c>
    </row>
    <row r="1103" spans="1:11" x14ac:dyDescent="0.25">
      <c r="A1103" t="s">
        <v>1748</v>
      </c>
      <c r="B1103" s="3">
        <v>45711</v>
      </c>
      <c r="C1103">
        <v>4010</v>
      </c>
      <c r="D1103" s="1">
        <v>0</v>
      </c>
      <c r="E1103" s="1">
        <v>30407.79</v>
      </c>
      <c r="F1103" t="s">
        <v>1749</v>
      </c>
      <c r="G1103" t="str">
        <f>_xlfn.XLOOKUP(C1103,tblCOA[AccountNo],tblCOA[AccountName],"Unmapped")</f>
        <v>Product Sales</v>
      </c>
      <c r="H1103" t="str">
        <f>_xlfn.XLOOKUP(C1103,tblCOA[AccountNo],tblCOA[Category],"Unmapped")</f>
        <v>Revenue</v>
      </c>
      <c r="I1103" s="4">
        <f t="shared" si="51"/>
        <v>-30407.79</v>
      </c>
      <c r="J1103">
        <f t="shared" si="52"/>
        <v>2025</v>
      </c>
      <c r="K1103" s="5">
        <f t="shared" si="53"/>
        <v>45689</v>
      </c>
    </row>
    <row r="1104" spans="1:11" x14ac:dyDescent="0.25">
      <c r="A1104" t="s">
        <v>2914</v>
      </c>
      <c r="B1104" s="3">
        <v>45712</v>
      </c>
      <c r="C1104">
        <v>1200</v>
      </c>
      <c r="D1104" s="1">
        <v>7962.39</v>
      </c>
      <c r="E1104" s="1">
        <v>0</v>
      </c>
      <c r="F1104" t="s">
        <v>2915</v>
      </c>
      <c r="G1104" t="str">
        <f>_xlfn.XLOOKUP(C1104,tblCOA[AccountNo],tblCOA[AccountName],"Unmapped")</f>
        <v>Accounts Receivable</v>
      </c>
      <c r="H1104" t="str">
        <f>_xlfn.XLOOKUP(C1104,tblCOA[AccountNo],tblCOA[Category],"Unmapped")</f>
        <v>Assets</v>
      </c>
      <c r="I1104" s="4">
        <f t="shared" si="51"/>
        <v>7962.39</v>
      </c>
      <c r="J1104">
        <f t="shared" si="52"/>
        <v>2025</v>
      </c>
      <c r="K1104" s="5">
        <f t="shared" si="53"/>
        <v>45689</v>
      </c>
    </row>
    <row r="1105" spans="1:11" x14ac:dyDescent="0.25">
      <c r="A1105" t="s">
        <v>2916</v>
      </c>
      <c r="B1105" s="3">
        <v>45712</v>
      </c>
      <c r="C1105">
        <v>4010</v>
      </c>
      <c r="D1105" s="1">
        <v>0</v>
      </c>
      <c r="E1105" s="1">
        <v>7962.39</v>
      </c>
      <c r="F1105" t="s">
        <v>2917</v>
      </c>
      <c r="G1105" t="str">
        <f>_xlfn.XLOOKUP(C1105,tblCOA[AccountNo],tblCOA[AccountName],"Unmapped")</f>
        <v>Product Sales</v>
      </c>
      <c r="H1105" t="str">
        <f>_xlfn.XLOOKUP(C1105,tblCOA[AccountNo],tblCOA[Category],"Unmapped")</f>
        <v>Revenue</v>
      </c>
      <c r="I1105" s="4">
        <f t="shared" si="51"/>
        <v>-7962.39</v>
      </c>
      <c r="J1105">
        <f t="shared" si="52"/>
        <v>2025</v>
      </c>
      <c r="K1105" s="5">
        <f t="shared" si="53"/>
        <v>45689</v>
      </c>
    </row>
    <row r="1106" spans="1:11" x14ac:dyDescent="0.25">
      <c r="A1106" t="s">
        <v>454</v>
      </c>
      <c r="B1106" s="3">
        <v>45713</v>
      </c>
      <c r="C1106">
        <v>5010</v>
      </c>
      <c r="D1106" s="1">
        <v>19367.54</v>
      </c>
      <c r="E1106" s="1">
        <v>0</v>
      </c>
      <c r="F1106" t="s">
        <v>455</v>
      </c>
      <c r="G1106" t="str">
        <f>_xlfn.XLOOKUP(C1106,tblCOA[AccountNo],tblCOA[AccountName],"Unmapped")</f>
        <v>Cost of Goods Sold</v>
      </c>
      <c r="H1106" t="str">
        <f>_xlfn.XLOOKUP(C1106,tblCOA[AccountNo],tblCOA[Category],"Unmapped")</f>
        <v>Expenses</v>
      </c>
      <c r="I1106" s="4">
        <f t="shared" si="51"/>
        <v>19367.54</v>
      </c>
      <c r="J1106">
        <f t="shared" si="52"/>
        <v>2025</v>
      </c>
      <c r="K1106" s="5">
        <f t="shared" si="53"/>
        <v>45689</v>
      </c>
    </row>
    <row r="1107" spans="1:11" x14ac:dyDescent="0.25">
      <c r="A1107" t="s">
        <v>456</v>
      </c>
      <c r="B1107" s="3">
        <v>45713</v>
      </c>
      <c r="C1107">
        <v>2010</v>
      </c>
      <c r="D1107" s="1">
        <v>0</v>
      </c>
      <c r="E1107" s="1">
        <v>19367.54</v>
      </c>
      <c r="F1107" t="s">
        <v>457</v>
      </c>
      <c r="G1107" t="str">
        <f>_xlfn.XLOOKUP(C1107,tblCOA[AccountNo],tblCOA[AccountName],"Unmapped")</f>
        <v>Accounts Payable</v>
      </c>
      <c r="H1107" t="str">
        <f>_xlfn.XLOOKUP(C1107,tblCOA[AccountNo],tblCOA[Category],"Unmapped")</f>
        <v>Liabilities</v>
      </c>
      <c r="I1107" s="4">
        <f t="shared" si="51"/>
        <v>-19367.54</v>
      </c>
      <c r="J1107">
        <f t="shared" si="52"/>
        <v>2025</v>
      </c>
      <c r="K1107" s="5">
        <f t="shared" si="53"/>
        <v>45689</v>
      </c>
    </row>
    <row r="1108" spans="1:11" x14ac:dyDescent="0.25">
      <c r="A1108" t="s">
        <v>1990</v>
      </c>
      <c r="B1108" s="3">
        <v>45713</v>
      </c>
      <c r="C1108">
        <v>5010</v>
      </c>
      <c r="D1108" s="1">
        <v>11142.55</v>
      </c>
      <c r="E1108" s="1">
        <v>0</v>
      </c>
      <c r="F1108" t="s">
        <v>1991</v>
      </c>
      <c r="G1108" t="str">
        <f>_xlfn.XLOOKUP(C1108,tblCOA[AccountNo],tblCOA[AccountName],"Unmapped")</f>
        <v>Cost of Goods Sold</v>
      </c>
      <c r="H1108" t="str">
        <f>_xlfn.XLOOKUP(C1108,tblCOA[AccountNo],tblCOA[Category],"Unmapped")</f>
        <v>Expenses</v>
      </c>
      <c r="I1108" s="4">
        <f t="shared" si="51"/>
        <v>11142.55</v>
      </c>
      <c r="J1108">
        <f t="shared" si="52"/>
        <v>2025</v>
      </c>
      <c r="K1108" s="5">
        <f t="shared" si="53"/>
        <v>45689</v>
      </c>
    </row>
    <row r="1109" spans="1:11" x14ac:dyDescent="0.25">
      <c r="A1109" t="s">
        <v>1992</v>
      </c>
      <c r="B1109" s="3">
        <v>45713</v>
      </c>
      <c r="C1109">
        <v>2010</v>
      </c>
      <c r="D1109" s="1">
        <v>0</v>
      </c>
      <c r="E1109" s="1">
        <v>11142.55</v>
      </c>
      <c r="F1109" t="s">
        <v>1993</v>
      </c>
      <c r="G1109" t="str">
        <f>_xlfn.XLOOKUP(C1109,tblCOA[AccountNo],tblCOA[AccountName],"Unmapped")</f>
        <v>Accounts Payable</v>
      </c>
      <c r="H1109" t="str">
        <f>_xlfn.XLOOKUP(C1109,tblCOA[AccountNo],tblCOA[Category],"Unmapped")</f>
        <v>Liabilities</v>
      </c>
      <c r="I1109" s="4">
        <f t="shared" si="51"/>
        <v>-11142.55</v>
      </c>
      <c r="J1109">
        <f t="shared" si="52"/>
        <v>2025</v>
      </c>
      <c r="K1109" s="5">
        <f t="shared" si="53"/>
        <v>45689</v>
      </c>
    </row>
    <row r="1110" spans="1:11" x14ac:dyDescent="0.25">
      <c r="A1110" t="s">
        <v>3318</v>
      </c>
      <c r="B1110" s="3">
        <v>45715</v>
      </c>
      <c r="C1110">
        <v>5010</v>
      </c>
      <c r="D1110" s="1">
        <v>5015.43</v>
      </c>
      <c r="E1110" s="1">
        <v>0</v>
      </c>
      <c r="F1110" t="s">
        <v>3319</v>
      </c>
      <c r="G1110" t="str">
        <f>_xlfn.XLOOKUP(C1110,tblCOA[AccountNo],tblCOA[AccountName],"Unmapped")</f>
        <v>Cost of Goods Sold</v>
      </c>
      <c r="H1110" t="str">
        <f>_xlfn.XLOOKUP(C1110,tblCOA[AccountNo],tblCOA[Category],"Unmapped")</f>
        <v>Expenses</v>
      </c>
      <c r="I1110" s="4">
        <f t="shared" si="51"/>
        <v>5015.43</v>
      </c>
      <c r="J1110">
        <f t="shared" si="52"/>
        <v>2025</v>
      </c>
      <c r="K1110" s="5">
        <f t="shared" si="53"/>
        <v>45689</v>
      </c>
    </row>
    <row r="1111" spans="1:11" x14ac:dyDescent="0.25">
      <c r="A1111" t="s">
        <v>3320</v>
      </c>
      <c r="B1111" s="3">
        <v>45715</v>
      </c>
      <c r="C1111">
        <v>2010</v>
      </c>
      <c r="D1111" s="1">
        <v>0</v>
      </c>
      <c r="E1111" s="1">
        <v>5015.43</v>
      </c>
      <c r="F1111" t="s">
        <v>3321</v>
      </c>
      <c r="G1111" t="str">
        <f>_xlfn.XLOOKUP(C1111,tblCOA[AccountNo],tblCOA[AccountName],"Unmapped")</f>
        <v>Accounts Payable</v>
      </c>
      <c r="H1111" t="str">
        <f>_xlfn.XLOOKUP(C1111,tblCOA[AccountNo],tblCOA[Category],"Unmapped")</f>
        <v>Liabilities</v>
      </c>
      <c r="I1111" s="4">
        <f t="shared" si="51"/>
        <v>-5015.43</v>
      </c>
      <c r="J1111">
        <f t="shared" si="52"/>
        <v>2025</v>
      </c>
      <c r="K1111" s="5">
        <f t="shared" si="53"/>
        <v>45689</v>
      </c>
    </row>
    <row r="1112" spans="1:11" x14ac:dyDescent="0.25">
      <c r="A1112" t="s">
        <v>3418</v>
      </c>
      <c r="B1112" s="3">
        <v>45715</v>
      </c>
      <c r="C1112">
        <v>1200</v>
      </c>
      <c r="D1112" s="1">
        <v>18361.830000000002</v>
      </c>
      <c r="E1112" s="1">
        <v>0</v>
      </c>
      <c r="F1112" t="s">
        <v>3419</v>
      </c>
      <c r="G1112" t="str">
        <f>_xlfn.XLOOKUP(C1112,tblCOA[AccountNo],tblCOA[AccountName],"Unmapped")</f>
        <v>Accounts Receivable</v>
      </c>
      <c r="H1112" t="str">
        <f>_xlfn.XLOOKUP(C1112,tblCOA[AccountNo],tblCOA[Category],"Unmapped")</f>
        <v>Assets</v>
      </c>
      <c r="I1112" s="4">
        <f t="shared" si="51"/>
        <v>18361.830000000002</v>
      </c>
      <c r="J1112">
        <f t="shared" si="52"/>
        <v>2025</v>
      </c>
      <c r="K1112" s="5">
        <f t="shared" si="53"/>
        <v>45689</v>
      </c>
    </row>
    <row r="1113" spans="1:11" x14ac:dyDescent="0.25">
      <c r="A1113" t="s">
        <v>3420</v>
      </c>
      <c r="B1113" s="3">
        <v>45715</v>
      </c>
      <c r="C1113">
        <v>4010</v>
      </c>
      <c r="D1113" s="1">
        <v>0</v>
      </c>
      <c r="E1113" s="1">
        <v>18361.830000000002</v>
      </c>
      <c r="F1113" t="s">
        <v>3421</v>
      </c>
      <c r="G1113" t="str">
        <f>_xlfn.XLOOKUP(C1113,tblCOA[AccountNo],tblCOA[AccountName],"Unmapped")</f>
        <v>Product Sales</v>
      </c>
      <c r="H1113" t="str">
        <f>_xlfn.XLOOKUP(C1113,tblCOA[AccountNo],tblCOA[Category],"Unmapped")</f>
        <v>Revenue</v>
      </c>
      <c r="I1113" s="4">
        <f t="shared" si="51"/>
        <v>-18361.830000000002</v>
      </c>
      <c r="J1113">
        <f t="shared" si="52"/>
        <v>2025</v>
      </c>
      <c r="K1113" s="5">
        <f t="shared" si="53"/>
        <v>45689</v>
      </c>
    </row>
    <row r="1114" spans="1:11" x14ac:dyDescent="0.25">
      <c r="A1114" t="s">
        <v>966</v>
      </c>
      <c r="B1114" s="3">
        <v>45718</v>
      </c>
      <c r="C1114">
        <v>5010</v>
      </c>
      <c r="D1114" s="1">
        <v>1961.22</v>
      </c>
      <c r="E1114" s="1">
        <v>0</v>
      </c>
      <c r="F1114" t="s">
        <v>967</v>
      </c>
      <c r="G1114" t="str">
        <f>_xlfn.XLOOKUP(C1114,tblCOA[AccountNo],tblCOA[AccountName],"Unmapped")</f>
        <v>Cost of Goods Sold</v>
      </c>
      <c r="H1114" t="str">
        <f>_xlfn.XLOOKUP(C1114,tblCOA[AccountNo],tblCOA[Category],"Unmapped")</f>
        <v>Expenses</v>
      </c>
      <c r="I1114" s="4">
        <f t="shared" si="51"/>
        <v>1961.22</v>
      </c>
      <c r="J1114">
        <f t="shared" si="52"/>
        <v>2025</v>
      </c>
      <c r="K1114" s="5">
        <f t="shared" si="53"/>
        <v>45717</v>
      </c>
    </row>
    <row r="1115" spans="1:11" x14ac:dyDescent="0.25">
      <c r="A1115" t="s">
        <v>968</v>
      </c>
      <c r="B1115" s="3">
        <v>45718</v>
      </c>
      <c r="C1115">
        <v>2010</v>
      </c>
      <c r="D1115" s="1">
        <v>0</v>
      </c>
      <c r="E1115" s="1">
        <v>1961.22</v>
      </c>
      <c r="F1115" t="s">
        <v>969</v>
      </c>
      <c r="G1115" t="str">
        <f>_xlfn.XLOOKUP(C1115,tblCOA[AccountNo],tblCOA[AccountName],"Unmapped")</f>
        <v>Accounts Payable</v>
      </c>
      <c r="H1115" t="str">
        <f>_xlfn.XLOOKUP(C1115,tblCOA[AccountNo],tblCOA[Category],"Unmapped")</f>
        <v>Liabilities</v>
      </c>
      <c r="I1115" s="4">
        <f t="shared" si="51"/>
        <v>-1961.22</v>
      </c>
      <c r="J1115">
        <f t="shared" si="52"/>
        <v>2025</v>
      </c>
      <c r="K1115" s="5">
        <f t="shared" si="53"/>
        <v>45717</v>
      </c>
    </row>
    <row r="1116" spans="1:11" x14ac:dyDescent="0.25">
      <c r="A1116" t="s">
        <v>3446</v>
      </c>
      <c r="B1116" s="3">
        <v>45720</v>
      </c>
      <c r="C1116">
        <v>5010</v>
      </c>
      <c r="D1116" s="1">
        <v>2556.46</v>
      </c>
      <c r="E1116" s="1">
        <v>0</v>
      </c>
      <c r="F1116" t="s">
        <v>3447</v>
      </c>
      <c r="G1116" t="str">
        <f>_xlfn.XLOOKUP(C1116,tblCOA[AccountNo],tblCOA[AccountName],"Unmapped")</f>
        <v>Cost of Goods Sold</v>
      </c>
      <c r="H1116" t="str">
        <f>_xlfn.XLOOKUP(C1116,tblCOA[AccountNo],tblCOA[Category],"Unmapped")</f>
        <v>Expenses</v>
      </c>
      <c r="I1116" s="4">
        <f t="shared" si="51"/>
        <v>2556.46</v>
      </c>
      <c r="J1116">
        <f t="shared" si="52"/>
        <v>2025</v>
      </c>
      <c r="K1116" s="5">
        <f t="shared" si="53"/>
        <v>45717</v>
      </c>
    </row>
    <row r="1117" spans="1:11" x14ac:dyDescent="0.25">
      <c r="A1117" t="s">
        <v>3448</v>
      </c>
      <c r="B1117" s="3">
        <v>45720</v>
      </c>
      <c r="C1117">
        <v>2010</v>
      </c>
      <c r="D1117" s="1">
        <v>0</v>
      </c>
      <c r="E1117" s="1">
        <v>2556.46</v>
      </c>
      <c r="F1117" t="s">
        <v>3449</v>
      </c>
      <c r="G1117" t="str">
        <f>_xlfn.XLOOKUP(C1117,tblCOA[AccountNo],tblCOA[AccountName],"Unmapped")</f>
        <v>Accounts Payable</v>
      </c>
      <c r="H1117" t="str">
        <f>_xlfn.XLOOKUP(C1117,tblCOA[AccountNo],tblCOA[Category],"Unmapped")</f>
        <v>Liabilities</v>
      </c>
      <c r="I1117" s="4">
        <f t="shared" si="51"/>
        <v>-2556.46</v>
      </c>
      <c r="J1117">
        <f t="shared" si="52"/>
        <v>2025</v>
      </c>
      <c r="K1117" s="5">
        <f t="shared" si="53"/>
        <v>45717</v>
      </c>
    </row>
    <row r="1118" spans="1:11" x14ac:dyDescent="0.25">
      <c r="A1118" t="s">
        <v>3578</v>
      </c>
      <c r="B1118" s="3">
        <v>45720</v>
      </c>
      <c r="C1118">
        <v>1200</v>
      </c>
      <c r="D1118" s="1">
        <v>19872.169999999998</v>
      </c>
      <c r="E1118" s="1">
        <v>0</v>
      </c>
      <c r="F1118" t="s">
        <v>3579</v>
      </c>
      <c r="G1118" t="str">
        <f>_xlfn.XLOOKUP(C1118,tblCOA[AccountNo],tblCOA[AccountName],"Unmapped")</f>
        <v>Accounts Receivable</v>
      </c>
      <c r="H1118" t="str">
        <f>_xlfn.XLOOKUP(C1118,tblCOA[AccountNo],tblCOA[Category],"Unmapped")</f>
        <v>Assets</v>
      </c>
      <c r="I1118" s="4">
        <f t="shared" si="51"/>
        <v>19872.169999999998</v>
      </c>
      <c r="J1118">
        <f t="shared" si="52"/>
        <v>2025</v>
      </c>
      <c r="K1118" s="5">
        <f t="shared" si="53"/>
        <v>45717</v>
      </c>
    </row>
    <row r="1119" spans="1:11" x14ac:dyDescent="0.25">
      <c r="A1119" t="s">
        <v>3580</v>
      </c>
      <c r="B1119" s="3">
        <v>45720</v>
      </c>
      <c r="C1119">
        <v>4010</v>
      </c>
      <c r="D1119" s="1">
        <v>0</v>
      </c>
      <c r="E1119" s="1">
        <v>19872.169999999998</v>
      </c>
      <c r="F1119" t="s">
        <v>3581</v>
      </c>
      <c r="G1119" t="str">
        <f>_xlfn.XLOOKUP(C1119,tblCOA[AccountNo],tblCOA[AccountName],"Unmapped")</f>
        <v>Product Sales</v>
      </c>
      <c r="H1119" t="str">
        <f>_xlfn.XLOOKUP(C1119,tblCOA[AccountNo],tblCOA[Category],"Unmapped")</f>
        <v>Revenue</v>
      </c>
      <c r="I1119" s="4">
        <f t="shared" si="51"/>
        <v>-19872.169999999998</v>
      </c>
      <c r="J1119">
        <f t="shared" si="52"/>
        <v>2025</v>
      </c>
      <c r="K1119" s="5">
        <f t="shared" si="53"/>
        <v>45717</v>
      </c>
    </row>
    <row r="1120" spans="1:11" x14ac:dyDescent="0.25">
      <c r="A1120" t="s">
        <v>1926</v>
      </c>
      <c r="B1120" s="3">
        <v>45723</v>
      </c>
      <c r="C1120">
        <v>5010</v>
      </c>
      <c r="D1120" s="1">
        <v>1781.44</v>
      </c>
      <c r="E1120" s="1">
        <v>0</v>
      </c>
      <c r="F1120" t="s">
        <v>1927</v>
      </c>
      <c r="G1120" t="str">
        <f>_xlfn.XLOOKUP(C1120,tblCOA[AccountNo],tblCOA[AccountName],"Unmapped")</f>
        <v>Cost of Goods Sold</v>
      </c>
      <c r="H1120" t="str">
        <f>_xlfn.XLOOKUP(C1120,tblCOA[AccountNo],tblCOA[Category],"Unmapped")</f>
        <v>Expenses</v>
      </c>
      <c r="I1120" s="4">
        <f t="shared" si="51"/>
        <v>1781.44</v>
      </c>
      <c r="J1120">
        <f t="shared" si="52"/>
        <v>2025</v>
      </c>
      <c r="K1120" s="5">
        <f t="shared" si="53"/>
        <v>45717</v>
      </c>
    </row>
    <row r="1121" spans="1:11" x14ac:dyDescent="0.25">
      <c r="A1121" t="s">
        <v>1928</v>
      </c>
      <c r="B1121" s="3">
        <v>45723</v>
      </c>
      <c r="C1121">
        <v>2010</v>
      </c>
      <c r="D1121" s="1">
        <v>0</v>
      </c>
      <c r="E1121" s="1">
        <v>1781.44</v>
      </c>
      <c r="F1121" t="s">
        <v>1929</v>
      </c>
      <c r="G1121" t="str">
        <f>_xlfn.XLOOKUP(C1121,tblCOA[AccountNo],tblCOA[AccountName],"Unmapped")</f>
        <v>Accounts Payable</v>
      </c>
      <c r="H1121" t="str">
        <f>_xlfn.XLOOKUP(C1121,tblCOA[AccountNo],tblCOA[Category],"Unmapped")</f>
        <v>Liabilities</v>
      </c>
      <c r="I1121" s="4">
        <f t="shared" si="51"/>
        <v>-1781.44</v>
      </c>
      <c r="J1121">
        <f t="shared" si="52"/>
        <v>2025</v>
      </c>
      <c r="K1121" s="5">
        <f t="shared" si="53"/>
        <v>45717</v>
      </c>
    </row>
    <row r="1122" spans="1:11" x14ac:dyDescent="0.25">
      <c r="A1122" t="s">
        <v>2878</v>
      </c>
      <c r="B1122" s="3">
        <v>45726</v>
      </c>
      <c r="C1122">
        <v>5010</v>
      </c>
      <c r="D1122" s="1">
        <v>4092.47</v>
      </c>
      <c r="E1122" s="1">
        <v>0</v>
      </c>
      <c r="F1122" t="s">
        <v>2879</v>
      </c>
      <c r="G1122" t="str">
        <f>_xlfn.XLOOKUP(C1122,tblCOA[AccountNo],tblCOA[AccountName],"Unmapped")</f>
        <v>Cost of Goods Sold</v>
      </c>
      <c r="H1122" t="str">
        <f>_xlfn.XLOOKUP(C1122,tblCOA[AccountNo],tblCOA[Category],"Unmapped")</f>
        <v>Expenses</v>
      </c>
      <c r="I1122" s="4">
        <f t="shared" si="51"/>
        <v>4092.47</v>
      </c>
      <c r="J1122">
        <f t="shared" si="52"/>
        <v>2025</v>
      </c>
      <c r="K1122" s="5">
        <f t="shared" si="53"/>
        <v>45717</v>
      </c>
    </row>
    <row r="1123" spans="1:11" x14ac:dyDescent="0.25">
      <c r="A1123" t="s">
        <v>2880</v>
      </c>
      <c r="B1123" s="3">
        <v>45726</v>
      </c>
      <c r="C1123">
        <v>2010</v>
      </c>
      <c r="D1123" s="1">
        <v>0</v>
      </c>
      <c r="E1123" s="1">
        <v>4092.47</v>
      </c>
      <c r="F1123" t="s">
        <v>2881</v>
      </c>
      <c r="G1123" t="str">
        <f>_xlfn.XLOOKUP(C1123,tblCOA[AccountNo],tblCOA[AccountName],"Unmapped")</f>
        <v>Accounts Payable</v>
      </c>
      <c r="H1123" t="str">
        <f>_xlfn.XLOOKUP(C1123,tblCOA[AccountNo],tblCOA[Category],"Unmapped")</f>
        <v>Liabilities</v>
      </c>
      <c r="I1123" s="4">
        <f t="shared" si="51"/>
        <v>-4092.47</v>
      </c>
      <c r="J1123">
        <f t="shared" si="52"/>
        <v>2025</v>
      </c>
      <c r="K1123" s="5">
        <f t="shared" si="53"/>
        <v>45717</v>
      </c>
    </row>
    <row r="1124" spans="1:11" x14ac:dyDescent="0.25">
      <c r="A1124" t="s">
        <v>1654</v>
      </c>
      <c r="B1124" s="3">
        <v>45726</v>
      </c>
      <c r="C1124">
        <v>5010</v>
      </c>
      <c r="D1124" s="1">
        <v>11785.07</v>
      </c>
      <c r="E1124" s="1">
        <v>0</v>
      </c>
      <c r="F1124" t="s">
        <v>1655</v>
      </c>
      <c r="G1124" t="str">
        <f>_xlfn.XLOOKUP(C1124,tblCOA[AccountNo],tblCOA[AccountName],"Unmapped")</f>
        <v>Cost of Goods Sold</v>
      </c>
      <c r="H1124" t="str">
        <f>_xlfn.XLOOKUP(C1124,tblCOA[AccountNo],tblCOA[Category],"Unmapped")</f>
        <v>Expenses</v>
      </c>
      <c r="I1124" s="4">
        <f t="shared" si="51"/>
        <v>11785.07</v>
      </c>
      <c r="J1124">
        <f t="shared" si="52"/>
        <v>2025</v>
      </c>
      <c r="K1124" s="5">
        <f t="shared" si="53"/>
        <v>45717</v>
      </c>
    </row>
    <row r="1125" spans="1:11" x14ac:dyDescent="0.25">
      <c r="A1125" t="s">
        <v>1656</v>
      </c>
      <c r="B1125" s="3">
        <v>45726</v>
      </c>
      <c r="C1125">
        <v>2010</v>
      </c>
      <c r="D1125" s="1">
        <v>0</v>
      </c>
      <c r="E1125" s="1">
        <v>11785.07</v>
      </c>
      <c r="F1125" t="s">
        <v>1657</v>
      </c>
      <c r="G1125" t="str">
        <f>_xlfn.XLOOKUP(C1125,tblCOA[AccountNo],tblCOA[AccountName],"Unmapped")</f>
        <v>Accounts Payable</v>
      </c>
      <c r="H1125" t="str">
        <f>_xlfn.XLOOKUP(C1125,tblCOA[AccountNo],tblCOA[Category],"Unmapped")</f>
        <v>Liabilities</v>
      </c>
      <c r="I1125" s="4">
        <f t="shared" si="51"/>
        <v>-11785.07</v>
      </c>
      <c r="J1125">
        <f t="shared" si="52"/>
        <v>2025</v>
      </c>
      <c r="K1125" s="5">
        <f t="shared" si="53"/>
        <v>45717</v>
      </c>
    </row>
    <row r="1126" spans="1:11" x14ac:dyDescent="0.25">
      <c r="A1126" t="s">
        <v>1474</v>
      </c>
      <c r="B1126" s="3">
        <v>45728</v>
      </c>
      <c r="C1126">
        <v>1200</v>
      </c>
      <c r="D1126" s="1">
        <v>24363.47</v>
      </c>
      <c r="E1126" s="1">
        <v>0</v>
      </c>
      <c r="F1126" t="s">
        <v>1475</v>
      </c>
      <c r="G1126" t="str">
        <f>_xlfn.XLOOKUP(C1126,tblCOA[AccountNo],tblCOA[AccountName],"Unmapped")</f>
        <v>Accounts Receivable</v>
      </c>
      <c r="H1126" t="str">
        <f>_xlfn.XLOOKUP(C1126,tblCOA[AccountNo],tblCOA[Category],"Unmapped")</f>
        <v>Assets</v>
      </c>
      <c r="I1126" s="4">
        <f t="shared" si="51"/>
        <v>24363.47</v>
      </c>
      <c r="J1126">
        <f t="shared" si="52"/>
        <v>2025</v>
      </c>
      <c r="K1126" s="5">
        <f t="shared" si="53"/>
        <v>45717</v>
      </c>
    </row>
    <row r="1127" spans="1:11" x14ac:dyDescent="0.25">
      <c r="A1127" t="s">
        <v>1476</v>
      </c>
      <c r="B1127" s="3">
        <v>45728</v>
      </c>
      <c r="C1127">
        <v>4010</v>
      </c>
      <c r="D1127" s="1">
        <v>0</v>
      </c>
      <c r="E1127" s="1">
        <v>24363.47</v>
      </c>
      <c r="F1127" t="s">
        <v>1477</v>
      </c>
      <c r="G1127" t="str">
        <f>_xlfn.XLOOKUP(C1127,tblCOA[AccountNo],tblCOA[AccountName],"Unmapped")</f>
        <v>Product Sales</v>
      </c>
      <c r="H1127" t="str">
        <f>_xlfn.XLOOKUP(C1127,tblCOA[AccountNo],tblCOA[Category],"Unmapped")</f>
        <v>Revenue</v>
      </c>
      <c r="I1127" s="4">
        <f t="shared" si="51"/>
        <v>-24363.47</v>
      </c>
      <c r="J1127">
        <f t="shared" si="52"/>
        <v>2025</v>
      </c>
      <c r="K1127" s="5">
        <f t="shared" si="53"/>
        <v>45717</v>
      </c>
    </row>
    <row r="1128" spans="1:11" x14ac:dyDescent="0.25">
      <c r="A1128" t="s">
        <v>2734</v>
      </c>
      <c r="B1128" s="3">
        <v>45733</v>
      </c>
      <c r="C1128">
        <v>5010</v>
      </c>
      <c r="D1128" s="1">
        <v>17587.29</v>
      </c>
      <c r="E1128" s="1">
        <v>0</v>
      </c>
      <c r="F1128" t="s">
        <v>2735</v>
      </c>
      <c r="G1128" t="str">
        <f>_xlfn.XLOOKUP(C1128,tblCOA[AccountNo],tblCOA[AccountName],"Unmapped")</f>
        <v>Cost of Goods Sold</v>
      </c>
      <c r="H1128" t="str">
        <f>_xlfn.XLOOKUP(C1128,tblCOA[AccountNo],tblCOA[Category],"Unmapped")</f>
        <v>Expenses</v>
      </c>
      <c r="I1128" s="4">
        <f t="shared" si="51"/>
        <v>17587.29</v>
      </c>
      <c r="J1128">
        <f t="shared" si="52"/>
        <v>2025</v>
      </c>
      <c r="K1128" s="5">
        <f t="shared" si="53"/>
        <v>45717</v>
      </c>
    </row>
    <row r="1129" spans="1:11" x14ac:dyDescent="0.25">
      <c r="A1129" t="s">
        <v>2736</v>
      </c>
      <c r="B1129" s="3">
        <v>45733</v>
      </c>
      <c r="C1129">
        <v>2010</v>
      </c>
      <c r="D1129" s="1">
        <v>0</v>
      </c>
      <c r="E1129" s="1">
        <v>17587.29</v>
      </c>
      <c r="F1129" t="s">
        <v>2737</v>
      </c>
      <c r="G1129" t="str">
        <f>_xlfn.XLOOKUP(C1129,tblCOA[AccountNo],tblCOA[AccountName],"Unmapped")</f>
        <v>Accounts Payable</v>
      </c>
      <c r="H1129" t="str">
        <f>_xlfn.XLOOKUP(C1129,tblCOA[AccountNo],tblCOA[Category],"Unmapped")</f>
        <v>Liabilities</v>
      </c>
      <c r="I1129" s="4">
        <f t="shared" si="51"/>
        <v>-17587.29</v>
      </c>
      <c r="J1129">
        <f t="shared" si="52"/>
        <v>2025</v>
      </c>
      <c r="K1129" s="5">
        <f t="shared" si="53"/>
        <v>45717</v>
      </c>
    </row>
    <row r="1130" spans="1:11" x14ac:dyDescent="0.25">
      <c r="A1130" t="s">
        <v>514</v>
      </c>
      <c r="B1130" s="3">
        <v>45733</v>
      </c>
      <c r="C1130">
        <v>1200</v>
      </c>
      <c r="D1130" s="1">
        <v>16563.46</v>
      </c>
      <c r="E1130" s="1">
        <v>0</v>
      </c>
      <c r="F1130" t="s">
        <v>515</v>
      </c>
      <c r="G1130" t="str">
        <f>_xlfn.XLOOKUP(C1130,tblCOA[AccountNo],tblCOA[AccountName],"Unmapped")</f>
        <v>Accounts Receivable</v>
      </c>
      <c r="H1130" t="str">
        <f>_xlfn.XLOOKUP(C1130,tblCOA[AccountNo],tblCOA[Category],"Unmapped")</f>
        <v>Assets</v>
      </c>
      <c r="I1130" s="4">
        <f t="shared" si="51"/>
        <v>16563.46</v>
      </c>
      <c r="J1130">
        <f t="shared" si="52"/>
        <v>2025</v>
      </c>
      <c r="K1130" s="5">
        <f t="shared" si="53"/>
        <v>45717</v>
      </c>
    </row>
    <row r="1131" spans="1:11" x14ac:dyDescent="0.25">
      <c r="A1131" t="s">
        <v>516</v>
      </c>
      <c r="B1131" s="3">
        <v>45733</v>
      </c>
      <c r="C1131">
        <v>4010</v>
      </c>
      <c r="D1131" s="1">
        <v>0</v>
      </c>
      <c r="E1131" s="1">
        <v>16563.46</v>
      </c>
      <c r="F1131" t="s">
        <v>517</v>
      </c>
      <c r="G1131" t="str">
        <f>_xlfn.XLOOKUP(C1131,tblCOA[AccountNo],tblCOA[AccountName],"Unmapped")</f>
        <v>Product Sales</v>
      </c>
      <c r="H1131" t="str">
        <f>_xlfn.XLOOKUP(C1131,tblCOA[AccountNo],tblCOA[Category],"Unmapped")</f>
        <v>Revenue</v>
      </c>
      <c r="I1131" s="4">
        <f t="shared" si="51"/>
        <v>-16563.46</v>
      </c>
      <c r="J1131">
        <f t="shared" si="52"/>
        <v>2025</v>
      </c>
      <c r="K1131" s="5">
        <f t="shared" si="53"/>
        <v>45717</v>
      </c>
    </row>
    <row r="1132" spans="1:11" x14ac:dyDescent="0.25">
      <c r="A1132" t="s">
        <v>3018</v>
      </c>
      <c r="B1132" s="3">
        <v>45734</v>
      </c>
      <c r="C1132">
        <v>1200</v>
      </c>
      <c r="D1132" s="1">
        <v>4628.05</v>
      </c>
      <c r="E1132" s="1">
        <v>0</v>
      </c>
      <c r="F1132" t="s">
        <v>3019</v>
      </c>
      <c r="G1132" t="str">
        <f>_xlfn.XLOOKUP(C1132,tblCOA[AccountNo],tblCOA[AccountName],"Unmapped")</f>
        <v>Accounts Receivable</v>
      </c>
      <c r="H1132" t="str">
        <f>_xlfn.XLOOKUP(C1132,tblCOA[AccountNo],tblCOA[Category],"Unmapped")</f>
        <v>Assets</v>
      </c>
      <c r="I1132" s="4">
        <f t="shared" si="51"/>
        <v>4628.05</v>
      </c>
      <c r="J1132">
        <f t="shared" si="52"/>
        <v>2025</v>
      </c>
      <c r="K1132" s="5">
        <f t="shared" si="53"/>
        <v>45717</v>
      </c>
    </row>
    <row r="1133" spans="1:11" x14ac:dyDescent="0.25">
      <c r="A1133" t="s">
        <v>3020</v>
      </c>
      <c r="B1133" s="3">
        <v>45734</v>
      </c>
      <c r="C1133">
        <v>4010</v>
      </c>
      <c r="D1133" s="1">
        <v>0</v>
      </c>
      <c r="E1133" s="1">
        <v>4628.05</v>
      </c>
      <c r="F1133" t="s">
        <v>3021</v>
      </c>
      <c r="G1133" t="str">
        <f>_xlfn.XLOOKUP(C1133,tblCOA[AccountNo],tblCOA[AccountName],"Unmapped")</f>
        <v>Product Sales</v>
      </c>
      <c r="H1133" t="str">
        <f>_xlfn.XLOOKUP(C1133,tblCOA[AccountNo],tblCOA[Category],"Unmapped")</f>
        <v>Revenue</v>
      </c>
      <c r="I1133" s="4">
        <f t="shared" si="51"/>
        <v>-4628.05</v>
      </c>
      <c r="J1133">
        <f t="shared" si="52"/>
        <v>2025</v>
      </c>
      <c r="K1133" s="5">
        <f t="shared" si="53"/>
        <v>45717</v>
      </c>
    </row>
    <row r="1134" spans="1:11" x14ac:dyDescent="0.25">
      <c r="A1134" t="s">
        <v>3862</v>
      </c>
      <c r="B1134" s="3">
        <v>45734</v>
      </c>
      <c r="C1134">
        <v>5010</v>
      </c>
      <c r="D1134" s="1">
        <v>5192.1899999999996</v>
      </c>
      <c r="E1134" s="1">
        <v>0</v>
      </c>
      <c r="F1134" t="s">
        <v>3863</v>
      </c>
      <c r="G1134" t="str">
        <f>_xlfn.XLOOKUP(C1134,tblCOA[AccountNo],tblCOA[AccountName],"Unmapped")</f>
        <v>Cost of Goods Sold</v>
      </c>
      <c r="H1134" t="str">
        <f>_xlfn.XLOOKUP(C1134,tblCOA[AccountNo],tblCOA[Category],"Unmapped")</f>
        <v>Expenses</v>
      </c>
      <c r="I1134" s="4">
        <f t="shared" si="51"/>
        <v>5192.1899999999996</v>
      </c>
      <c r="J1134">
        <f t="shared" si="52"/>
        <v>2025</v>
      </c>
      <c r="K1134" s="5">
        <f t="shared" si="53"/>
        <v>45717</v>
      </c>
    </row>
    <row r="1135" spans="1:11" x14ac:dyDescent="0.25">
      <c r="A1135" t="s">
        <v>3864</v>
      </c>
      <c r="B1135" s="3">
        <v>45734</v>
      </c>
      <c r="C1135">
        <v>2010</v>
      </c>
      <c r="D1135" s="1">
        <v>0</v>
      </c>
      <c r="E1135" s="1">
        <v>5192.1899999999996</v>
      </c>
      <c r="F1135" t="s">
        <v>3865</v>
      </c>
      <c r="G1135" t="str">
        <f>_xlfn.XLOOKUP(C1135,tblCOA[AccountNo],tblCOA[AccountName],"Unmapped")</f>
        <v>Accounts Payable</v>
      </c>
      <c r="H1135" t="str">
        <f>_xlfn.XLOOKUP(C1135,tblCOA[AccountNo],tblCOA[Category],"Unmapped")</f>
        <v>Liabilities</v>
      </c>
      <c r="I1135" s="4">
        <f t="shared" si="51"/>
        <v>-5192.1899999999996</v>
      </c>
      <c r="J1135">
        <f t="shared" si="52"/>
        <v>2025</v>
      </c>
      <c r="K1135" s="5">
        <f t="shared" si="53"/>
        <v>45717</v>
      </c>
    </row>
    <row r="1136" spans="1:11" x14ac:dyDescent="0.25">
      <c r="A1136" t="s">
        <v>3106</v>
      </c>
      <c r="B1136" s="3">
        <v>45738</v>
      </c>
      <c r="C1136">
        <v>1200</v>
      </c>
      <c r="D1136" s="1">
        <v>36732.07</v>
      </c>
      <c r="E1136" s="1">
        <v>0</v>
      </c>
      <c r="F1136" t="s">
        <v>3107</v>
      </c>
      <c r="G1136" t="str">
        <f>_xlfn.XLOOKUP(C1136,tblCOA[AccountNo],tblCOA[AccountName],"Unmapped")</f>
        <v>Accounts Receivable</v>
      </c>
      <c r="H1136" t="str">
        <f>_xlfn.XLOOKUP(C1136,tblCOA[AccountNo],tblCOA[Category],"Unmapped")</f>
        <v>Assets</v>
      </c>
      <c r="I1136" s="4">
        <f t="shared" si="51"/>
        <v>36732.07</v>
      </c>
      <c r="J1136">
        <f t="shared" si="52"/>
        <v>2025</v>
      </c>
      <c r="K1136" s="5">
        <f t="shared" si="53"/>
        <v>45717</v>
      </c>
    </row>
    <row r="1137" spans="1:11" x14ac:dyDescent="0.25">
      <c r="A1137" t="s">
        <v>3108</v>
      </c>
      <c r="B1137" s="3">
        <v>45738</v>
      </c>
      <c r="C1137">
        <v>4010</v>
      </c>
      <c r="D1137" s="1">
        <v>0</v>
      </c>
      <c r="E1137" s="1">
        <v>36732.07</v>
      </c>
      <c r="F1137" t="s">
        <v>3109</v>
      </c>
      <c r="G1137" t="str">
        <f>_xlfn.XLOOKUP(C1137,tblCOA[AccountNo],tblCOA[AccountName],"Unmapped")</f>
        <v>Product Sales</v>
      </c>
      <c r="H1137" t="str">
        <f>_xlfn.XLOOKUP(C1137,tblCOA[AccountNo],tblCOA[Category],"Unmapped")</f>
        <v>Revenue</v>
      </c>
      <c r="I1137" s="4">
        <f t="shared" si="51"/>
        <v>-36732.07</v>
      </c>
      <c r="J1137">
        <f t="shared" si="52"/>
        <v>2025</v>
      </c>
      <c r="K1137" s="5">
        <f t="shared" si="53"/>
        <v>45717</v>
      </c>
    </row>
    <row r="1138" spans="1:11" x14ac:dyDescent="0.25">
      <c r="A1138" t="s">
        <v>3314</v>
      </c>
      <c r="B1138" s="3">
        <v>45742</v>
      </c>
      <c r="C1138">
        <v>1200</v>
      </c>
      <c r="D1138" s="1">
        <v>28785.360000000001</v>
      </c>
      <c r="E1138" s="1">
        <v>0</v>
      </c>
      <c r="F1138" t="s">
        <v>3315</v>
      </c>
      <c r="G1138" t="str">
        <f>_xlfn.XLOOKUP(C1138,tblCOA[AccountNo],tblCOA[AccountName],"Unmapped")</f>
        <v>Accounts Receivable</v>
      </c>
      <c r="H1138" t="str">
        <f>_xlfn.XLOOKUP(C1138,tblCOA[AccountNo],tblCOA[Category],"Unmapped")</f>
        <v>Assets</v>
      </c>
      <c r="I1138" s="4">
        <f t="shared" si="51"/>
        <v>28785.360000000001</v>
      </c>
      <c r="J1138">
        <f t="shared" si="52"/>
        <v>2025</v>
      </c>
      <c r="K1138" s="5">
        <f t="shared" si="53"/>
        <v>45717</v>
      </c>
    </row>
    <row r="1139" spans="1:11" x14ac:dyDescent="0.25">
      <c r="A1139" t="s">
        <v>3316</v>
      </c>
      <c r="B1139" s="3">
        <v>45742</v>
      </c>
      <c r="C1139">
        <v>4010</v>
      </c>
      <c r="D1139" s="1">
        <v>0</v>
      </c>
      <c r="E1139" s="1">
        <v>28785.360000000001</v>
      </c>
      <c r="F1139" t="s">
        <v>3317</v>
      </c>
      <c r="G1139" t="str">
        <f>_xlfn.XLOOKUP(C1139,tblCOA[AccountNo],tblCOA[AccountName],"Unmapped")</f>
        <v>Product Sales</v>
      </c>
      <c r="H1139" t="str">
        <f>_xlfn.XLOOKUP(C1139,tblCOA[AccountNo],tblCOA[Category],"Unmapped")</f>
        <v>Revenue</v>
      </c>
      <c r="I1139" s="4">
        <f t="shared" si="51"/>
        <v>-28785.360000000001</v>
      </c>
      <c r="J1139">
        <f t="shared" si="52"/>
        <v>2025</v>
      </c>
      <c r="K1139" s="5">
        <f t="shared" si="53"/>
        <v>45717</v>
      </c>
    </row>
    <row r="1140" spans="1:11" x14ac:dyDescent="0.25">
      <c r="A1140" t="s">
        <v>2910</v>
      </c>
      <c r="B1140" s="3">
        <v>45743</v>
      </c>
      <c r="C1140">
        <v>5010</v>
      </c>
      <c r="D1140" s="1">
        <v>16353.16</v>
      </c>
      <c r="E1140" s="1">
        <v>0</v>
      </c>
      <c r="F1140" t="s">
        <v>2911</v>
      </c>
      <c r="G1140" t="str">
        <f>_xlfn.XLOOKUP(C1140,tblCOA[AccountNo],tblCOA[AccountName],"Unmapped")</f>
        <v>Cost of Goods Sold</v>
      </c>
      <c r="H1140" t="str">
        <f>_xlfn.XLOOKUP(C1140,tblCOA[AccountNo],tblCOA[Category],"Unmapped")</f>
        <v>Expenses</v>
      </c>
      <c r="I1140" s="4">
        <f t="shared" si="51"/>
        <v>16353.16</v>
      </c>
      <c r="J1140">
        <f t="shared" si="52"/>
        <v>2025</v>
      </c>
      <c r="K1140" s="5">
        <f t="shared" si="53"/>
        <v>45717</v>
      </c>
    </row>
    <row r="1141" spans="1:11" x14ac:dyDescent="0.25">
      <c r="A1141" t="s">
        <v>2912</v>
      </c>
      <c r="B1141" s="3">
        <v>45743</v>
      </c>
      <c r="C1141">
        <v>2010</v>
      </c>
      <c r="D1141" s="1">
        <v>0</v>
      </c>
      <c r="E1141" s="1">
        <v>16353.16</v>
      </c>
      <c r="F1141" t="s">
        <v>2913</v>
      </c>
      <c r="G1141" t="str">
        <f>_xlfn.XLOOKUP(C1141,tblCOA[AccountNo],tblCOA[AccountName],"Unmapped")</f>
        <v>Accounts Payable</v>
      </c>
      <c r="H1141" t="str">
        <f>_xlfn.XLOOKUP(C1141,tblCOA[AccountNo],tblCOA[Category],"Unmapped")</f>
        <v>Liabilities</v>
      </c>
      <c r="I1141" s="4">
        <f t="shared" si="51"/>
        <v>-16353.16</v>
      </c>
      <c r="J1141">
        <f t="shared" si="52"/>
        <v>2025</v>
      </c>
      <c r="K1141" s="5">
        <f t="shared" si="53"/>
        <v>45717</v>
      </c>
    </row>
    <row r="1142" spans="1:11" x14ac:dyDescent="0.25">
      <c r="A1142" t="s">
        <v>1954</v>
      </c>
      <c r="B1142" s="3">
        <v>45743</v>
      </c>
      <c r="C1142">
        <v>1200</v>
      </c>
      <c r="D1142" s="1">
        <v>48957.64</v>
      </c>
      <c r="E1142" s="1">
        <v>0</v>
      </c>
      <c r="F1142" t="s">
        <v>1955</v>
      </c>
      <c r="G1142" t="str">
        <f>_xlfn.XLOOKUP(C1142,tblCOA[AccountNo],tblCOA[AccountName],"Unmapped")</f>
        <v>Accounts Receivable</v>
      </c>
      <c r="H1142" t="str">
        <f>_xlfn.XLOOKUP(C1142,tblCOA[AccountNo],tblCOA[Category],"Unmapped")</f>
        <v>Assets</v>
      </c>
      <c r="I1142" s="4">
        <f t="shared" si="51"/>
        <v>48957.64</v>
      </c>
      <c r="J1142">
        <f t="shared" si="52"/>
        <v>2025</v>
      </c>
      <c r="K1142" s="5">
        <f t="shared" si="53"/>
        <v>45717</v>
      </c>
    </row>
    <row r="1143" spans="1:11" x14ac:dyDescent="0.25">
      <c r="A1143" t="s">
        <v>1956</v>
      </c>
      <c r="B1143" s="3">
        <v>45743</v>
      </c>
      <c r="C1143">
        <v>4010</v>
      </c>
      <c r="D1143" s="1">
        <v>0</v>
      </c>
      <c r="E1143" s="1">
        <v>48957.64</v>
      </c>
      <c r="F1143" t="s">
        <v>1957</v>
      </c>
      <c r="G1143" t="str">
        <f>_xlfn.XLOOKUP(C1143,tblCOA[AccountNo],tblCOA[AccountName],"Unmapped")</f>
        <v>Product Sales</v>
      </c>
      <c r="H1143" t="str">
        <f>_xlfn.XLOOKUP(C1143,tblCOA[AccountNo],tblCOA[Category],"Unmapped")</f>
        <v>Revenue</v>
      </c>
      <c r="I1143" s="4">
        <f t="shared" si="51"/>
        <v>-48957.64</v>
      </c>
      <c r="J1143">
        <f t="shared" si="52"/>
        <v>2025</v>
      </c>
      <c r="K1143" s="5">
        <f t="shared" si="53"/>
        <v>45717</v>
      </c>
    </row>
    <row r="1144" spans="1:11" x14ac:dyDescent="0.25">
      <c r="A1144" t="s">
        <v>2514</v>
      </c>
      <c r="B1144" s="3">
        <v>45744</v>
      </c>
      <c r="C1144">
        <v>1200</v>
      </c>
      <c r="D1144" s="1">
        <v>47062.3</v>
      </c>
      <c r="E1144" s="1">
        <v>0</v>
      </c>
      <c r="F1144" t="s">
        <v>2515</v>
      </c>
      <c r="G1144" t="str">
        <f>_xlfn.XLOOKUP(C1144,tblCOA[AccountNo],tblCOA[AccountName],"Unmapped")</f>
        <v>Accounts Receivable</v>
      </c>
      <c r="H1144" t="str">
        <f>_xlfn.XLOOKUP(C1144,tblCOA[AccountNo],tblCOA[Category],"Unmapped")</f>
        <v>Assets</v>
      </c>
      <c r="I1144" s="4">
        <f t="shared" si="51"/>
        <v>47062.3</v>
      </c>
      <c r="J1144">
        <f t="shared" si="52"/>
        <v>2025</v>
      </c>
      <c r="K1144" s="5">
        <f t="shared" si="53"/>
        <v>45717</v>
      </c>
    </row>
    <row r="1145" spans="1:11" x14ac:dyDescent="0.25">
      <c r="A1145" t="s">
        <v>2516</v>
      </c>
      <c r="B1145" s="3">
        <v>45744</v>
      </c>
      <c r="C1145">
        <v>4010</v>
      </c>
      <c r="D1145" s="1">
        <v>0</v>
      </c>
      <c r="E1145" s="1">
        <v>47062.3</v>
      </c>
      <c r="F1145" t="s">
        <v>2517</v>
      </c>
      <c r="G1145" t="str">
        <f>_xlfn.XLOOKUP(C1145,tblCOA[AccountNo],tblCOA[AccountName],"Unmapped")</f>
        <v>Product Sales</v>
      </c>
      <c r="H1145" t="str">
        <f>_xlfn.XLOOKUP(C1145,tblCOA[AccountNo],tblCOA[Category],"Unmapped")</f>
        <v>Revenue</v>
      </c>
      <c r="I1145" s="4">
        <f t="shared" si="51"/>
        <v>-47062.3</v>
      </c>
      <c r="J1145">
        <f t="shared" si="52"/>
        <v>2025</v>
      </c>
      <c r="K1145" s="5">
        <f t="shared" si="53"/>
        <v>45717</v>
      </c>
    </row>
    <row r="1146" spans="1:11" x14ac:dyDescent="0.25">
      <c r="A1146" t="s">
        <v>902</v>
      </c>
      <c r="B1146" s="3">
        <v>45745</v>
      </c>
      <c r="C1146">
        <v>5010</v>
      </c>
      <c r="D1146" s="1">
        <v>2924.65</v>
      </c>
      <c r="E1146" s="1">
        <v>0</v>
      </c>
      <c r="F1146" t="s">
        <v>903</v>
      </c>
      <c r="G1146" t="str">
        <f>_xlfn.XLOOKUP(C1146,tblCOA[AccountNo],tblCOA[AccountName],"Unmapped")</f>
        <v>Cost of Goods Sold</v>
      </c>
      <c r="H1146" t="str">
        <f>_xlfn.XLOOKUP(C1146,tblCOA[AccountNo],tblCOA[Category],"Unmapped")</f>
        <v>Expenses</v>
      </c>
      <c r="I1146" s="4">
        <f t="shared" si="51"/>
        <v>2924.65</v>
      </c>
      <c r="J1146">
        <f t="shared" si="52"/>
        <v>2025</v>
      </c>
      <c r="K1146" s="5">
        <f t="shared" si="53"/>
        <v>45717</v>
      </c>
    </row>
    <row r="1147" spans="1:11" x14ac:dyDescent="0.25">
      <c r="A1147" t="s">
        <v>904</v>
      </c>
      <c r="B1147" s="3">
        <v>45745</v>
      </c>
      <c r="C1147">
        <v>2010</v>
      </c>
      <c r="D1147" s="1">
        <v>0</v>
      </c>
      <c r="E1147" s="1">
        <v>2924.65</v>
      </c>
      <c r="F1147" t="s">
        <v>905</v>
      </c>
      <c r="G1147" t="str">
        <f>_xlfn.XLOOKUP(C1147,tblCOA[AccountNo],tblCOA[AccountName],"Unmapped")</f>
        <v>Accounts Payable</v>
      </c>
      <c r="H1147" t="str">
        <f>_xlfn.XLOOKUP(C1147,tblCOA[AccountNo],tblCOA[Category],"Unmapped")</f>
        <v>Liabilities</v>
      </c>
      <c r="I1147" s="4">
        <f t="shared" si="51"/>
        <v>-2924.65</v>
      </c>
      <c r="J1147">
        <f t="shared" si="52"/>
        <v>2025</v>
      </c>
      <c r="K1147" s="5">
        <f t="shared" si="53"/>
        <v>45717</v>
      </c>
    </row>
    <row r="1148" spans="1:11" x14ac:dyDescent="0.25">
      <c r="A1148" t="s">
        <v>2346</v>
      </c>
      <c r="B1148" s="3">
        <v>45748</v>
      </c>
      <c r="C1148">
        <v>1200</v>
      </c>
      <c r="D1148" s="1">
        <v>33320.870000000003</v>
      </c>
      <c r="E1148" s="1">
        <v>0</v>
      </c>
      <c r="F1148" t="s">
        <v>2347</v>
      </c>
      <c r="G1148" t="str">
        <f>_xlfn.XLOOKUP(C1148,tblCOA[AccountNo],tblCOA[AccountName],"Unmapped")</f>
        <v>Accounts Receivable</v>
      </c>
      <c r="H1148" t="str">
        <f>_xlfn.XLOOKUP(C1148,tblCOA[AccountNo],tblCOA[Category],"Unmapped")</f>
        <v>Assets</v>
      </c>
      <c r="I1148" s="4">
        <f t="shared" si="51"/>
        <v>33320.870000000003</v>
      </c>
      <c r="J1148">
        <f t="shared" si="52"/>
        <v>2025</v>
      </c>
      <c r="K1148" s="5">
        <f t="shared" si="53"/>
        <v>45748</v>
      </c>
    </row>
    <row r="1149" spans="1:11" x14ac:dyDescent="0.25">
      <c r="A1149" t="s">
        <v>2348</v>
      </c>
      <c r="B1149" s="3">
        <v>45748</v>
      </c>
      <c r="C1149">
        <v>4010</v>
      </c>
      <c r="D1149" s="1">
        <v>0</v>
      </c>
      <c r="E1149" s="1">
        <v>33320.870000000003</v>
      </c>
      <c r="F1149" t="s">
        <v>2349</v>
      </c>
      <c r="G1149" t="str">
        <f>_xlfn.XLOOKUP(C1149,tblCOA[AccountNo],tblCOA[AccountName],"Unmapped")</f>
        <v>Product Sales</v>
      </c>
      <c r="H1149" t="str">
        <f>_xlfn.XLOOKUP(C1149,tblCOA[AccountNo],tblCOA[Category],"Unmapped")</f>
        <v>Revenue</v>
      </c>
      <c r="I1149" s="4">
        <f t="shared" si="51"/>
        <v>-33320.870000000003</v>
      </c>
      <c r="J1149">
        <f t="shared" si="52"/>
        <v>2025</v>
      </c>
      <c r="K1149" s="5">
        <f t="shared" si="53"/>
        <v>45748</v>
      </c>
    </row>
    <row r="1150" spans="1:11" x14ac:dyDescent="0.25">
      <c r="A1150" t="s">
        <v>3774</v>
      </c>
      <c r="B1150" s="3">
        <v>45749</v>
      </c>
      <c r="C1150">
        <v>5010</v>
      </c>
      <c r="D1150" s="1">
        <v>11761.29</v>
      </c>
      <c r="E1150" s="1">
        <v>0</v>
      </c>
      <c r="F1150" t="s">
        <v>3775</v>
      </c>
      <c r="G1150" t="str">
        <f>_xlfn.XLOOKUP(C1150,tblCOA[AccountNo],tblCOA[AccountName],"Unmapped")</f>
        <v>Cost of Goods Sold</v>
      </c>
      <c r="H1150" t="str">
        <f>_xlfn.XLOOKUP(C1150,tblCOA[AccountNo],tblCOA[Category],"Unmapped")</f>
        <v>Expenses</v>
      </c>
      <c r="I1150" s="4">
        <f t="shared" si="51"/>
        <v>11761.29</v>
      </c>
      <c r="J1150">
        <f t="shared" si="52"/>
        <v>2025</v>
      </c>
      <c r="K1150" s="5">
        <f t="shared" si="53"/>
        <v>45748</v>
      </c>
    </row>
    <row r="1151" spans="1:11" x14ac:dyDescent="0.25">
      <c r="A1151" t="s">
        <v>3776</v>
      </c>
      <c r="B1151" s="3">
        <v>45749</v>
      </c>
      <c r="C1151">
        <v>2010</v>
      </c>
      <c r="D1151" s="1">
        <v>0</v>
      </c>
      <c r="E1151" s="1">
        <v>11761.29</v>
      </c>
      <c r="F1151" t="s">
        <v>3777</v>
      </c>
      <c r="G1151" t="str">
        <f>_xlfn.XLOOKUP(C1151,tblCOA[AccountNo],tblCOA[AccountName],"Unmapped")</f>
        <v>Accounts Payable</v>
      </c>
      <c r="H1151" t="str">
        <f>_xlfn.XLOOKUP(C1151,tblCOA[AccountNo],tblCOA[Category],"Unmapped")</f>
        <v>Liabilities</v>
      </c>
      <c r="I1151" s="4">
        <f t="shared" si="51"/>
        <v>-11761.29</v>
      </c>
      <c r="J1151">
        <f t="shared" si="52"/>
        <v>2025</v>
      </c>
      <c r="K1151" s="5">
        <f t="shared" si="53"/>
        <v>45748</v>
      </c>
    </row>
    <row r="1152" spans="1:11" x14ac:dyDescent="0.25">
      <c r="A1152" t="s">
        <v>2866</v>
      </c>
      <c r="B1152" s="3">
        <v>45754</v>
      </c>
      <c r="C1152">
        <v>1200</v>
      </c>
      <c r="D1152" s="1">
        <v>43416</v>
      </c>
      <c r="E1152" s="1">
        <v>0</v>
      </c>
      <c r="F1152" t="s">
        <v>2867</v>
      </c>
      <c r="G1152" t="str">
        <f>_xlfn.XLOOKUP(C1152,tblCOA[AccountNo],tblCOA[AccountName],"Unmapped")</f>
        <v>Accounts Receivable</v>
      </c>
      <c r="H1152" t="str">
        <f>_xlfn.XLOOKUP(C1152,tblCOA[AccountNo],tblCOA[Category],"Unmapped")</f>
        <v>Assets</v>
      </c>
      <c r="I1152" s="4">
        <f t="shared" si="51"/>
        <v>43416</v>
      </c>
      <c r="J1152">
        <f t="shared" si="52"/>
        <v>2025</v>
      </c>
      <c r="K1152" s="5">
        <f t="shared" si="53"/>
        <v>45748</v>
      </c>
    </row>
    <row r="1153" spans="1:11" x14ac:dyDescent="0.25">
      <c r="A1153" t="s">
        <v>2868</v>
      </c>
      <c r="B1153" s="3">
        <v>45754</v>
      </c>
      <c r="C1153">
        <v>4010</v>
      </c>
      <c r="D1153" s="1">
        <v>0</v>
      </c>
      <c r="E1153" s="1">
        <v>43416</v>
      </c>
      <c r="F1153" t="s">
        <v>2869</v>
      </c>
      <c r="G1153" t="str">
        <f>_xlfn.XLOOKUP(C1153,tblCOA[AccountNo],tblCOA[AccountName],"Unmapped")</f>
        <v>Product Sales</v>
      </c>
      <c r="H1153" t="str">
        <f>_xlfn.XLOOKUP(C1153,tblCOA[AccountNo],tblCOA[Category],"Unmapped")</f>
        <v>Revenue</v>
      </c>
      <c r="I1153" s="4">
        <f t="shared" si="51"/>
        <v>-43416</v>
      </c>
      <c r="J1153">
        <f t="shared" si="52"/>
        <v>2025</v>
      </c>
      <c r="K1153" s="5">
        <f t="shared" si="53"/>
        <v>45748</v>
      </c>
    </row>
    <row r="1154" spans="1:11" x14ac:dyDescent="0.25">
      <c r="A1154" t="s">
        <v>3194</v>
      </c>
      <c r="B1154" s="3">
        <v>45754</v>
      </c>
      <c r="C1154">
        <v>1200</v>
      </c>
      <c r="D1154" s="1">
        <v>13590.41</v>
      </c>
      <c r="E1154" s="1">
        <v>0</v>
      </c>
      <c r="F1154" t="s">
        <v>3195</v>
      </c>
      <c r="G1154" t="str">
        <f>_xlfn.XLOOKUP(C1154,tblCOA[AccountNo],tblCOA[AccountName],"Unmapped")</f>
        <v>Accounts Receivable</v>
      </c>
      <c r="H1154" t="str">
        <f>_xlfn.XLOOKUP(C1154,tblCOA[AccountNo],tblCOA[Category],"Unmapped")</f>
        <v>Assets</v>
      </c>
      <c r="I1154" s="4">
        <f t="shared" ref="I1154:I1217" si="54">D1154-E1154</f>
        <v>13590.41</v>
      </c>
      <c r="J1154">
        <f t="shared" ref="J1154:J1217" si="55">YEAR(B1154)</f>
        <v>2025</v>
      </c>
      <c r="K1154" s="5">
        <f t="shared" ref="K1154:K1217" si="56">DATE(YEAR(B1154),MONTH(B1154),1)</f>
        <v>45748</v>
      </c>
    </row>
    <row r="1155" spans="1:11" x14ac:dyDescent="0.25">
      <c r="A1155" t="s">
        <v>3196</v>
      </c>
      <c r="B1155" s="3">
        <v>45754</v>
      </c>
      <c r="C1155">
        <v>4010</v>
      </c>
      <c r="D1155" s="1">
        <v>0</v>
      </c>
      <c r="E1155" s="1">
        <v>13590.41</v>
      </c>
      <c r="F1155" t="s">
        <v>3197</v>
      </c>
      <c r="G1155" t="str">
        <f>_xlfn.XLOOKUP(C1155,tblCOA[AccountNo],tblCOA[AccountName],"Unmapped")</f>
        <v>Product Sales</v>
      </c>
      <c r="H1155" t="str">
        <f>_xlfn.XLOOKUP(C1155,tblCOA[AccountNo],tblCOA[Category],"Unmapped")</f>
        <v>Revenue</v>
      </c>
      <c r="I1155" s="4">
        <f t="shared" si="54"/>
        <v>-13590.41</v>
      </c>
      <c r="J1155">
        <f t="shared" si="55"/>
        <v>2025</v>
      </c>
      <c r="K1155" s="5">
        <f t="shared" si="56"/>
        <v>45748</v>
      </c>
    </row>
    <row r="1156" spans="1:11" x14ac:dyDescent="0.25">
      <c r="A1156" t="s">
        <v>578</v>
      </c>
      <c r="B1156" s="3">
        <v>45754</v>
      </c>
      <c r="C1156">
        <v>1200</v>
      </c>
      <c r="D1156" s="1">
        <v>41643.39</v>
      </c>
      <c r="E1156" s="1">
        <v>0</v>
      </c>
      <c r="F1156" t="s">
        <v>579</v>
      </c>
      <c r="G1156" t="str">
        <f>_xlfn.XLOOKUP(C1156,tblCOA[AccountNo],tblCOA[AccountName],"Unmapped")</f>
        <v>Accounts Receivable</v>
      </c>
      <c r="H1156" t="str">
        <f>_xlfn.XLOOKUP(C1156,tblCOA[AccountNo],tblCOA[Category],"Unmapped")</f>
        <v>Assets</v>
      </c>
      <c r="I1156" s="4">
        <f t="shared" si="54"/>
        <v>41643.39</v>
      </c>
      <c r="J1156">
        <f t="shared" si="55"/>
        <v>2025</v>
      </c>
      <c r="K1156" s="5">
        <f t="shared" si="56"/>
        <v>45748</v>
      </c>
    </row>
    <row r="1157" spans="1:11" x14ac:dyDescent="0.25">
      <c r="A1157" t="s">
        <v>580</v>
      </c>
      <c r="B1157" s="3">
        <v>45754</v>
      </c>
      <c r="C1157">
        <v>4010</v>
      </c>
      <c r="D1157" s="1">
        <v>0</v>
      </c>
      <c r="E1157" s="1">
        <v>41643.39</v>
      </c>
      <c r="F1157" t="s">
        <v>581</v>
      </c>
      <c r="G1157" t="str">
        <f>_xlfn.XLOOKUP(C1157,tblCOA[AccountNo],tblCOA[AccountName],"Unmapped")</f>
        <v>Product Sales</v>
      </c>
      <c r="H1157" t="str">
        <f>_xlfn.XLOOKUP(C1157,tblCOA[AccountNo],tblCOA[Category],"Unmapped")</f>
        <v>Revenue</v>
      </c>
      <c r="I1157" s="4">
        <f t="shared" si="54"/>
        <v>-41643.39</v>
      </c>
      <c r="J1157">
        <f t="shared" si="55"/>
        <v>2025</v>
      </c>
      <c r="K1157" s="5">
        <f t="shared" si="56"/>
        <v>45748</v>
      </c>
    </row>
    <row r="1158" spans="1:11" x14ac:dyDescent="0.25">
      <c r="A1158" t="s">
        <v>734</v>
      </c>
      <c r="B1158" s="3">
        <v>45755</v>
      </c>
      <c r="C1158">
        <v>5010</v>
      </c>
      <c r="D1158" s="1">
        <v>5538.67</v>
      </c>
      <c r="E1158" s="1">
        <v>0</v>
      </c>
      <c r="F1158" t="s">
        <v>735</v>
      </c>
      <c r="G1158" t="str">
        <f>_xlfn.XLOOKUP(C1158,tblCOA[AccountNo],tblCOA[AccountName],"Unmapped")</f>
        <v>Cost of Goods Sold</v>
      </c>
      <c r="H1158" t="str">
        <f>_xlfn.XLOOKUP(C1158,tblCOA[AccountNo],tblCOA[Category],"Unmapped")</f>
        <v>Expenses</v>
      </c>
      <c r="I1158" s="4">
        <f t="shared" si="54"/>
        <v>5538.67</v>
      </c>
      <c r="J1158">
        <f t="shared" si="55"/>
        <v>2025</v>
      </c>
      <c r="K1158" s="5">
        <f t="shared" si="56"/>
        <v>45748</v>
      </c>
    </row>
    <row r="1159" spans="1:11" x14ac:dyDescent="0.25">
      <c r="A1159" t="s">
        <v>736</v>
      </c>
      <c r="B1159" s="3">
        <v>45755</v>
      </c>
      <c r="C1159">
        <v>2010</v>
      </c>
      <c r="D1159" s="1">
        <v>0</v>
      </c>
      <c r="E1159" s="1">
        <v>5538.67</v>
      </c>
      <c r="F1159" t="s">
        <v>737</v>
      </c>
      <c r="G1159" t="str">
        <f>_xlfn.XLOOKUP(C1159,tblCOA[AccountNo],tblCOA[AccountName],"Unmapped")</f>
        <v>Accounts Payable</v>
      </c>
      <c r="H1159" t="str">
        <f>_xlfn.XLOOKUP(C1159,tblCOA[AccountNo],tblCOA[Category],"Unmapped")</f>
        <v>Liabilities</v>
      </c>
      <c r="I1159" s="4">
        <f t="shared" si="54"/>
        <v>-5538.67</v>
      </c>
      <c r="J1159">
        <f t="shared" si="55"/>
        <v>2025</v>
      </c>
      <c r="K1159" s="5">
        <f t="shared" si="56"/>
        <v>45748</v>
      </c>
    </row>
    <row r="1160" spans="1:11" x14ac:dyDescent="0.25">
      <c r="A1160" t="s">
        <v>830</v>
      </c>
      <c r="B1160" s="3">
        <v>45757</v>
      </c>
      <c r="C1160">
        <v>5010</v>
      </c>
      <c r="D1160" s="1">
        <v>950.54</v>
      </c>
      <c r="E1160" s="1">
        <v>0</v>
      </c>
      <c r="F1160" t="s">
        <v>831</v>
      </c>
      <c r="G1160" t="str">
        <f>_xlfn.XLOOKUP(C1160,tblCOA[AccountNo],tblCOA[AccountName],"Unmapped")</f>
        <v>Cost of Goods Sold</v>
      </c>
      <c r="H1160" t="str">
        <f>_xlfn.XLOOKUP(C1160,tblCOA[AccountNo],tblCOA[Category],"Unmapped")</f>
        <v>Expenses</v>
      </c>
      <c r="I1160" s="4">
        <f t="shared" si="54"/>
        <v>950.54</v>
      </c>
      <c r="J1160">
        <f t="shared" si="55"/>
        <v>2025</v>
      </c>
      <c r="K1160" s="5">
        <f t="shared" si="56"/>
        <v>45748</v>
      </c>
    </row>
    <row r="1161" spans="1:11" x14ac:dyDescent="0.25">
      <c r="A1161" t="s">
        <v>832</v>
      </c>
      <c r="B1161" s="3">
        <v>45757</v>
      </c>
      <c r="C1161">
        <v>2010</v>
      </c>
      <c r="D1161" s="1">
        <v>0</v>
      </c>
      <c r="E1161" s="1">
        <v>950.54</v>
      </c>
      <c r="F1161" t="s">
        <v>833</v>
      </c>
      <c r="G1161" t="str">
        <f>_xlfn.XLOOKUP(C1161,tblCOA[AccountNo],tblCOA[AccountName],"Unmapped")</f>
        <v>Accounts Payable</v>
      </c>
      <c r="H1161" t="str">
        <f>_xlfn.XLOOKUP(C1161,tblCOA[AccountNo],tblCOA[Category],"Unmapped")</f>
        <v>Liabilities</v>
      </c>
      <c r="I1161" s="4">
        <f t="shared" si="54"/>
        <v>-950.54</v>
      </c>
      <c r="J1161">
        <f t="shared" si="55"/>
        <v>2025</v>
      </c>
      <c r="K1161" s="5">
        <f t="shared" si="56"/>
        <v>45748</v>
      </c>
    </row>
    <row r="1162" spans="1:11" x14ac:dyDescent="0.25">
      <c r="A1162" t="s">
        <v>990</v>
      </c>
      <c r="B1162" s="3">
        <v>45757</v>
      </c>
      <c r="C1162">
        <v>5010</v>
      </c>
      <c r="D1162" s="1">
        <v>19411.95</v>
      </c>
      <c r="E1162" s="1">
        <v>0</v>
      </c>
      <c r="F1162" t="s">
        <v>991</v>
      </c>
      <c r="G1162" t="str">
        <f>_xlfn.XLOOKUP(C1162,tblCOA[AccountNo],tblCOA[AccountName],"Unmapped")</f>
        <v>Cost of Goods Sold</v>
      </c>
      <c r="H1162" t="str">
        <f>_xlfn.XLOOKUP(C1162,tblCOA[AccountNo],tblCOA[Category],"Unmapped")</f>
        <v>Expenses</v>
      </c>
      <c r="I1162" s="4">
        <f t="shared" si="54"/>
        <v>19411.95</v>
      </c>
      <c r="J1162">
        <f t="shared" si="55"/>
        <v>2025</v>
      </c>
      <c r="K1162" s="5">
        <f t="shared" si="56"/>
        <v>45748</v>
      </c>
    </row>
    <row r="1163" spans="1:11" x14ac:dyDescent="0.25">
      <c r="A1163" t="s">
        <v>992</v>
      </c>
      <c r="B1163" s="3">
        <v>45757</v>
      </c>
      <c r="C1163">
        <v>2010</v>
      </c>
      <c r="D1163" s="1">
        <v>0</v>
      </c>
      <c r="E1163" s="1">
        <v>19411.95</v>
      </c>
      <c r="F1163" t="s">
        <v>993</v>
      </c>
      <c r="G1163" t="str">
        <f>_xlfn.XLOOKUP(C1163,tblCOA[AccountNo],tblCOA[AccountName],"Unmapped")</f>
        <v>Accounts Payable</v>
      </c>
      <c r="H1163" t="str">
        <f>_xlfn.XLOOKUP(C1163,tblCOA[AccountNo],tblCOA[Category],"Unmapped")</f>
        <v>Liabilities</v>
      </c>
      <c r="I1163" s="4">
        <f t="shared" si="54"/>
        <v>-19411.95</v>
      </c>
      <c r="J1163">
        <f t="shared" si="55"/>
        <v>2025</v>
      </c>
      <c r="K1163" s="5">
        <f t="shared" si="56"/>
        <v>45748</v>
      </c>
    </row>
    <row r="1164" spans="1:11" x14ac:dyDescent="0.25">
      <c r="A1164" t="s">
        <v>774</v>
      </c>
      <c r="B1164" s="3">
        <v>45760</v>
      </c>
      <c r="C1164">
        <v>5010</v>
      </c>
      <c r="D1164" s="1">
        <v>6408.87</v>
      </c>
      <c r="E1164" s="1">
        <v>0</v>
      </c>
      <c r="F1164" t="s">
        <v>775</v>
      </c>
      <c r="G1164" t="str">
        <f>_xlfn.XLOOKUP(C1164,tblCOA[AccountNo],tblCOA[AccountName],"Unmapped")</f>
        <v>Cost of Goods Sold</v>
      </c>
      <c r="H1164" t="str">
        <f>_xlfn.XLOOKUP(C1164,tblCOA[AccountNo],tblCOA[Category],"Unmapped")</f>
        <v>Expenses</v>
      </c>
      <c r="I1164" s="4">
        <f t="shared" si="54"/>
        <v>6408.87</v>
      </c>
      <c r="J1164">
        <f t="shared" si="55"/>
        <v>2025</v>
      </c>
      <c r="K1164" s="5">
        <f t="shared" si="56"/>
        <v>45748</v>
      </c>
    </row>
    <row r="1165" spans="1:11" x14ac:dyDescent="0.25">
      <c r="A1165" t="s">
        <v>776</v>
      </c>
      <c r="B1165" s="3">
        <v>45760</v>
      </c>
      <c r="C1165">
        <v>2010</v>
      </c>
      <c r="D1165" s="1">
        <v>0</v>
      </c>
      <c r="E1165" s="1">
        <v>6408.87</v>
      </c>
      <c r="F1165" t="s">
        <v>777</v>
      </c>
      <c r="G1165" t="str">
        <f>_xlfn.XLOOKUP(C1165,tblCOA[AccountNo],tblCOA[AccountName],"Unmapped")</f>
        <v>Accounts Payable</v>
      </c>
      <c r="H1165" t="str">
        <f>_xlfn.XLOOKUP(C1165,tblCOA[AccountNo],tblCOA[Category],"Unmapped")</f>
        <v>Liabilities</v>
      </c>
      <c r="I1165" s="4">
        <f t="shared" si="54"/>
        <v>-6408.87</v>
      </c>
      <c r="J1165">
        <f t="shared" si="55"/>
        <v>2025</v>
      </c>
      <c r="K1165" s="5">
        <f t="shared" si="56"/>
        <v>45748</v>
      </c>
    </row>
    <row r="1166" spans="1:11" x14ac:dyDescent="0.25">
      <c r="A1166" t="s">
        <v>3218</v>
      </c>
      <c r="B1166" s="3">
        <v>45761</v>
      </c>
      <c r="C1166">
        <v>1200</v>
      </c>
      <c r="D1166" s="1">
        <v>12128.12</v>
      </c>
      <c r="E1166" s="1">
        <v>0</v>
      </c>
      <c r="F1166" t="s">
        <v>3219</v>
      </c>
      <c r="G1166" t="str">
        <f>_xlfn.XLOOKUP(C1166,tblCOA[AccountNo],tblCOA[AccountName],"Unmapped")</f>
        <v>Accounts Receivable</v>
      </c>
      <c r="H1166" t="str">
        <f>_xlfn.XLOOKUP(C1166,tblCOA[AccountNo],tblCOA[Category],"Unmapped")</f>
        <v>Assets</v>
      </c>
      <c r="I1166" s="4">
        <f t="shared" si="54"/>
        <v>12128.12</v>
      </c>
      <c r="J1166">
        <f t="shared" si="55"/>
        <v>2025</v>
      </c>
      <c r="K1166" s="5">
        <f t="shared" si="56"/>
        <v>45748</v>
      </c>
    </row>
    <row r="1167" spans="1:11" x14ac:dyDescent="0.25">
      <c r="A1167" t="s">
        <v>3220</v>
      </c>
      <c r="B1167" s="3">
        <v>45761</v>
      </c>
      <c r="C1167">
        <v>4010</v>
      </c>
      <c r="D1167" s="1">
        <v>0</v>
      </c>
      <c r="E1167" s="1">
        <v>12128.12</v>
      </c>
      <c r="F1167" t="s">
        <v>3221</v>
      </c>
      <c r="G1167" t="str">
        <f>_xlfn.XLOOKUP(C1167,tblCOA[AccountNo],tblCOA[AccountName],"Unmapped")</f>
        <v>Product Sales</v>
      </c>
      <c r="H1167" t="str">
        <f>_xlfn.XLOOKUP(C1167,tblCOA[AccountNo],tblCOA[Category],"Unmapped")</f>
        <v>Revenue</v>
      </c>
      <c r="I1167" s="4">
        <f t="shared" si="54"/>
        <v>-12128.12</v>
      </c>
      <c r="J1167">
        <f t="shared" si="55"/>
        <v>2025</v>
      </c>
      <c r="K1167" s="5">
        <f t="shared" si="56"/>
        <v>45748</v>
      </c>
    </row>
    <row r="1168" spans="1:11" x14ac:dyDescent="0.25">
      <c r="A1168" t="s">
        <v>2162</v>
      </c>
      <c r="B1168" s="3">
        <v>45763</v>
      </c>
      <c r="C1168">
        <v>1200</v>
      </c>
      <c r="D1168" s="1">
        <v>1170.29</v>
      </c>
      <c r="E1168" s="1">
        <v>0</v>
      </c>
      <c r="F1168" t="s">
        <v>2163</v>
      </c>
      <c r="G1168" t="str">
        <f>_xlfn.XLOOKUP(C1168,tblCOA[AccountNo],tblCOA[AccountName],"Unmapped")</f>
        <v>Accounts Receivable</v>
      </c>
      <c r="H1168" t="str">
        <f>_xlfn.XLOOKUP(C1168,tblCOA[AccountNo],tblCOA[Category],"Unmapped")</f>
        <v>Assets</v>
      </c>
      <c r="I1168" s="4">
        <f t="shared" si="54"/>
        <v>1170.29</v>
      </c>
      <c r="J1168">
        <f t="shared" si="55"/>
        <v>2025</v>
      </c>
      <c r="K1168" s="5">
        <f t="shared" si="56"/>
        <v>45748</v>
      </c>
    </row>
    <row r="1169" spans="1:11" x14ac:dyDescent="0.25">
      <c r="A1169" t="s">
        <v>2164</v>
      </c>
      <c r="B1169" s="3">
        <v>45763</v>
      </c>
      <c r="C1169">
        <v>4010</v>
      </c>
      <c r="D1169" s="1">
        <v>0</v>
      </c>
      <c r="E1169" s="1">
        <v>1170.29</v>
      </c>
      <c r="F1169" t="s">
        <v>2165</v>
      </c>
      <c r="G1169" t="str">
        <f>_xlfn.XLOOKUP(C1169,tblCOA[AccountNo],tblCOA[AccountName],"Unmapped")</f>
        <v>Product Sales</v>
      </c>
      <c r="H1169" t="str">
        <f>_xlfn.XLOOKUP(C1169,tblCOA[AccountNo],tblCOA[Category],"Unmapped")</f>
        <v>Revenue</v>
      </c>
      <c r="I1169" s="4">
        <f t="shared" si="54"/>
        <v>-1170.29</v>
      </c>
      <c r="J1169">
        <f t="shared" si="55"/>
        <v>2025</v>
      </c>
      <c r="K1169" s="5">
        <f t="shared" si="56"/>
        <v>45748</v>
      </c>
    </row>
    <row r="1170" spans="1:11" x14ac:dyDescent="0.25">
      <c r="A1170" t="s">
        <v>2806</v>
      </c>
      <c r="B1170" s="3">
        <v>45764</v>
      </c>
      <c r="C1170">
        <v>5010</v>
      </c>
      <c r="D1170" s="1">
        <v>15117.32</v>
      </c>
      <c r="E1170" s="1">
        <v>0</v>
      </c>
      <c r="F1170" t="s">
        <v>2807</v>
      </c>
      <c r="G1170" t="str">
        <f>_xlfn.XLOOKUP(C1170,tblCOA[AccountNo],tblCOA[AccountName],"Unmapped")</f>
        <v>Cost of Goods Sold</v>
      </c>
      <c r="H1170" t="str">
        <f>_xlfn.XLOOKUP(C1170,tblCOA[AccountNo],tblCOA[Category],"Unmapped")</f>
        <v>Expenses</v>
      </c>
      <c r="I1170" s="4">
        <f t="shared" si="54"/>
        <v>15117.32</v>
      </c>
      <c r="J1170">
        <f t="shared" si="55"/>
        <v>2025</v>
      </c>
      <c r="K1170" s="5">
        <f t="shared" si="56"/>
        <v>45748</v>
      </c>
    </row>
    <row r="1171" spans="1:11" x14ac:dyDescent="0.25">
      <c r="A1171" t="s">
        <v>2808</v>
      </c>
      <c r="B1171" s="3">
        <v>45764</v>
      </c>
      <c r="C1171">
        <v>2010</v>
      </c>
      <c r="D1171" s="1">
        <v>0</v>
      </c>
      <c r="E1171" s="1">
        <v>15117.32</v>
      </c>
      <c r="F1171" t="s">
        <v>2809</v>
      </c>
      <c r="G1171" t="str">
        <f>_xlfn.XLOOKUP(C1171,tblCOA[AccountNo],tblCOA[AccountName],"Unmapped")</f>
        <v>Accounts Payable</v>
      </c>
      <c r="H1171" t="str">
        <f>_xlfn.XLOOKUP(C1171,tblCOA[AccountNo],tblCOA[Category],"Unmapped")</f>
        <v>Liabilities</v>
      </c>
      <c r="I1171" s="4">
        <f t="shared" si="54"/>
        <v>-15117.32</v>
      </c>
      <c r="J1171">
        <f t="shared" si="55"/>
        <v>2025</v>
      </c>
      <c r="K1171" s="5">
        <f t="shared" si="56"/>
        <v>45748</v>
      </c>
    </row>
    <row r="1172" spans="1:11" x14ac:dyDescent="0.25">
      <c r="A1172" t="s">
        <v>790</v>
      </c>
      <c r="B1172" s="3">
        <v>45764</v>
      </c>
      <c r="C1172">
        <v>5010</v>
      </c>
      <c r="D1172" s="1">
        <v>16120.1</v>
      </c>
      <c r="E1172" s="1">
        <v>0</v>
      </c>
      <c r="F1172" t="s">
        <v>791</v>
      </c>
      <c r="G1172" t="str">
        <f>_xlfn.XLOOKUP(C1172,tblCOA[AccountNo],tblCOA[AccountName],"Unmapped")</f>
        <v>Cost of Goods Sold</v>
      </c>
      <c r="H1172" t="str">
        <f>_xlfn.XLOOKUP(C1172,tblCOA[AccountNo],tblCOA[Category],"Unmapped")</f>
        <v>Expenses</v>
      </c>
      <c r="I1172" s="4">
        <f t="shared" si="54"/>
        <v>16120.1</v>
      </c>
      <c r="J1172">
        <f t="shared" si="55"/>
        <v>2025</v>
      </c>
      <c r="K1172" s="5">
        <f t="shared" si="56"/>
        <v>45748</v>
      </c>
    </row>
    <row r="1173" spans="1:11" x14ac:dyDescent="0.25">
      <c r="A1173" t="s">
        <v>792</v>
      </c>
      <c r="B1173" s="3">
        <v>45764</v>
      </c>
      <c r="C1173">
        <v>2010</v>
      </c>
      <c r="D1173" s="1">
        <v>0</v>
      </c>
      <c r="E1173" s="1">
        <v>16120.1</v>
      </c>
      <c r="F1173" t="s">
        <v>793</v>
      </c>
      <c r="G1173" t="str">
        <f>_xlfn.XLOOKUP(C1173,tblCOA[AccountNo],tblCOA[AccountName],"Unmapped")</f>
        <v>Accounts Payable</v>
      </c>
      <c r="H1173" t="str">
        <f>_xlfn.XLOOKUP(C1173,tblCOA[AccountNo],tblCOA[Category],"Unmapped")</f>
        <v>Liabilities</v>
      </c>
      <c r="I1173" s="4">
        <f t="shared" si="54"/>
        <v>-16120.1</v>
      </c>
      <c r="J1173">
        <f t="shared" si="55"/>
        <v>2025</v>
      </c>
      <c r="K1173" s="5">
        <f t="shared" si="56"/>
        <v>45748</v>
      </c>
    </row>
    <row r="1174" spans="1:11" x14ac:dyDescent="0.25">
      <c r="A1174" t="s">
        <v>626</v>
      </c>
      <c r="B1174" s="3">
        <v>45766</v>
      </c>
      <c r="C1174">
        <v>1200</v>
      </c>
      <c r="D1174" s="1">
        <v>27568.83</v>
      </c>
      <c r="E1174" s="1">
        <v>0</v>
      </c>
      <c r="F1174" t="s">
        <v>627</v>
      </c>
      <c r="G1174" t="str">
        <f>_xlfn.XLOOKUP(C1174,tblCOA[AccountNo],tblCOA[AccountName],"Unmapped")</f>
        <v>Accounts Receivable</v>
      </c>
      <c r="H1174" t="str">
        <f>_xlfn.XLOOKUP(C1174,tblCOA[AccountNo],tblCOA[Category],"Unmapped")</f>
        <v>Assets</v>
      </c>
      <c r="I1174" s="4">
        <f t="shared" si="54"/>
        <v>27568.83</v>
      </c>
      <c r="J1174">
        <f t="shared" si="55"/>
        <v>2025</v>
      </c>
      <c r="K1174" s="5">
        <f t="shared" si="56"/>
        <v>45748</v>
      </c>
    </row>
    <row r="1175" spans="1:11" x14ac:dyDescent="0.25">
      <c r="A1175" t="s">
        <v>628</v>
      </c>
      <c r="B1175" s="3">
        <v>45766</v>
      </c>
      <c r="C1175">
        <v>4010</v>
      </c>
      <c r="D1175" s="1">
        <v>0</v>
      </c>
      <c r="E1175" s="1">
        <v>27568.83</v>
      </c>
      <c r="F1175" t="s">
        <v>629</v>
      </c>
      <c r="G1175" t="str">
        <f>_xlfn.XLOOKUP(C1175,tblCOA[AccountNo],tblCOA[AccountName],"Unmapped")</f>
        <v>Product Sales</v>
      </c>
      <c r="H1175" t="str">
        <f>_xlfn.XLOOKUP(C1175,tblCOA[AccountNo],tblCOA[Category],"Unmapped")</f>
        <v>Revenue</v>
      </c>
      <c r="I1175" s="4">
        <f t="shared" si="54"/>
        <v>-27568.83</v>
      </c>
      <c r="J1175">
        <f t="shared" si="55"/>
        <v>2025</v>
      </c>
      <c r="K1175" s="5">
        <f t="shared" si="56"/>
        <v>45748</v>
      </c>
    </row>
    <row r="1176" spans="1:11" x14ac:dyDescent="0.25">
      <c r="A1176" t="s">
        <v>842</v>
      </c>
      <c r="B1176" s="3">
        <v>45767</v>
      </c>
      <c r="C1176">
        <v>1200</v>
      </c>
      <c r="D1176" s="1">
        <v>10828.69</v>
      </c>
      <c r="E1176" s="1">
        <v>0</v>
      </c>
      <c r="F1176" t="s">
        <v>843</v>
      </c>
      <c r="G1176" t="str">
        <f>_xlfn.XLOOKUP(C1176,tblCOA[AccountNo],tblCOA[AccountName],"Unmapped")</f>
        <v>Accounts Receivable</v>
      </c>
      <c r="H1176" t="str">
        <f>_xlfn.XLOOKUP(C1176,tblCOA[AccountNo],tblCOA[Category],"Unmapped")</f>
        <v>Assets</v>
      </c>
      <c r="I1176" s="4">
        <f t="shared" si="54"/>
        <v>10828.69</v>
      </c>
      <c r="J1176">
        <f t="shared" si="55"/>
        <v>2025</v>
      </c>
      <c r="K1176" s="5">
        <f t="shared" si="56"/>
        <v>45748</v>
      </c>
    </row>
    <row r="1177" spans="1:11" x14ac:dyDescent="0.25">
      <c r="A1177" t="s">
        <v>844</v>
      </c>
      <c r="B1177" s="3">
        <v>45767</v>
      </c>
      <c r="C1177">
        <v>4010</v>
      </c>
      <c r="D1177" s="1">
        <v>0</v>
      </c>
      <c r="E1177" s="1">
        <v>10828.69</v>
      </c>
      <c r="F1177" t="s">
        <v>845</v>
      </c>
      <c r="G1177" t="str">
        <f>_xlfn.XLOOKUP(C1177,tblCOA[AccountNo],tblCOA[AccountName],"Unmapped")</f>
        <v>Product Sales</v>
      </c>
      <c r="H1177" t="str">
        <f>_xlfn.XLOOKUP(C1177,tblCOA[AccountNo],tblCOA[Category],"Unmapped")</f>
        <v>Revenue</v>
      </c>
      <c r="I1177" s="4">
        <f t="shared" si="54"/>
        <v>-10828.69</v>
      </c>
      <c r="J1177">
        <f t="shared" si="55"/>
        <v>2025</v>
      </c>
      <c r="K1177" s="5">
        <f t="shared" si="56"/>
        <v>45748</v>
      </c>
    </row>
    <row r="1178" spans="1:11" x14ac:dyDescent="0.25">
      <c r="A1178" t="s">
        <v>3742</v>
      </c>
      <c r="B1178" s="3">
        <v>45773</v>
      </c>
      <c r="C1178">
        <v>5010</v>
      </c>
      <c r="D1178" s="1">
        <v>8647.08</v>
      </c>
      <c r="E1178" s="1">
        <v>0</v>
      </c>
      <c r="F1178" t="s">
        <v>3743</v>
      </c>
      <c r="G1178" t="str">
        <f>_xlfn.XLOOKUP(C1178,tblCOA[AccountNo],tblCOA[AccountName],"Unmapped")</f>
        <v>Cost of Goods Sold</v>
      </c>
      <c r="H1178" t="str">
        <f>_xlfn.XLOOKUP(C1178,tblCOA[AccountNo],tblCOA[Category],"Unmapped")</f>
        <v>Expenses</v>
      </c>
      <c r="I1178" s="4">
        <f t="shared" si="54"/>
        <v>8647.08</v>
      </c>
      <c r="J1178">
        <f t="shared" si="55"/>
        <v>2025</v>
      </c>
      <c r="K1178" s="5">
        <f t="shared" si="56"/>
        <v>45748</v>
      </c>
    </row>
    <row r="1179" spans="1:11" x14ac:dyDescent="0.25">
      <c r="A1179" t="s">
        <v>3744</v>
      </c>
      <c r="B1179" s="3">
        <v>45773</v>
      </c>
      <c r="C1179">
        <v>2010</v>
      </c>
      <c r="D1179" s="1">
        <v>0</v>
      </c>
      <c r="E1179" s="1">
        <v>8647.08</v>
      </c>
      <c r="F1179" t="s">
        <v>3745</v>
      </c>
      <c r="G1179" t="str">
        <f>_xlfn.XLOOKUP(C1179,tblCOA[AccountNo],tblCOA[AccountName],"Unmapped")</f>
        <v>Accounts Payable</v>
      </c>
      <c r="H1179" t="str">
        <f>_xlfn.XLOOKUP(C1179,tblCOA[AccountNo],tblCOA[Category],"Unmapped")</f>
        <v>Liabilities</v>
      </c>
      <c r="I1179" s="4">
        <f t="shared" si="54"/>
        <v>-8647.08</v>
      </c>
      <c r="J1179">
        <f t="shared" si="55"/>
        <v>2025</v>
      </c>
      <c r="K1179" s="5">
        <f t="shared" si="56"/>
        <v>45748</v>
      </c>
    </row>
    <row r="1180" spans="1:11" x14ac:dyDescent="0.25">
      <c r="A1180" t="s">
        <v>2050</v>
      </c>
      <c r="B1180" s="3">
        <v>45776</v>
      </c>
      <c r="C1180">
        <v>1200</v>
      </c>
      <c r="D1180" s="1">
        <v>46695.59</v>
      </c>
      <c r="E1180" s="1">
        <v>0</v>
      </c>
      <c r="F1180" t="s">
        <v>2051</v>
      </c>
      <c r="G1180" t="str">
        <f>_xlfn.XLOOKUP(C1180,tblCOA[AccountNo],tblCOA[AccountName],"Unmapped")</f>
        <v>Accounts Receivable</v>
      </c>
      <c r="H1180" t="str">
        <f>_xlfn.XLOOKUP(C1180,tblCOA[AccountNo],tblCOA[Category],"Unmapped")</f>
        <v>Assets</v>
      </c>
      <c r="I1180" s="4">
        <f t="shared" si="54"/>
        <v>46695.59</v>
      </c>
      <c r="J1180">
        <f t="shared" si="55"/>
        <v>2025</v>
      </c>
      <c r="K1180" s="5">
        <f t="shared" si="56"/>
        <v>45748</v>
      </c>
    </row>
    <row r="1181" spans="1:11" x14ac:dyDescent="0.25">
      <c r="A1181" t="s">
        <v>2052</v>
      </c>
      <c r="B1181" s="3">
        <v>45776</v>
      </c>
      <c r="C1181">
        <v>4010</v>
      </c>
      <c r="D1181" s="1">
        <v>0</v>
      </c>
      <c r="E1181" s="1">
        <v>46695.59</v>
      </c>
      <c r="F1181" t="s">
        <v>2053</v>
      </c>
      <c r="G1181" t="str">
        <f>_xlfn.XLOOKUP(C1181,tblCOA[AccountNo],tblCOA[AccountName],"Unmapped")</f>
        <v>Product Sales</v>
      </c>
      <c r="H1181" t="str">
        <f>_xlfn.XLOOKUP(C1181,tblCOA[AccountNo],tblCOA[Category],"Unmapped")</f>
        <v>Revenue</v>
      </c>
      <c r="I1181" s="4">
        <f t="shared" si="54"/>
        <v>-46695.59</v>
      </c>
      <c r="J1181">
        <f t="shared" si="55"/>
        <v>2025</v>
      </c>
      <c r="K1181" s="5">
        <f t="shared" si="56"/>
        <v>45748</v>
      </c>
    </row>
    <row r="1182" spans="1:11" x14ac:dyDescent="0.25">
      <c r="A1182" t="s">
        <v>266</v>
      </c>
      <c r="B1182" s="3">
        <v>45778</v>
      </c>
      <c r="C1182">
        <v>1200</v>
      </c>
      <c r="D1182" s="1">
        <v>49615.99</v>
      </c>
      <c r="E1182" s="1">
        <v>0</v>
      </c>
      <c r="F1182" t="s">
        <v>267</v>
      </c>
      <c r="G1182" t="str">
        <f>_xlfn.XLOOKUP(C1182,tblCOA[AccountNo],tblCOA[AccountName],"Unmapped")</f>
        <v>Accounts Receivable</v>
      </c>
      <c r="H1182" t="str">
        <f>_xlfn.XLOOKUP(C1182,tblCOA[AccountNo],tblCOA[Category],"Unmapped")</f>
        <v>Assets</v>
      </c>
      <c r="I1182" s="4">
        <f t="shared" si="54"/>
        <v>49615.99</v>
      </c>
      <c r="J1182">
        <f t="shared" si="55"/>
        <v>2025</v>
      </c>
      <c r="K1182" s="5">
        <f t="shared" si="56"/>
        <v>45778</v>
      </c>
    </row>
    <row r="1183" spans="1:11" x14ac:dyDescent="0.25">
      <c r="A1183" t="s">
        <v>268</v>
      </c>
      <c r="B1183" s="3">
        <v>45778</v>
      </c>
      <c r="C1183">
        <v>4010</v>
      </c>
      <c r="D1183" s="1">
        <v>0</v>
      </c>
      <c r="E1183" s="1">
        <v>49615.99</v>
      </c>
      <c r="F1183" t="s">
        <v>269</v>
      </c>
      <c r="G1183" t="str">
        <f>_xlfn.XLOOKUP(C1183,tblCOA[AccountNo],tblCOA[AccountName],"Unmapped")</f>
        <v>Product Sales</v>
      </c>
      <c r="H1183" t="str">
        <f>_xlfn.XLOOKUP(C1183,tblCOA[AccountNo],tblCOA[Category],"Unmapped")</f>
        <v>Revenue</v>
      </c>
      <c r="I1183" s="4">
        <f t="shared" si="54"/>
        <v>-49615.99</v>
      </c>
      <c r="J1183">
        <f t="shared" si="55"/>
        <v>2025</v>
      </c>
      <c r="K1183" s="5">
        <f t="shared" si="56"/>
        <v>45778</v>
      </c>
    </row>
    <row r="1184" spans="1:11" x14ac:dyDescent="0.25">
      <c r="A1184" t="s">
        <v>2902</v>
      </c>
      <c r="B1184" s="3">
        <v>45782</v>
      </c>
      <c r="C1184">
        <v>5010</v>
      </c>
      <c r="D1184" s="1">
        <v>15904.3</v>
      </c>
      <c r="E1184" s="1">
        <v>0</v>
      </c>
      <c r="F1184" t="s">
        <v>2903</v>
      </c>
      <c r="G1184" t="str">
        <f>_xlfn.XLOOKUP(C1184,tblCOA[AccountNo],tblCOA[AccountName],"Unmapped")</f>
        <v>Cost of Goods Sold</v>
      </c>
      <c r="H1184" t="str">
        <f>_xlfn.XLOOKUP(C1184,tblCOA[AccountNo],tblCOA[Category],"Unmapped")</f>
        <v>Expenses</v>
      </c>
      <c r="I1184" s="4">
        <f t="shared" si="54"/>
        <v>15904.3</v>
      </c>
      <c r="J1184">
        <f t="shared" si="55"/>
        <v>2025</v>
      </c>
      <c r="K1184" s="5">
        <f t="shared" si="56"/>
        <v>45778</v>
      </c>
    </row>
    <row r="1185" spans="1:11" x14ac:dyDescent="0.25">
      <c r="A1185" t="s">
        <v>2904</v>
      </c>
      <c r="B1185" s="3">
        <v>45782</v>
      </c>
      <c r="C1185">
        <v>2010</v>
      </c>
      <c r="D1185" s="1">
        <v>0</v>
      </c>
      <c r="E1185" s="1">
        <v>15904.3</v>
      </c>
      <c r="F1185" t="s">
        <v>2905</v>
      </c>
      <c r="G1185" t="str">
        <f>_xlfn.XLOOKUP(C1185,tblCOA[AccountNo],tblCOA[AccountName],"Unmapped")</f>
        <v>Accounts Payable</v>
      </c>
      <c r="H1185" t="str">
        <f>_xlfn.XLOOKUP(C1185,tblCOA[AccountNo],tblCOA[Category],"Unmapped")</f>
        <v>Liabilities</v>
      </c>
      <c r="I1185" s="4">
        <f t="shared" si="54"/>
        <v>-15904.3</v>
      </c>
      <c r="J1185">
        <f t="shared" si="55"/>
        <v>2025</v>
      </c>
      <c r="K1185" s="5">
        <f t="shared" si="56"/>
        <v>45778</v>
      </c>
    </row>
    <row r="1186" spans="1:11" x14ac:dyDescent="0.25">
      <c r="A1186" t="s">
        <v>346</v>
      </c>
      <c r="B1186" s="3">
        <v>45782</v>
      </c>
      <c r="C1186">
        <v>1200</v>
      </c>
      <c r="D1186" s="1">
        <v>6648.08</v>
      </c>
      <c r="E1186" s="1">
        <v>0</v>
      </c>
      <c r="F1186" t="s">
        <v>347</v>
      </c>
      <c r="G1186" t="str">
        <f>_xlfn.XLOOKUP(C1186,tblCOA[AccountNo],tblCOA[AccountName],"Unmapped")</f>
        <v>Accounts Receivable</v>
      </c>
      <c r="H1186" t="str">
        <f>_xlfn.XLOOKUP(C1186,tblCOA[AccountNo],tblCOA[Category],"Unmapped")</f>
        <v>Assets</v>
      </c>
      <c r="I1186" s="4">
        <f t="shared" si="54"/>
        <v>6648.08</v>
      </c>
      <c r="J1186">
        <f t="shared" si="55"/>
        <v>2025</v>
      </c>
      <c r="K1186" s="5">
        <f t="shared" si="56"/>
        <v>45778</v>
      </c>
    </row>
    <row r="1187" spans="1:11" x14ac:dyDescent="0.25">
      <c r="A1187" t="s">
        <v>348</v>
      </c>
      <c r="B1187" s="3">
        <v>45782</v>
      </c>
      <c r="C1187">
        <v>4010</v>
      </c>
      <c r="D1187" s="1">
        <v>0</v>
      </c>
      <c r="E1187" s="1">
        <v>6648.08</v>
      </c>
      <c r="F1187" t="s">
        <v>349</v>
      </c>
      <c r="G1187" t="str">
        <f>_xlfn.XLOOKUP(C1187,tblCOA[AccountNo],tblCOA[AccountName],"Unmapped")</f>
        <v>Product Sales</v>
      </c>
      <c r="H1187" t="str">
        <f>_xlfn.XLOOKUP(C1187,tblCOA[AccountNo],tblCOA[Category],"Unmapped")</f>
        <v>Revenue</v>
      </c>
      <c r="I1187" s="4">
        <f t="shared" si="54"/>
        <v>-6648.08</v>
      </c>
      <c r="J1187">
        <f t="shared" si="55"/>
        <v>2025</v>
      </c>
      <c r="K1187" s="5">
        <f t="shared" si="56"/>
        <v>45778</v>
      </c>
    </row>
    <row r="1188" spans="1:11" x14ac:dyDescent="0.25">
      <c r="A1188" t="s">
        <v>2850</v>
      </c>
      <c r="B1188" s="3">
        <v>45783</v>
      </c>
      <c r="C1188">
        <v>1200</v>
      </c>
      <c r="D1188" s="1">
        <v>8755.7800000000007</v>
      </c>
      <c r="E1188" s="1">
        <v>0</v>
      </c>
      <c r="F1188" t="s">
        <v>2851</v>
      </c>
      <c r="G1188" t="str">
        <f>_xlfn.XLOOKUP(C1188,tblCOA[AccountNo],tblCOA[AccountName],"Unmapped")</f>
        <v>Accounts Receivable</v>
      </c>
      <c r="H1188" t="str">
        <f>_xlfn.XLOOKUP(C1188,tblCOA[AccountNo],tblCOA[Category],"Unmapped")</f>
        <v>Assets</v>
      </c>
      <c r="I1188" s="4">
        <f t="shared" si="54"/>
        <v>8755.7800000000007</v>
      </c>
      <c r="J1188">
        <f t="shared" si="55"/>
        <v>2025</v>
      </c>
      <c r="K1188" s="5">
        <f t="shared" si="56"/>
        <v>45778</v>
      </c>
    </row>
    <row r="1189" spans="1:11" x14ac:dyDescent="0.25">
      <c r="A1189" t="s">
        <v>2852</v>
      </c>
      <c r="B1189" s="3">
        <v>45783</v>
      </c>
      <c r="C1189">
        <v>4010</v>
      </c>
      <c r="D1189" s="1">
        <v>0</v>
      </c>
      <c r="E1189" s="1">
        <v>8755.7800000000007</v>
      </c>
      <c r="F1189" t="s">
        <v>2853</v>
      </c>
      <c r="G1189" t="str">
        <f>_xlfn.XLOOKUP(C1189,tblCOA[AccountNo],tblCOA[AccountName],"Unmapped")</f>
        <v>Product Sales</v>
      </c>
      <c r="H1189" t="str">
        <f>_xlfn.XLOOKUP(C1189,tblCOA[AccountNo],tblCOA[Category],"Unmapped")</f>
        <v>Revenue</v>
      </c>
      <c r="I1189" s="4">
        <f t="shared" si="54"/>
        <v>-8755.7800000000007</v>
      </c>
      <c r="J1189">
        <f t="shared" si="55"/>
        <v>2025</v>
      </c>
      <c r="K1189" s="5">
        <f t="shared" si="56"/>
        <v>45778</v>
      </c>
    </row>
    <row r="1190" spans="1:11" x14ac:dyDescent="0.25">
      <c r="A1190" t="s">
        <v>1350</v>
      </c>
      <c r="B1190" s="3">
        <v>45783</v>
      </c>
      <c r="C1190">
        <v>5010</v>
      </c>
      <c r="D1190" s="1">
        <v>7341.04</v>
      </c>
      <c r="E1190" s="1">
        <v>0</v>
      </c>
      <c r="F1190" t="s">
        <v>1351</v>
      </c>
      <c r="G1190" t="str">
        <f>_xlfn.XLOOKUP(C1190,tblCOA[AccountNo],tblCOA[AccountName],"Unmapped")</f>
        <v>Cost of Goods Sold</v>
      </c>
      <c r="H1190" t="str">
        <f>_xlfn.XLOOKUP(C1190,tblCOA[AccountNo],tblCOA[Category],"Unmapped")</f>
        <v>Expenses</v>
      </c>
      <c r="I1190" s="4">
        <f t="shared" si="54"/>
        <v>7341.04</v>
      </c>
      <c r="J1190">
        <f t="shared" si="55"/>
        <v>2025</v>
      </c>
      <c r="K1190" s="5">
        <f t="shared" si="56"/>
        <v>45778</v>
      </c>
    </row>
    <row r="1191" spans="1:11" x14ac:dyDescent="0.25">
      <c r="A1191" t="s">
        <v>1352</v>
      </c>
      <c r="B1191" s="3">
        <v>45783</v>
      </c>
      <c r="C1191">
        <v>2010</v>
      </c>
      <c r="D1191" s="1">
        <v>0</v>
      </c>
      <c r="E1191" s="1">
        <v>7341.04</v>
      </c>
      <c r="F1191" t="s">
        <v>1353</v>
      </c>
      <c r="G1191" t="str">
        <f>_xlfn.XLOOKUP(C1191,tblCOA[AccountNo],tblCOA[AccountName],"Unmapped")</f>
        <v>Accounts Payable</v>
      </c>
      <c r="H1191" t="str">
        <f>_xlfn.XLOOKUP(C1191,tblCOA[AccountNo],tblCOA[Category],"Unmapped")</f>
        <v>Liabilities</v>
      </c>
      <c r="I1191" s="4">
        <f t="shared" si="54"/>
        <v>-7341.04</v>
      </c>
      <c r="J1191">
        <f t="shared" si="55"/>
        <v>2025</v>
      </c>
      <c r="K1191" s="5">
        <f t="shared" si="56"/>
        <v>45778</v>
      </c>
    </row>
    <row r="1192" spans="1:11" x14ac:dyDescent="0.25">
      <c r="A1192" t="s">
        <v>3546</v>
      </c>
      <c r="B1192" s="3">
        <v>45786</v>
      </c>
      <c r="C1192">
        <v>1200</v>
      </c>
      <c r="D1192" s="1">
        <v>19511.54</v>
      </c>
      <c r="E1192" s="1">
        <v>0</v>
      </c>
      <c r="F1192" t="s">
        <v>3547</v>
      </c>
      <c r="G1192" t="str">
        <f>_xlfn.XLOOKUP(C1192,tblCOA[AccountNo],tblCOA[AccountName],"Unmapped")</f>
        <v>Accounts Receivable</v>
      </c>
      <c r="H1192" t="str">
        <f>_xlfn.XLOOKUP(C1192,tblCOA[AccountNo],tblCOA[Category],"Unmapped")</f>
        <v>Assets</v>
      </c>
      <c r="I1192" s="4">
        <f t="shared" si="54"/>
        <v>19511.54</v>
      </c>
      <c r="J1192">
        <f t="shared" si="55"/>
        <v>2025</v>
      </c>
      <c r="K1192" s="5">
        <f t="shared" si="56"/>
        <v>45778</v>
      </c>
    </row>
    <row r="1193" spans="1:11" x14ac:dyDescent="0.25">
      <c r="A1193" t="s">
        <v>3548</v>
      </c>
      <c r="B1193" s="3">
        <v>45786</v>
      </c>
      <c r="C1193">
        <v>4010</v>
      </c>
      <c r="D1193" s="1">
        <v>0</v>
      </c>
      <c r="E1193" s="1">
        <v>19511.54</v>
      </c>
      <c r="F1193" t="s">
        <v>3549</v>
      </c>
      <c r="G1193" t="str">
        <f>_xlfn.XLOOKUP(C1193,tblCOA[AccountNo],tblCOA[AccountName],"Unmapped")</f>
        <v>Product Sales</v>
      </c>
      <c r="H1193" t="str">
        <f>_xlfn.XLOOKUP(C1193,tblCOA[AccountNo],tblCOA[Category],"Unmapped")</f>
        <v>Revenue</v>
      </c>
      <c r="I1193" s="4">
        <f t="shared" si="54"/>
        <v>-19511.54</v>
      </c>
      <c r="J1193">
        <f t="shared" si="55"/>
        <v>2025</v>
      </c>
      <c r="K1193" s="5">
        <f t="shared" si="56"/>
        <v>45778</v>
      </c>
    </row>
    <row r="1194" spans="1:11" x14ac:dyDescent="0.25">
      <c r="A1194" t="s">
        <v>1946</v>
      </c>
      <c r="B1194" s="3">
        <v>45786</v>
      </c>
      <c r="C1194">
        <v>1200</v>
      </c>
      <c r="D1194" s="1">
        <v>40247.32</v>
      </c>
      <c r="E1194" s="1">
        <v>0</v>
      </c>
      <c r="F1194" t="s">
        <v>1947</v>
      </c>
      <c r="G1194" t="str">
        <f>_xlfn.XLOOKUP(C1194,tblCOA[AccountNo],tblCOA[AccountName],"Unmapped")</f>
        <v>Accounts Receivable</v>
      </c>
      <c r="H1194" t="str">
        <f>_xlfn.XLOOKUP(C1194,tblCOA[AccountNo],tblCOA[Category],"Unmapped")</f>
        <v>Assets</v>
      </c>
      <c r="I1194" s="4">
        <f t="shared" si="54"/>
        <v>40247.32</v>
      </c>
      <c r="J1194">
        <f t="shared" si="55"/>
        <v>2025</v>
      </c>
      <c r="K1194" s="5">
        <f t="shared" si="56"/>
        <v>45778</v>
      </c>
    </row>
    <row r="1195" spans="1:11" x14ac:dyDescent="0.25">
      <c r="A1195" t="s">
        <v>1948</v>
      </c>
      <c r="B1195" s="3">
        <v>45786</v>
      </c>
      <c r="C1195">
        <v>4010</v>
      </c>
      <c r="D1195" s="1">
        <v>0</v>
      </c>
      <c r="E1195" s="1">
        <v>40247.32</v>
      </c>
      <c r="F1195" t="s">
        <v>1949</v>
      </c>
      <c r="G1195" t="str">
        <f>_xlfn.XLOOKUP(C1195,tblCOA[AccountNo],tblCOA[AccountName],"Unmapped")</f>
        <v>Product Sales</v>
      </c>
      <c r="H1195" t="str">
        <f>_xlfn.XLOOKUP(C1195,tblCOA[AccountNo],tblCOA[Category],"Unmapped")</f>
        <v>Revenue</v>
      </c>
      <c r="I1195" s="4">
        <f t="shared" si="54"/>
        <v>-40247.32</v>
      </c>
      <c r="J1195">
        <f t="shared" si="55"/>
        <v>2025</v>
      </c>
      <c r="K1195" s="5">
        <f t="shared" si="56"/>
        <v>45778</v>
      </c>
    </row>
    <row r="1196" spans="1:11" x14ac:dyDescent="0.25">
      <c r="A1196" t="s">
        <v>2094</v>
      </c>
      <c r="B1196" s="3">
        <v>45789</v>
      </c>
      <c r="C1196">
        <v>5010</v>
      </c>
      <c r="D1196" s="1">
        <v>5227.92</v>
      </c>
      <c r="E1196" s="1">
        <v>0</v>
      </c>
      <c r="F1196" t="s">
        <v>2095</v>
      </c>
      <c r="G1196" t="str">
        <f>_xlfn.XLOOKUP(C1196,tblCOA[AccountNo],tblCOA[AccountName],"Unmapped")</f>
        <v>Cost of Goods Sold</v>
      </c>
      <c r="H1196" t="str">
        <f>_xlfn.XLOOKUP(C1196,tblCOA[AccountNo],tblCOA[Category],"Unmapped")</f>
        <v>Expenses</v>
      </c>
      <c r="I1196" s="4">
        <f t="shared" si="54"/>
        <v>5227.92</v>
      </c>
      <c r="J1196">
        <f t="shared" si="55"/>
        <v>2025</v>
      </c>
      <c r="K1196" s="5">
        <f t="shared" si="56"/>
        <v>45778</v>
      </c>
    </row>
    <row r="1197" spans="1:11" x14ac:dyDescent="0.25">
      <c r="A1197" t="s">
        <v>2096</v>
      </c>
      <c r="B1197" s="3">
        <v>45789</v>
      </c>
      <c r="C1197">
        <v>2010</v>
      </c>
      <c r="D1197" s="1">
        <v>0</v>
      </c>
      <c r="E1197" s="1">
        <v>5227.92</v>
      </c>
      <c r="F1197" t="s">
        <v>2097</v>
      </c>
      <c r="G1197" t="str">
        <f>_xlfn.XLOOKUP(C1197,tblCOA[AccountNo],tblCOA[AccountName],"Unmapped")</f>
        <v>Accounts Payable</v>
      </c>
      <c r="H1197" t="str">
        <f>_xlfn.XLOOKUP(C1197,tblCOA[AccountNo],tblCOA[Category],"Unmapped")</f>
        <v>Liabilities</v>
      </c>
      <c r="I1197" s="4">
        <f t="shared" si="54"/>
        <v>-5227.92</v>
      </c>
      <c r="J1197">
        <f t="shared" si="55"/>
        <v>2025</v>
      </c>
      <c r="K1197" s="5">
        <f t="shared" si="56"/>
        <v>45778</v>
      </c>
    </row>
    <row r="1198" spans="1:11" x14ac:dyDescent="0.25">
      <c r="A1198" t="s">
        <v>2938</v>
      </c>
      <c r="B1198" s="3">
        <v>45789</v>
      </c>
      <c r="C1198">
        <v>1200</v>
      </c>
      <c r="D1198" s="1">
        <v>46987.33</v>
      </c>
      <c r="E1198" s="1">
        <v>0</v>
      </c>
      <c r="F1198" t="s">
        <v>2939</v>
      </c>
      <c r="G1198" t="str">
        <f>_xlfn.XLOOKUP(C1198,tblCOA[AccountNo],tblCOA[AccountName],"Unmapped")</f>
        <v>Accounts Receivable</v>
      </c>
      <c r="H1198" t="str">
        <f>_xlfn.XLOOKUP(C1198,tblCOA[AccountNo],tblCOA[Category],"Unmapped")</f>
        <v>Assets</v>
      </c>
      <c r="I1198" s="4">
        <f t="shared" si="54"/>
        <v>46987.33</v>
      </c>
      <c r="J1198">
        <f t="shared" si="55"/>
        <v>2025</v>
      </c>
      <c r="K1198" s="5">
        <f t="shared" si="56"/>
        <v>45778</v>
      </c>
    </row>
    <row r="1199" spans="1:11" x14ac:dyDescent="0.25">
      <c r="A1199" t="s">
        <v>2940</v>
      </c>
      <c r="B1199" s="3">
        <v>45789</v>
      </c>
      <c r="C1199">
        <v>4010</v>
      </c>
      <c r="D1199" s="1">
        <v>0</v>
      </c>
      <c r="E1199" s="1">
        <v>46987.33</v>
      </c>
      <c r="F1199" t="s">
        <v>2941</v>
      </c>
      <c r="G1199" t="str">
        <f>_xlfn.XLOOKUP(C1199,tblCOA[AccountNo],tblCOA[AccountName],"Unmapped")</f>
        <v>Product Sales</v>
      </c>
      <c r="H1199" t="str">
        <f>_xlfn.XLOOKUP(C1199,tblCOA[AccountNo],tblCOA[Category],"Unmapped")</f>
        <v>Revenue</v>
      </c>
      <c r="I1199" s="4">
        <f t="shared" si="54"/>
        <v>-46987.33</v>
      </c>
      <c r="J1199">
        <f t="shared" si="55"/>
        <v>2025</v>
      </c>
      <c r="K1199" s="5">
        <f t="shared" si="56"/>
        <v>45778</v>
      </c>
    </row>
    <row r="1200" spans="1:11" x14ac:dyDescent="0.25">
      <c r="A1200" t="s">
        <v>546</v>
      </c>
      <c r="B1200" s="3">
        <v>45789</v>
      </c>
      <c r="C1200">
        <v>1200</v>
      </c>
      <c r="D1200" s="1">
        <v>29403.67</v>
      </c>
      <c r="E1200" s="1">
        <v>0</v>
      </c>
      <c r="F1200" t="s">
        <v>547</v>
      </c>
      <c r="G1200" t="str">
        <f>_xlfn.XLOOKUP(C1200,tblCOA[AccountNo],tblCOA[AccountName],"Unmapped")</f>
        <v>Accounts Receivable</v>
      </c>
      <c r="H1200" t="str">
        <f>_xlfn.XLOOKUP(C1200,tblCOA[AccountNo],tblCOA[Category],"Unmapped")</f>
        <v>Assets</v>
      </c>
      <c r="I1200" s="4">
        <f t="shared" si="54"/>
        <v>29403.67</v>
      </c>
      <c r="J1200">
        <f t="shared" si="55"/>
        <v>2025</v>
      </c>
      <c r="K1200" s="5">
        <f t="shared" si="56"/>
        <v>45778</v>
      </c>
    </row>
    <row r="1201" spans="1:11" x14ac:dyDescent="0.25">
      <c r="A1201" t="s">
        <v>548</v>
      </c>
      <c r="B1201" s="3">
        <v>45789</v>
      </c>
      <c r="C1201">
        <v>4010</v>
      </c>
      <c r="D1201" s="1">
        <v>0</v>
      </c>
      <c r="E1201" s="1">
        <v>29403.67</v>
      </c>
      <c r="F1201" t="s">
        <v>549</v>
      </c>
      <c r="G1201" t="str">
        <f>_xlfn.XLOOKUP(C1201,tblCOA[AccountNo],tblCOA[AccountName],"Unmapped")</f>
        <v>Product Sales</v>
      </c>
      <c r="H1201" t="str">
        <f>_xlfn.XLOOKUP(C1201,tblCOA[AccountNo],tblCOA[Category],"Unmapped")</f>
        <v>Revenue</v>
      </c>
      <c r="I1201" s="4">
        <f t="shared" si="54"/>
        <v>-29403.67</v>
      </c>
      <c r="J1201">
        <f t="shared" si="55"/>
        <v>2025</v>
      </c>
      <c r="K1201" s="5">
        <f t="shared" si="56"/>
        <v>45778</v>
      </c>
    </row>
    <row r="1202" spans="1:11" x14ac:dyDescent="0.25">
      <c r="A1202" t="s">
        <v>1790</v>
      </c>
      <c r="B1202" s="3">
        <v>45792</v>
      </c>
      <c r="C1202">
        <v>5010</v>
      </c>
      <c r="D1202" s="1">
        <v>15523.84</v>
      </c>
      <c r="E1202" s="1">
        <v>0</v>
      </c>
      <c r="F1202" t="s">
        <v>1791</v>
      </c>
      <c r="G1202" t="str">
        <f>_xlfn.XLOOKUP(C1202,tblCOA[AccountNo],tblCOA[AccountName],"Unmapped")</f>
        <v>Cost of Goods Sold</v>
      </c>
      <c r="H1202" t="str">
        <f>_xlfn.XLOOKUP(C1202,tblCOA[AccountNo],tblCOA[Category],"Unmapped")</f>
        <v>Expenses</v>
      </c>
      <c r="I1202" s="4">
        <f t="shared" si="54"/>
        <v>15523.84</v>
      </c>
      <c r="J1202">
        <f t="shared" si="55"/>
        <v>2025</v>
      </c>
      <c r="K1202" s="5">
        <f t="shared" si="56"/>
        <v>45778</v>
      </c>
    </row>
    <row r="1203" spans="1:11" x14ac:dyDescent="0.25">
      <c r="A1203" t="s">
        <v>1792</v>
      </c>
      <c r="B1203" s="3">
        <v>45792</v>
      </c>
      <c r="C1203">
        <v>2010</v>
      </c>
      <c r="D1203" s="1">
        <v>0</v>
      </c>
      <c r="E1203" s="1">
        <v>15523.84</v>
      </c>
      <c r="F1203" t="s">
        <v>1793</v>
      </c>
      <c r="G1203" t="str">
        <f>_xlfn.XLOOKUP(C1203,tblCOA[AccountNo],tblCOA[AccountName],"Unmapped")</f>
        <v>Accounts Payable</v>
      </c>
      <c r="H1203" t="str">
        <f>_xlfn.XLOOKUP(C1203,tblCOA[AccountNo],tblCOA[Category],"Unmapped")</f>
        <v>Liabilities</v>
      </c>
      <c r="I1203" s="4">
        <f t="shared" si="54"/>
        <v>-15523.84</v>
      </c>
      <c r="J1203">
        <f t="shared" si="55"/>
        <v>2025</v>
      </c>
      <c r="K1203" s="5">
        <f t="shared" si="56"/>
        <v>45778</v>
      </c>
    </row>
    <row r="1204" spans="1:11" x14ac:dyDescent="0.25">
      <c r="A1204" t="s">
        <v>3422</v>
      </c>
      <c r="B1204" s="3">
        <v>45793</v>
      </c>
      <c r="C1204">
        <v>5010</v>
      </c>
      <c r="D1204" s="1">
        <v>17695.29</v>
      </c>
      <c r="E1204" s="1">
        <v>0</v>
      </c>
      <c r="F1204" t="s">
        <v>3423</v>
      </c>
      <c r="G1204" t="str">
        <f>_xlfn.XLOOKUP(C1204,tblCOA[AccountNo],tblCOA[AccountName],"Unmapped")</f>
        <v>Cost of Goods Sold</v>
      </c>
      <c r="H1204" t="str">
        <f>_xlfn.XLOOKUP(C1204,tblCOA[AccountNo],tblCOA[Category],"Unmapped")</f>
        <v>Expenses</v>
      </c>
      <c r="I1204" s="4">
        <f t="shared" si="54"/>
        <v>17695.29</v>
      </c>
      <c r="J1204">
        <f t="shared" si="55"/>
        <v>2025</v>
      </c>
      <c r="K1204" s="5">
        <f t="shared" si="56"/>
        <v>45778</v>
      </c>
    </row>
    <row r="1205" spans="1:11" x14ac:dyDescent="0.25">
      <c r="A1205" t="s">
        <v>3424</v>
      </c>
      <c r="B1205" s="3">
        <v>45793</v>
      </c>
      <c r="C1205">
        <v>2010</v>
      </c>
      <c r="D1205" s="1">
        <v>0</v>
      </c>
      <c r="E1205" s="1">
        <v>17695.29</v>
      </c>
      <c r="F1205" t="s">
        <v>3425</v>
      </c>
      <c r="G1205" t="str">
        <f>_xlfn.XLOOKUP(C1205,tblCOA[AccountNo],tblCOA[AccountName],"Unmapped")</f>
        <v>Accounts Payable</v>
      </c>
      <c r="H1205" t="str">
        <f>_xlfn.XLOOKUP(C1205,tblCOA[AccountNo],tblCOA[Category],"Unmapped")</f>
        <v>Liabilities</v>
      </c>
      <c r="I1205" s="4">
        <f t="shared" si="54"/>
        <v>-17695.29</v>
      </c>
      <c r="J1205">
        <f t="shared" si="55"/>
        <v>2025</v>
      </c>
      <c r="K1205" s="5">
        <f t="shared" si="56"/>
        <v>45778</v>
      </c>
    </row>
    <row r="1206" spans="1:11" x14ac:dyDescent="0.25">
      <c r="A1206" t="s">
        <v>730</v>
      </c>
      <c r="B1206" s="3">
        <v>45794</v>
      </c>
      <c r="C1206">
        <v>1200</v>
      </c>
      <c r="D1206" s="1">
        <v>41486.94</v>
      </c>
      <c r="E1206" s="1">
        <v>0</v>
      </c>
      <c r="F1206" t="s">
        <v>731</v>
      </c>
      <c r="G1206" t="str">
        <f>_xlfn.XLOOKUP(C1206,tblCOA[AccountNo],tblCOA[AccountName],"Unmapped")</f>
        <v>Accounts Receivable</v>
      </c>
      <c r="H1206" t="str">
        <f>_xlfn.XLOOKUP(C1206,tblCOA[AccountNo],tblCOA[Category],"Unmapped")</f>
        <v>Assets</v>
      </c>
      <c r="I1206" s="4">
        <f t="shared" si="54"/>
        <v>41486.94</v>
      </c>
      <c r="J1206">
        <f t="shared" si="55"/>
        <v>2025</v>
      </c>
      <c r="K1206" s="5">
        <f t="shared" si="56"/>
        <v>45778</v>
      </c>
    </row>
    <row r="1207" spans="1:11" x14ac:dyDescent="0.25">
      <c r="A1207" t="s">
        <v>732</v>
      </c>
      <c r="B1207" s="3">
        <v>45794</v>
      </c>
      <c r="C1207">
        <v>4010</v>
      </c>
      <c r="D1207" s="1">
        <v>0</v>
      </c>
      <c r="E1207" s="1">
        <v>41486.94</v>
      </c>
      <c r="F1207" t="s">
        <v>733</v>
      </c>
      <c r="G1207" t="str">
        <f>_xlfn.XLOOKUP(C1207,tblCOA[AccountNo],tblCOA[AccountName],"Unmapped")</f>
        <v>Product Sales</v>
      </c>
      <c r="H1207" t="str">
        <f>_xlfn.XLOOKUP(C1207,tblCOA[AccountNo],tblCOA[Category],"Unmapped")</f>
        <v>Revenue</v>
      </c>
      <c r="I1207" s="4">
        <f t="shared" si="54"/>
        <v>-41486.94</v>
      </c>
      <c r="J1207">
        <f t="shared" si="55"/>
        <v>2025</v>
      </c>
      <c r="K1207" s="5">
        <f t="shared" si="56"/>
        <v>45778</v>
      </c>
    </row>
    <row r="1208" spans="1:11" x14ac:dyDescent="0.25">
      <c r="A1208" t="s">
        <v>1362</v>
      </c>
      <c r="B1208" s="3">
        <v>45794</v>
      </c>
      <c r="C1208">
        <v>1200</v>
      </c>
      <c r="D1208" s="1">
        <v>28564.89</v>
      </c>
      <c r="E1208" s="1">
        <v>0</v>
      </c>
      <c r="F1208" t="s">
        <v>1363</v>
      </c>
      <c r="G1208" t="str">
        <f>_xlfn.XLOOKUP(C1208,tblCOA[AccountNo],tblCOA[AccountName],"Unmapped")</f>
        <v>Accounts Receivable</v>
      </c>
      <c r="H1208" t="str">
        <f>_xlfn.XLOOKUP(C1208,tblCOA[AccountNo],tblCOA[Category],"Unmapped")</f>
        <v>Assets</v>
      </c>
      <c r="I1208" s="4">
        <f t="shared" si="54"/>
        <v>28564.89</v>
      </c>
      <c r="J1208">
        <f t="shared" si="55"/>
        <v>2025</v>
      </c>
      <c r="K1208" s="5">
        <f t="shared" si="56"/>
        <v>45778</v>
      </c>
    </row>
    <row r="1209" spans="1:11" x14ac:dyDescent="0.25">
      <c r="A1209" t="s">
        <v>1364</v>
      </c>
      <c r="B1209" s="3">
        <v>45794</v>
      </c>
      <c r="C1209">
        <v>4010</v>
      </c>
      <c r="D1209" s="1">
        <v>0</v>
      </c>
      <c r="E1209" s="1">
        <v>28564.89</v>
      </c>
      <c r="F1209" t="s">
        <v>1365</v>
      </c>
      <c r="G1209" t="str">
        <f>_xlfn.XLOOKUP(C1209,tblCOA[AccountNo],tblCOA[AccountName],"Unmapped")</f>
        <v>Product Sales</v>
      </c>
      <c r="H1209" t="str">
        <f>_xlfn.XLOOKUP(C1209,tblCOA[AccountNo],tblCOA[Category],"Unmapped")</f>
        <v>Revenue</v>
      </c>
      <c r="I1209" s="4">
        <f t="shared" si="54"/>
        <v>-28564.89</v>
      </c>
      <c r="J1209">
        <f t="shared" si="55"/>
        <v>2025</v>
      </c>
      <c r="K1209" s="5">
        <f t="shared" si="56"/>
        <v>45778</v>
      </c>
    </row>
    <row r="1210" spans="1:11" x14ac:dyDescent="0.25">
      <c r="A1210" t="s">
        <v>358</v>
      </c>
      <c r="B1210" s="3">
        <v>45795</v>
      </c>
      <c r="C1210">
        <v>5010</v>
      </c>
      <c r="D1210" s="1">
        <v>8908.36</v>
      </c>
      <c r="E1210" s="1">
        <v>0</v>
      </c>
      <c r="F1210" t="s">
        <v>359</v>
      </c>
      <c r="G1210" t="str">
        <f>_xlfn.XLOOKUP(C1210,tblCOA[AccountNo],tblCOA[AccountName],"Unmapped")</f>
        <v>Cost of Goods Sold</v>
      </c>
      <c r="H1210" t="str">
        <f>_xlfn.XLOOKUP(C1210,tblCOA[AccountNo],tblCOA[Category],"Unmapped")</f>
        <v>Expenses</v>
      </c>
      <c r="I1210" s="4">
        <f t="shared" si="54"/>
        <v>8908.36</v>
      </c>
      <c r="J1210">
        <f t="shared" si="55"/>
        <v>2025</v>
      </c>
      <c r="K1210" s="5">
        <f t="shared" si="56"/>
        <v>45778</v>
      </c>
    </row>
    <row r="1211" spans="1:11" x14ac:dyDescent="0.25">
      <c r="A1211" t="s">
        <v>360</v>
      </c>
      <c r="B1211" s="3">
        <v>45795</v>
      </c>
      <c r="C1211">
        <v>2010</v>
      </c>
      <c r="D1211" s="1">
        <v>0</v>
      </c>
      <c r="E1211" s="1">
        <v>8908.36</v>
      </c>
      <c r="F1211" t="s">
        <v>361</v>
      </c>
      <c r="G1211" t="str">
        <f>_xlfn.XLOOKUP(C1211,tblCOA[AccountNo],tblCOA[AccountName],"Unmapped")</f>
        <v>Accounts Payable</v>
      </c>
      <c r="H1211" t="str">
        <f>_xlfn.XLOOKUP(C1211,tblCOA[AccountNo],tblCOA[Category],"Unmapped")</f>
        <v>Liabilities</v>
      </c>
      <c r="I1211" s="4">
        <f t="shared" si="54"/>
        <v>-8908.36</v>
      </c>
      <c r="J1211">
        <f t="shared" si="55"/>
        <v>2025</v>
      </c>
      <c r="K1211" s="5">
        <f t="shared" si="56"/>
        <v>45778</v>
      </c>
    </row>
    <row r="1212" spans="1:11" x14ac:dyDescent="0.25">
      <c r="A1212" t="s">
        <v>3738</v>
      </c>
      <c r="B1212" s="3">
        <v>45795</v>
      </c>
      <c r="C1212">
        <v>1200</v>
      </c>
      <c r="D1212" s="1">
        <v>36655.599999999999</v>
      </c>
      <c r="E1212" s="1">
        <v>0</v>
      </c>
      <c r="F1212" t="s">
        <v>3739</v>
      </c>
      <c r="G1212" t="str">
        <f>_xlfn.XLOOKUP(C1212,tblCOA[AccountNo],tblCOA[AccountName],"Unmapped")</f>
        <v>Accounts Receivable</v>
      </c>
      <c r="H1212" t="str">
        <f>_xlfn.XLOOKUP(C1212,tblCOA[AccountNo],tblCOA[Category],"Unmapped")</f>
        <v>Assets</v>
      </c>
      <c r="I1212" s="4">
        <f t="shared" si="54"/>
        <v>36655.599999999999</v>
      </c>
      <c r="J1212">
        <f t="shared" si="55"/>
        <v>2025</v>
      </c>
      <c r="K1212" s="5">
        <f t="shared" si="56"/>
        <v>45778</v>
      </c>
    </row>
    <row r="1213" spans="1:11" x14ac:dyDescent="0.25">
      <c r="A1213" t="s">
        <v>3740</v>
      </c>
      <c r="B1213" s="3">
        <v>45795</v>
      </c>
      <c r="C1213">
        <v>4010</v>
      </c>
      <c r="D1213" s="1">
        <v>0</v>
      </c>
      <c r="E1213" s="1">
        <v>36655.599999999999</v>
      </c>
      <c r="F1213" t="s">
        <v>3741</v>
      </c>
      <c r="G1213" t="str">
        <f>_xlfn.XLOOKUP(C1213,tblCOA[AccountNo],tblCOA[AccountName],"Unmapped")</f>
        <v>Product Sales</v>
      </c>
      <c r="H1213" t="str">
        <f>_xlfn.XLOOKUP(C1213,tblCOA[AccountNo],tblCOA[Category],"Unmapped")</f>
        <v>Revenue</v>
      </c>
      <c r="I1213" s="4">
        <f t="shared" si="54"/>
        <v>-36655.599999999999</v>
      </c>
      <c r="J1213">
        <f t="shared" si="55"/>
        <v>2025</v>
      </c>
      <c r="K1213" s="5">
        <f t="shared" si="56"/>
        <v>45778</v>
      </c>
    </row>
    <row r="1214" spans="1:11" x14ac:dyDescent="0.25">
      <c r="A1214" t="s">
        <v>2942</v>
      </c>
      <c r="B1214" s="3">
        <v>45796</v>
      </c>
      <c r="C1214">
        <v>5010</v>
      </c>
      <c r="D1214" s="1">
        <v>4233.24</v>
      </c>
      <c r="E1214" s="1">
        <v>0</v>
      </c>
      <c r="F1214" t="s">
        <v>2943</v>
      </c>
      <c r="G1214" t="str">
        <f>_xlfn.XLOOKUP(C1214,tblCOA[AccountNo],tblCOA[AccountName],"Unmapped")</f>
        <v>Cost of Goods Sold</v>
      </c>
      <c r="H1214" t="str">
        <f>_xlfn.XLOOKUP(C1214,tblCOA[AccountNo],tblCOA[Category],"Unmapped")</f>
        <v>Expenses</v>
      </c>
      <c r="I1214" s="4">
        <f t="shared" si="54"/>
        <v>4233.24</v>
      </c>
      <c r="J1214">
        <f t="shared" si="55"/>
        <v>2025</v>
      </c>
      <c r="K1214" s="5">
        <f t="shared" si="56"/>
        <v>45778</v>
      </c>
    </row>
    <row r="1215" spans="1:11" x14ac:dyDescent="0.25">
      <c r="A1215" t="s">
        <v>2944</v>
      </c>
      <c r="B1215" s="3">
        <v>45796</v>
      </c>
      <c r="C1215">
        <v>2010</v>
      </c>
      <c r="D1215" s="1">
        <v>0</v>
      </c>
      <c r="E1215" s="1">
        <v>4233.24</v>
      </c>
      <c r="F1215" t="s">
        <v>2945</v>
      </c>
      <c r="G1215" t="str">
        <f>_xlfn.XLOOKUP(C1215,tblCOA[AccountNo],tblCOA[AccountName],"Unmapped")</f>
        <v>Accounts Payable</v>
      </c>
      <c r="H1215" t="str">
        <f>_xlfn.XLOOKUP(C1215,tblCOA[AccountNo],tblCOA[Category],"Unmapped")</f>
        <v>Liabilities</v>
      </c>
      <c r="I1215" s="4">
        <f t="shared" si="54"/>
        <v>-4233.24</v>
      </c>
      <c r="J1215">
        <f t="shared" si="55"/>
        <v>2025</v>
      </c>
      <c r="K1215" s="5">
        <f t="shared" si="56"/>
        <v>45778</v>
      </c>
    </row>
    <row r="1216" spans="1:11" x14ac:dyDescent="0.25">
      <c r="A1216" t="s">
        <v>526</v>
      </c>
      <c r="B1216" s="3">
        <v>45796</v>
      </c>
      <c r="C1216">
        <v>5010</v>
      </c>
      <c r="D1216" s="1">
        <v>18483.38</v>
      </c>
      <c r="E1216" s="1">
        <v>0</v>
      </c>
      <c r="F1216" t="s">
        <v>527</v>
      </c>
      <c r="G1216" t="str">
        <f>_xlfn.XLOOKUP(C1216,tblCOA[AccountNo],tblCOA[AccountName],"Unmapped")</f>
        <v>Cost of Goods Sold</v>
      </c>
      <c r="H1216" t="str">
        <f>_xlfn.XLOOKUP(C1216,tblCOA[AccountNo],tblCOA[Category],"Unmapped")</f>
        <v>Expenses</v>
      </c>
      <c r="I1216" s="4">
        <f t="shared" si="54"/>
        <v>18483.38</v>
      </c>
      <c r="J1216">
        <f t="shared" si="55"/>
        <v>2025</v>
      </c>
      <c r="K1216" s="5">
        <f t="shared" si="56"/>
        <v>45778</v>
      </c>
    </row>
    <row r="1217" spans="1:11" x14ac:dyDescent="0.25">
      <c r="A1217" t="s">
        <v>528</v>
      </c>
      <c r="B1217" s="3">
        <v>45796</v>
      </c>
      <c r="C1217">
        <v>2010</v>
      </c>
      <c r="D1217" s="1">
        <v>0</v>
      </c>
      <c r="E1217" s="1">
        <v>18483.38</v>
      </c>
      <c r="F1217" t="s">
        <v>529</v>
      </c>
      <c r="G1217" t="str">
        <f>_xlfn.XLOOKUP(C1217,tblCOA[AccountNo],tblCOA[AccountName],"Unmapped")</f>
        <v>Accounts Payable</v>
      </c>
      <c r="H1217" t="str">
        <f>_xlfn.XLOOKUP(C1217,tblCOA[AccountNo],tblCOA[Category],"Unmapped")</f>
        <v>Liabilities</v>
      </c>
      <c r="I1217" s="4">
        <f t="shared" si="54"/>
        <v>-18483.38</v>
      </c>
      <c r="J1217">
        <f t="shared" si="55"/>
        <v>2025</v>
      </c>
      <c r="K1217" s="5">
        <f t="shared" si="56"/>
        <v>45778</v>
      </c>
    </row>
    <row r="1218" spans="1:11" x14ac:dyDescent="0.25">
      <c r="A1218" t="s">
        <v>1506</v>
      </c>
      <c r="B1218" s="3">
        <v>45796</v>
      </c>
      <c r="C1218">
        <v>1200</v>
      </c>
      <c r="D1218" s="1">
        <v>33355.25</v>
      </c>
      <c r="E1218" s="1">
        <v>0</v>
      </c>
      <c r="F1218" t="s">
        <v>1507</v>
      </c>
      <c r="G1218" t="str">
        <f>_xlfn.XLOOKUP(C1218,tblCOA[AccountNo],tblCOA[AccountName],"Unmapped")</f>
        <v>Accounts Receivable</v>
      </c>
      <c r="H1218" t="str">
        <f>_xlfn.XLOOKUP(C1218,tblCOA[AccountNo],tblCOA[Category],"Unmapped")</f>
        <v>Assets</v>
      </c>
      <c r="I1218" s="4">
        <f t="shared" ref="I1218:I1281" si="57">D1218-E1218</f>
        <v>33355.25</v>
      </c>
      <c r="J1218">
        <f t="shared" ref="J1218:J1281" si="58">YEAR(B1218)</f>
        <v>2025</v>
      </c>
      <c r="K1218" s="5">
        <f t="shared" ref="K1218:K1281" si="59">DATE(YEAR(B1218),MONTH(B1218),1)</f>
        <v>45778</v>
      </c>
    </row>
    <row r="1219" spans="1:11" x14ac:dyDescent="0.25">
      <c r="A1219" t="s">
        <v>1508</v>
      </c>
      <c r="B1219" s="3">
        <v>45796</v>
      </c>
      <c r="C1219">
        <v>4010</v>
      </c>
      <c r="D1219" s="1">
        <v>0</v>
      </c>
      <c r="E1219" s="1">
        <v>33355.25</v>
      </c>
      <c r="F1219" t="s">
        <v>1509</v>
      </c>
      <c r="G1219" t="str">
        <f>_xlfn.XLOOKUP(C1219,tblCOA[AccountNo],tblCOA[AccountName],"Unmapped")</f>
        <v>Product Sales</v>
      </c>
      <c r="H1219" t="str">
        <f>_xlfn.XLOOKUP(C1219,tblCOA[AccountNo],tblCOA[Category],"Unmapped")</f>
        <v>Revenue</v>
      </c>
      <c r="I1219" s="4">
        <f t="shared" si="57"/>
        <v>-33355.25</v>
      </c>
      <c r="J1219">
        <f t="shared" si="58"/>
        <v>2025</v>
      </c>
      <c r="K1219" s="5">
        <f t="shared" si="59"/>
        <v>45778</v>
      </c>
    </row>
    <row r="1220" spans="1:11" x14ac:dyDescent="0.25">
      <c r="A1220" t="s">
        <v>2378</v>
      </c>
      <c r="B1220" s="3">
        <v>45798</v>
      </c>
      <c r="C1220">
        <v>1200</v>
      </c>
      <c r="D1220" s="1">
        <v>46837.440000000002</v>
      </c>
      <c r="E1220" s="1">
        <v>0</v>
      </c>
      <c r="F1220" t="s">
        <v>2379</v>
      </c>
      <c r="G1220" t="str">
        <f>_xlfn.XLOOKUP(C1220,tblCOA[AccountNo],tblCOA[AccountName],"Unmapped")</f>
        <v>Accounts Receivable</v>
      </c>
      <c r="H1220" t="str">
        <f>_xlfn.XLOOKUP(C1220,tblCOA[AccountNo],tblCOA[Category],"Unmapped")</f>
        <v>Assets</v>
      </c>
      <c r="I1220" s="4">
        <f t="shared" si="57"/>
        <v>46837.440000000002</v>
      </c>
      <c r="J1220">
        <f t="shared" si="58"/>
        <v>2025</v>
      </c>
      <c r="K1220" s="5">
        <f t="shared" si="59"/>
        <v>45778</v>
      </c>
    </row>
    <row r="1221" spans="1:11" x14ac:dyDescent="0.25">
      <c r="A1221" t="s">
        <v>2380</v>
      </c>
      <c r="B1221" s="3">
        <v>45798</v>
      </c>
      <c r="C1221">
        <v>4010</v>
      </c>
      <c r="D1221" s="1">
        <v>0</v>
      </c>
      <c r="E1221" s="1">
        <v>46837.440000000002</v>
      </c>
      <c r="F1221" t="s">
        <v>2381</v>
      </c>
      <c r="G1221" t="str">
        <f>_xlfn.XLOOKUP(C1221,tblCOA[AccountNo],tblCOA[AccountName],"Unmapped")</f>
        <v>Product Sales</v>
      </c>
      <c r="H1221" t="str">
        <f>_xlfn.XLOOKUP(C1221,tblCOA[AccountNo],tblCOA[Category],"Unmapped")</f>
        <v>Revenue</v>
      </c>
      <c r="I1221" s="4">
        <f t="shared" si="57"/>
        <v>-46837.440000000002</v>
      </c>
      <c r="J1221">
        <f t="shared" si="58"/>
        <v>2025</v>
      </c>
      <c r="K1221" s="5">
        <f t="shared" si="59"/>
        <v>45778</v>
      </c>
    </row>
    <row r="1222" spans="1:11" x14ac:dyDescent="0.25">
      <c r="A1222" t="s">
        <v>3262</v>
      </c>
      <c r="B1222" s="3">
        <v>45798</v>
      </c>
      <c r="C1222">
        <v>5010</v>
      </c>
      <c r="D1222" s="1">
        <v>9781.14</v>
      </c>
      <c r="E1222" s="1">
        <v>0</v>
      </c>
      <c r="F1222" t="s">
        <v>3263</v>
      </c>
      <c r="G1222" t="str">
        <f>_xlfn.XLOOKUP(C1222,tblCOA[AccountNo],tblCOA[AccountName],"Unmapped")</f>
        <v>Cost of Goods Sold</v>
      </c>
      <c r="H1222" t="str">
        <f>_xlfn.XLOOKUP(C1222,tblCOA[AccountNo],tblCOA[Category],"Unmapped")</f>
        <v>Expenses</v>
      </c>
      <c r="I1222" s="4">
        <f t="shared" si="57"/>
        <v>9781.14</v>
      </c>
      <c r="J1222">
        <f t="shared" si="58"/>
        <v>2025</v>
      </c>
      <c r="K1222" s="5">
        <f t="shared" si="59"/>
        <v>45778</v>
      </c>
    </row>
    <row r="1223" spans="1:11" x14ac:dyDescent="0.25">
      <c r="A1223" t="s">
        <v>3264</v>
      </c>
      <c r="B1223" s="3">
        <v>45798</v>
      </c>
      <c r="C1223">
        <v>2010</v>
      </c>
      <c r="D1223" s="1">
        <v>0</v>
      </c>
      <c r="E1223" s="1">
        <v>9781.14</v>
      </c>
      <c r="F1223" t="s">
        <v>3265</v>
      </c>
      <c r="G1223" t="str">
        <f>_xlfn.XLOOKUP(C1223,tblCOA[AccountNo],tblCOA[AccountName],"Unmapped")</f>
        <v>Accounts Payable</v>
      </c>
      <c r="H1223" t="str">
        <f>_xlfn.XLOOKUP(C1223,tblCOA[AccountNo],tblCOA[Category],"Unmapped")</f>
        <v>Liabilities</v>
      </c>
      <c r="I1223" s="4">
        <f t="shared" si="57"/>
        <v>-9781.14</v>
      </c>
      <c r="J1223">
        <f t="shared" si="58"/>
        <v>2025</v>
      </c>
      <c r="K1223" s="5">
        <f t="shared" si="59"/>
        <v>45778</v>
      </c>
    </row>
    <row r="1224" spans="1:11" x14ac:dyDescent="0.25">
      <c r="A1224" t="s">
        <v>1166</v>
      </c>
      <c r="B1224" s="3">
        <v>45798</v>
      </c>
      <c r="C1224">
        <v>5010</v>
      </c>
      <c r="D1224" s="1">
        <v>2844.45</v>
      </c>
      <c r="E1224" s="1">
        <v>0</v>
      </c>
      <c r="F1224" t="s">
        <v>1167</v>
      </c>
      <c r="G1224" t="str">
        <f>_xlfn.XLOOKUP(C1224,tblCOA[AccountNo],tblCOA[AccountName],"Unmapped")</f>
        <v>Cost of Goods Sold</v>
      </c>
      <c r="H1224" t="str">
        <f>_xlfn.XLOOKUP(C1224,tblCOA[AccountNo],tblCOA[Category],"Unmapped")</f>
        <v>Expenses</v>
      </c>
      <c r="I1224" s="4">
        <f t="shared" si="57"/>
        <v>2844.45</v>
      </c>
      <c r="J1224">
        <f t="shared" si="58"/>
        <v>2025</v>
      </c>
      <c r="K1224" s="5">
        <f t="shared" si="59"/>
        <v>45778</v>
      </c>
    </row>
    <row r="1225" spans="1:11" x14ac:dyDescent="0.25">
      <c r="A1225" t="s">
        <v>1168</v>
      </c>
      <c r="B1225" s="3">
        <v>45798</v>
      </c>
      <c r="C1225">
        <v>2010</v>
      </c>
      <c r="D1225" s="1">
        <v>0</v>
      </c>
      <c r="E1225" s="1">
        <v>2844.45</v>
      </c>
      <c r="F1225" t="s">
        <v>1169</v>
      </c>
      <c r="G1225" t="str">
        <f>_xlfn.XLOOKUP(C1225,tblCOA[AccountNo],tblCOA[AccountName],"Unmapped")</f>
        <v>Accounts Payable</v>
      </c>
      <c r="H1225" t="str">
        <f>_xlfn.XLOOKUP(C1225,tblCOA[AccountNo],tblCOA[Category],"Unmapped")</f>
        <v>Liabilities</v>
      </c>
      <c r="I1225" s="4">
        <f t="shared" si="57"/>
        <v>-2844.45</v>
      </c>
      <c r="J1225">
        <f t="shared" si="58"/>
        <v>2025</v>
      </c>
      <c r="K1225" s="5">
        <f t="shared" si="59"/>
        <v>45778</v>
      </c>
    </row>
    <row r="1226" spans="1:11" x14ac:dyDescent="0.25">
      <c r="A1226" t="s">
        <v>974</v>
      </c>
      <c r="B1226" s="3">
        <v>45800</v>
      </c>
      <c r="C1226">
        <v>5010</v>
      </c>
      <c r="D1226" s="1">
        <v>18838.28</v>
      </c>
      <c r="E1226" s="1">
        <v>0</v>
      </c>
      <c r="F1226" t="s">
        <v>975</v>
      </c>
      <c r="G1226" t="str">
        <f>_xlfn.XLOOKUP(C1226,tblCOA[AccountNo],tblCOA[AccountName],"Unmapped")</f>
        <v>Cost of Goods Sold</v>
      </c>
      <c r="H1226" t="str">
        <f>_xlfn.XLOOKUP(C1226,tblCOA[AccountNo],tblCOA[Category],"Unmapped")</f>
        <v>Expenses</v>
      </c>
      <c r="I1226" s="4">
        <f t="shared" si="57"/>
        <v>18838.28</v>
      </c>
      <c r="J1226">
        <f t="shared" si="58"/>
        <v>2025</v>
      </c>
      <c r="K1226" s="5">
        <f t="shared" si="59"/>
        <v>45778</v>
      </c>
    </row>
    <row r="1227" spans="1:11" x14ac:dyDescent="0.25">
      <c r="A1227" t="s">
        <v>976</v>
      </c>
      <c r="B1227" s="3">
        <v>45800</v>
      </c>
      <c r="C1227">
        <v>2010</v>
      </c>
      <c r="D1227" s="1">
        <v>0</v>
      </c>
      <c r="E1227" s="1">
        <v>18838.28</v>
      </c>
      <c r="F1227" t="s">
        <v>977</v>
      </c>
      <c r="G1227" t="str">
        <f>_xlfn.XLOOKUP(C1227,tblCOA[AccountNo],tblCOA[AccountName],"Unmapped")</f>
        <v>Accounts Payable</v>
      </c>
      <c r="H1227" t="str">
        <f>_xlfn.XLOOKUP(C1227,tblCOA[AccountNo],tblCOA[Category],"Unmapped")</f>
        <v>Liabilities</v>
      </c>
      <c r="I1227" s="4">
        <f t="shared" si="57"/>
        <v>-18838.28</v>
      </c>
      <c r="J1227">
        <f t="shared" si="58"/>
        <v>2025</v>
      </c>
      <c r="K1227" s="5">
        <f t="shared" si="59"/>
        <v>45778</v>
      </c>
    </row>
    <row r="1228" spans="1:11" x14ac:dyDescent="0.25">
      <c r="A1228" t="s">
        <v>3966</v>
      </c>
      <c r="B1228" s="3">
        <v>45803</v>
      </c>
      <c r="C1228">
        <v>5010</v>
      </c>
      <c r="D1228" s="1">
        <v>11104.36</v>
      </c>
      <c r="E1228" s="1">
        <v>0</v>
      </c>
      <c r="F1228" t="s">
        <v>3967</v>
      </c>
      <c r="G1228" t="str">
        <f>_xlfn.XLOOKUP(C1228,tblCOA[AccountNo],tblCOA[AccountName],"Unmapped")</f>
        <v>Cost of Goods Sold</v>
      </c>
      <c r="H1228" t="str">
        <f>_xlfn.XLOOKUP(C1228,tblCOA[AccountNo],tblCOA[Category],"Unmapped")</f>
        <v>Expenses</v>
      </c>
      <c r="I1228" s="4">
        <f t="shared" si="57"/>
        <v>11104.36</v>
      </c>
      <c r="J1228">
        <f t="shared" si="58"/>
        <v>2025</v>
      </c>
      <c r="K1228" s="5">
        <f t="shared" si="59"/>
        <v>45778</v>
      </c>
    </row>
    <row r="1229" spans="1:11" x14ac:dyDescent="0.25">
      <c r="A1229" t="s">
        <v>3968</v>
      </c>
      <c r="B1229" s="3">
        <v>45803</v>
      </c>
      <c r="C1229">
        <v>2010</v>
      </c>
      <c r="D1229" s="1">
        <v>0</v>
      </c>
      <c r="E1229" s="1">
        <v>11104.36</v>
      </c>
      <c r="F1229" t="s">
        <v>3969</v>
      </c>
      <c r="G1229" t="str">
        <f>_xlfn.XLOOKUP(C1229,tblCOA[AccountNo],tblCOA[AccountName],"Unmapped")</f>
        <v>Accounts Payable</v>
      </c>
      <c r="H1229" t="str">
        <f>_xlfn.XLOOKUP(C1229,tblCOA[AccountNo],tblCOA[Category],"Unmapped")</f>
        <v>Liabilities</v>
      </c>
      <c r="I1229" s="4">
        <f t="shared" si="57"/>
        <v>-11104.36</v>
      </c>
      <c r="J1229">
        <f t="shared" si="58"/>
        <v>2025</v>
      </c>
      <c r="K1229" s="5">
        <f t="shared" si="59"/>
        <v>45778</v>
      </c>
    </row>
    <row r="1230" spans="1:11" x14ac:dyDescent="0.25">
      <c r="A1230" t="s">
        <v>1286</v>
      </c>
      <c r="B1230" s="3">
        <v>45804</v>
      </c>
      <c r="C1230">
        <v>5010</v>
      </c>
      <c r="D1230" s="1">
        <v>4214.01</v>
      </c>
      <c r="E1230" s="1">
        <v>0</v>
      </c>
      <c r="F1230" t="s">
        <v>1287</v>
      </c>
      <c r="G1230" t="str">
        <f>_xlfn.XLOOKUP(C1230,tblCOA[AccountNo],tblCOA[AccountName],"Unmapped")</f>
        <v>Cost of Goods Sold</v>
      </c>
      <c r="H1230" t="str">
        <f>_xlfn.XLOOKUP(C1230,tblCOA[AccountNo],tblCOA[Category],"Unmapped")</f>
        <v>Expenses</v>
      </c>
      <c r="I1230" s="4">
        <f t="shared" si="57"/>
        <v>4214.01</v>
      </c>
      <c r="J1230">
        <f t="shared" si="58"/>
        <v>2025</v>
      </c>
      <c r="K1230" s="5">
        <f t="shared" si="59"/>
        <v>45778</v>
      </c>
    </row>
    <row r="1231" spans="1:11" x14ac:dyDescent="0.25">
      <c r="A1231" t="s">
        <v>1288</v>
      </c>
      <c r="B1231" s="3">
        <v>45804</v>
      </c>
      <c r="C1231">
        <v>2010</v>
      </c>
      <c r="D1231" s="1">
        <v>0</v>
      </c>
      <c r="E1231" s="1">
        <v>4214.01</v>
      </c>
      <c r="F1231" t="s">
        <v>1289</v>
      </c>
      <c r="G1231" t="str">
        <f>_xlfn.XLOOKUP(C1231,tblCOA[AccountNo],tblCOA[AccountName],"Unmapped")</f>
        <v>Accounts Payable</v>
      </c>
      <c r="H1231" t="str">
        <f>_xlfn.XLOOKUP(C1231,tblCOA[AccountNo],tblCOA[Category],"Unmapped")</f>
        <v>Liabilities</v>
      </c>
      <c r="I1231" s="4">
        <f t="shared" si="57"/>
        <v>-4214.01</v>
      </c>
      <c r="J1231">
        <f t="shared" si="58"/>
        <v>2025</v>
      </c>
      <c r="K1231" s="5">
        <f t="shared" si="59"/>
        <v>45778</v>
      </c>
    </row>
    <row r="1232" spans="1:11" x14ac:dyDescent="0.25">
      <c r="A1232" t="s">
        <v>204</v>
      </c>
      <c r="B1232" s="3">
        <v>45805</v>
      </c>
      <c r="C1232">
        <v>4010</v>
      </c>
      <c r="D1232" s="1">
        <v>0</v>
      </c>
      <c r="E1232" s="1">
        <v>21969.81</v>
      </c>
      <c r="F1232" t="s">
        <v>205</v>
      </c>
      <c r="G1232" t="str">
        <f>_xlfn.XLOOKUP(C1232,tblCOA[AccountNo],tblCOA[AccountName],"Unmapped")</f>
        <v>Product Sales</v>
      </c>
      <c r="H1232" t="str">
        <f>_xlfn.XLOOKUP(C1232,tblCOA[AccountNo],tblCOA[Category],"Unmapped")</f>
        <v>Revenue</v>
      </c>
      <c r="I1232" s="4">
        <f t="shared" si="57"/>
        <v>-21969.81</v>
      </c>
      <c r="J1232">
        <f t="shared" si="58"/>
        <v>2025</v>
      </c>
      <c r="K1232" s="5">
        <f t="shared" si="59"/>
        <v>45778</v>
      </c>
    </row>
    <row r="1233" spans="1:11" x14ac:dyDescent="0.25">
      <c r="A1233" t="s">
        <v>202</v>
      </c>
      <c r="B1233" s="3">
        <v>45805</v>
      </c>
      <c r="C1233">
        <v>1200</v>
      </c>
      <c r="D1233" s="1">
        <v>21969.81</v>
      </c>
      <c r="E1233" s="1">
        <v>0</v>
      </c>
      <c r="F1233" t="s">
        <v>203</v>
      </c>
      <c r="G1233" t="str">
        <f>_xlfn.XLOOKUP(C1233,tblCOA[AccountNo],tblCOA[AccountName],"Unmapped")</f>
        <v>Accounts Receivable</v>
      </c>
      <c r="H1233" t="str">
        <f>_xlfn.XLOOKUP(C1233,tblCOA[AccountNo],tblCOA[Category],"Unmapped")</f>
        <v>Assets</v>
      </c>
      <c r="I1233" s="4">
        <f t="shared" si="57"/>
        <v>21969.81</v>
      </c>
      <c r="J1233">
        <f t="shared" si="58"/>
        <v>2025</v>
      </c>
      <c r="K1233" s="5">
        <f t="shared" si="59"/>
        <v>45778</v>
      </c>
    </row>
    <row r="1234" spans="1:11" x14ac:dyDescent="0.25">
      <c r="A1234" t="s">
        <v>738</v>
      </c>
      <c r="B1234" s="3">
        <v>45806</v>
      </c>
      <c r="C1234">
        <v>1200</v>
      </c>
      <c r="D1234" s="1">
        <v>40791.58</v>
      </c>
      <c r="E1234" s="1">
        <v>0</v>
      </c>
      <c r="F1234" t="s">
        <v>739</v>
      </c>
      <c r="G1234" t="str">
        <f>_xlfn.XLOOKUP(C1234,tblCOA[AccountNo],tblCOA[AccountName],"Unmapped")</f>
        <v>Accounts Receivable</v>
      </c>
      <c r="H1234" t="str">
        <f>_xlfn.XLOOKUP(C1234,tblCOA[AccountNo],tblCOA[Category],"Unmapped")</f>
        <v>Assets</v>
      </c>
      <c r="I1234" s="4">
        <f t="shared" si="57"/>
        <v>40791.58</v>
      </c>
      <c r="J1234">
        <f t="shared" si="58"/>
        <v>2025</v>
      </c>
      <c r="K1234" s="5">
        <f t="shared" si="59"/>
        <v>45778</v>
      </c>
    </row>
    <row r="1235" spans="1:11" x14ac:dyDescent="0.25">
      <c r="A1235" t="s">
        <v>740</v>
      </c>
      <c r="B1235" s="3">
        <v>45806</v>
      </c>
      <c r="C1235">
        <v>4010</v>
      </c>
      <c r="D1235" s="1">
        <v>0</v>
      </c>
      <c r="E1235" s="1">
        <v>40791.58</v>
      </c>
      <c r="F1235" t="s">
        <v>741</v>
      </c>
      <c r="G1235" t="str">
        <f>_xlfn.XLOOKUP(C1235,tblCOA[AccountNo],tblCOA[AccountName],"Unmapped")</f>
        <v>Product Sales</v>
      </c>
      <c r="H1235" t="str">
        <f>_xlfn.XLOOKUP(C1235,tblCOA[AccountNo],tblCOA[Category],"Unmapped")</f>
        <v>Revenue</v>
      </c>
      <c r="I1235" s="4">
        <f t="shared" si="57"/>
        <v>-40791.58</v>
      </c>
      <c r="J1235">
        <f t="shared" si="58"/>
        <v>2025</v>
      </c>
      <c r="K1235" s="5">
        <f t="shared" si="59"/>
        <v>45778</v>
      </c>
    </row>
    <row r="1236" spans="1:11" x14ac:dyDescent="0.25">
      <c r="A1236" t="s">
        <v>3190</v>
      </c>
      <c r="B1236" s="3">
        <v>45808</v>
      </c>
      <c r="C1236">
        <v>5010</v>
      </c>
      <c r="D1236" s="1">
        <v>19078.93</v>
      </c>
      <c r="E1236" s="1">
        <v>0</v>
      </c>
      <c r="F1236" t="s">
        <v>3191</v>
      </c>
      <c r="G1236" t="str">
        <f>_xlfn.XLOOKUP(C1236,tblCOA[AccountNo],tblCOA[AccountName],"Unmapped")</f>
        <v>Cost of Goods Sold</v>
      </c>
      <c r="H1236" t="str">
        <f>_xlfn.XLOOKUP(C1236,tblCOA[AccountNo],tblCOA[Category],"Unmapped")</f>
        <v>Expenses</v>
      </c>
      <c r="I1236" s="4">
        <f t="shared" si="57"/>
        <v>19078.93</v>
      </c>
      <c r="J1236">
        <f t="shared" si="58"/>
        <v>2025</v>
      </c>
      <c r="K1236" s="5">
        <f t="shared" si="59"/>
        <v>45778</v>
      </c>
    </row>
    <row r="1237" spans="1:11" x14ac:dyDescent="0.25">
      <c r="A1237" t="s">
        <v>3192</v>
      </c>
      <c r="B1237" s="3">
        <v>45808</v>
      </c>
      <c r="C1237">
        <v>2010</v>
      </c>
      <c r="D1237" s="1">
        <v>0</v>
      </c>
      <c r="E1237" s="1">
        <v>19078.93</v>
      </c>
      <c r="F1237" t="s">
        <v>3193</v>
      </c>
      <c r="G1237" t="str">
        <f>_xlfn.XLOOKUP(C1237,tblCOA[AccountNo],tblCOA[AccountName],"Unmapped")</f>
        <v>Accounts Payable</v>
      </c>
      <c r="H1237" t="str">
        <f>_xlfn.XLOOKUP(C1237,tblCOA[AccountNo],tblCOA[Category],"Unmapped")</f>
        <v>Liabilities</v>
      </c>
      <c r="I1237" s="4">
        <f t="shared" si="57"/>
        <v>-19078.93</v>
      </c>
      <c r="J1237">
        <f t="shared" si="58"/>
        <v>2025</v>
      </c>
      <c r="K1237" s="5">
        <f t="shared" si="59"/>
        <v>45778</v>
      </c>
    </row>
    <row r="1238" spans="1:11" x14ac:dyDescent="0.25">
      <c r="A1238" t="s">
        <v>2366</v>
      </c>
      <c r="B1238" s="3">
        <v>45809</v>
      </c>
      <c r="C1238">
        <v>5010</v>
      </c>
      <c r="D1238" s="1">
        <v>19661.96</v>
      </c>
      <c r="E1238" s="1">
        <v>0</v>
      </c>
      <c r="F1238" t="s">
        <v>2367</v>
      </c>
      <c r="G1238" t="str">
        <f>_xlfn.XLOOKUP(C1238,tblCOA[AccountNo],tblCOA[AccountName],"Unmapped")</f>
        <v>Cost of Goods Sold</v>
      </c>
      <c r="H1238" t="str">
        <f>_xlfn.XLOOKUP(C1238,tblCOA[AccountNo],tblCOA[Category],"Unmapped")</f>
        <v>Expenses</v>
      </c>
      <c r="I1238" s="4">
        <f t="shared" si="57"/>
        <v>19661.96</v>
      </c>
      <c r="J1238">
        <f t="shared" si="58"/>
        <v>2025</v>
      </c>
      <c r="K1238" s="5">
        <f t="shared" si="59"/>
        <v>45809</v>
      </c>
    </row>
    <row r="1239" spans="1:11" x14ac:dyDescent="0.25">
      <c r="A1239" t="s">
        <v>2368</v>
      </c>
      <c r="B1239" s="3">
        <v>45809</v>
      </c>
      <c r="C1239">
        <v>2010</v>
      </c>
      <c r="D1239" s="1">
        <v>0</v>
      </c>
      <c r="E1239" s="1">
        <v>19661.96</v>
      </c>
      <c r="F1239" t="s">
        <v>2369</v>
      </c>
      <c r="G1239" t="str">
        <f>_xlfn.XLOOKUP(C1239,tblCOA[AccountNo],tblCOA[AccountName],"Unmapped")</f>
        <v>Accounts Payable</v>
      </c>
      <c r="H1239" t="str">
        <f>_xlfn.XLOOKUP(C1239,tblCOA[AccountNo],tblCOA[Category],"Unmapped")</f>
        <v>Liabilities</v>
      </c>
      <c r="I1239" s="4">
        <f t="shared" si="57"/>
        <v>-19661.96</v>
      </c>
      <c r="J1239">
        <f t="shared" si="58"/>
        <v>2025</v>
      </c>
      <c r="K1239" s="5">
        <f t="shared" si="59"/>
        <v>45809</v>
      </c>
    </row>
    <row r="1240" spans="1:11" x14ac:dyDescent="0.25">
      <c r="A1240" t="s">
        <v>3698</v>
      </c>
      <c r="B1240" s="3">
        <v>45811</v>
      </c>
      <c r="C1240">
        <v>1200</v>
      </c>
      <c r="D1240" s="1">
        <v>22718.26</v>
      </c>
      <c r="E1240" s="1">
        <v>0</v>
      </c>
      <c r="F1240" t="s">
        <v>3699</v>
      </c>
      <c r="G1240" t="str">
        <f>_xlfn.XLOOKUP(C1240,tblCOA[AccountNo],tblCOA[AccountName],"Unmapped")</f>
        <v>Accounts Receivable</v>
      </c>
      <c r="H1240" t="str">
        <f>_xlfn.XLOOKUP(C1240,tblCOA[AccountNo],tblCOA[Category],"Unmapped")</f>
        <v>Assets</v>
      </c>
      <c r="I1240" s="4">
        <f t="shared" si="57"/>
        <v>22718.26</v>
      </c>
      <c r="J1240">
        <f t="shared" si="58"/>
        <v>2025</v>
      </c>
      <c r="K1240" s="5">
        <f t="shared" si="59"/>
        <v>45809</v>
      </c>
    </row>
    <row r="1241" spans="1:11" x14ac:dyDescent="0.25">
      <c r="A1241" t="s">
        <v>3700</v>
      </c>
      <c r="B1241" s="3">
        <v>45811</v>
      </c>
      <c r="C1241">
        <v>4010</v>
      </c>
      <c r="D1241" s="1">
        <v>0</v>
      </c>
      <c r="E1241" s="1">
        <v>22718.26</v>
      </c>
      <c r="F1241" t="s">
        <v>3701</v>
      </c>
      <c r="G1241" t="str">
        <f>_xlfn.XLOOKUP(C1241,tblCOA[AccountNo],tblCOA[AccountName],"Unmapped")</f>
        <v>Product Sales</v>
      </c>
      <c r="H1241" t="str">
        <f>_xlfn.XLOOKUP(C1241,tblCOA[AccountNo],tblCOA[Category],"Unmapped")</f>
        <v>Revenue</v>
      </c>
      <c r="I1241" s="4">
        <f t="shared" si="57"/>
        <v>-22718.26</v>
      </c>
      <c r="J1241">
        <f t="shared" si="58"/>
        <v>2025</v>
      </c>
      <c r="K1241" s="5">
        <f t="shared" si="59"/>
        <v>45809</v>
      </c>
    </row>
    <row r="1242" spans="1:11" x14ac:dyDescent="0.25">
      <c r="A1242" t="s">
        <v>3538</v>
      </c>
      <c r="B1242" s="3">
        <v>45813</v>
      </c>
      <c r="C1242">
        <v>1200</v>
      </c>
      <c r="D1242" s="1">
        <v>26478.68</v>
      </c>
      <c r="E1242" s="1">
        <v>0</v>
      </c>
      <c r="F1242" t="s">
        <v>3539</v>
      </c>
      <c r="G1242" t="str">
        <f>_xlfn.XLOOKUP(C1242,tblCOA[AccountNo],tblCOA[AccountName],"Unmapped")</f>
        <v>Accounts Receivable</v>
      </c>
      <c r="H1242" t="str">
        <f>_xlfn.XLOOKUP(C1242,tblCOA[AccountNo],tblCOA[Category],"Unmapped")</f>
        <v>Assets</v>
      </c>
      <c r="I1242" s="4">
        <f t="shared" si="57"/>
        <v>26478.68</v>
      </c>
      <c r="J1242">
        <f t="shared" si="58"/>
        <v>2025</v>
      </c>
      <c r="K1242" s="5">
        <f t="shared" si="59"/>
        <v>45809</v>
      </c>
    </row>
    <row r="1243" spans="1:11" x14ac:dyDescent="0.25">
      <c r="A1243" t="s">
        <v>3540</v>
      </c>
      <c r="B1243" s="3">
        <v>45813</v>
      </c>
      <c r="C1243">
        <v>4010</v>
      </c>
      <c r="D1243" s="1">
        <v>0</v>
      </c>
      <c r="E1243" s="1">
        <v>26478.68</v>
      </c>
      <c r="F1243" t="s">
        <v>3541</v>
      </c>
      <c r="G1243" t="str">
        <f>_xlfn.XLOOKUP(C1243,tblCOA[AccountNo],tblCOA[AccountName],"Unmapped")</f>
        <v>Product Sales</v>
      </c>
      <c r="H1243" t="str">
        <f>_xlfn.XLOOKUP(C1243,tblCOA[AccountNo],tblCOA[Category],"Unmapped")</f>
        <v>Revenue</v>
      </c>
      <c r="I1243" s="4">
        <f t="shared" si="57"/>
        <v>-26478.68</v>
      </c>
      <c r="J1243">
        <f t="shared" si="58"/>
        <v>2025</v>
      </c>
      <c r="K1243" s="5">
        <f t="shared" si="59"/>
        <v>45809</v>
      </c>
    </row>
    <row r="1244" spans="1:11" x14ac:dyDescent="0.25">
      <c r="A1244" t="s">
        <v>46</v>
      </c>
      <c r="B1244" s="3">
        <v>45816</v>
      </c>
      <c r="C1244">
        <v>5010</v>
      </c>
      <c r="D1244" s="1">
        <v>16725.689999999999</v>
      </c>
      <c r="E1244" s="1">
        <v>0</v>
      </c>
      <c r="F1244" t="s">
        <v>47</v>
      </c>
      <c r="G1244" t="str">
        <f>_xlfn.XLOOKUP(C1244,tblCOA[AccountNo],tblCOA[AccountName],"Unmapped")</f>
        <v>Cost of Goods Sold</v>
      </c>
      <c r="H1244" t="str">
        <f>_xlfn.XLOOKUP(C1244,tblCOA[AccountNo],tblCOA[Category],"Unmapped")</f>
        <v>Expenses</v>
      </c>
      <c r="I1244" s="4">
        <f t="shared" si="57"/>
        <v>16725.689999999999</v>
      </c>
      <c r="J1244">
        <f t="shared" si="58"/>
        <v>2025</v>
      </c>
      <c r="K1244" s="5">
        <f t="shared" si="59"/>
        <v>45809</v>
      </c>
    </row>
    <row r="1245" spans="1:11" x14ac:dyDescent="0.25">
      <c r="A1245" t="s">
        <v>48</v>
      </c>
      <c r="B1245" s="3">
        <v>45816</v>
      </c>
      <c r="C1245">
        <v>2010</v>
      </c>
      <c r="D1245" s="1">
        <v>0</v>
      </c>
      <c r="E1245" s="1">
        <v>16725.689999999999</v>
      </c>
      <c r="F1245" t="s">
        <v>49</v>
      </c>
      <c r="G1245" t="str">
        <f>_xlfn.XLOOKUP(C1245,tblCOA[AccountNo],tblCOA[AccountName],"Unmapped")</f>
        <v>Accounts Payable</v>
      </c>
      <c r="H1245" t="str">
        <f>_xlfn.XLOOKUP(C1245,tblCOA[AccountNo],tblCOA[Category],"Unmapped")</f>
        <v>Liabilities</v>
      </c>
      <c r="I1245" s="4">
        <f t="shared" si="57"/>
        <v>-16725.689999999999</v>
      </c>
      <c r="J1245">
        <f t="shared" si="58"/>
        <v>2025</v>
      </c>
      <c r="K1245" s="5">
        <f t="shared" si="59"/>
        <v>45809</v>
      </c>
    </row>
    <row r="1246" spans="1:11" x14ac:dyDescent="0.25">
      <c r="A1246" t="s">
        <v>2278</v>
      </c>
      <c r="B1246" s="3">
        <v>45819</v>
      </c>
      <c r="C1246">
        <v>5010</v>
      </c>
      <c r="D1246" s="1">
        <v>12353.81</v>
      </c>
      <c r="E1246" s="1">
        <v>0</v>
      </c>
      <c r="F1246" t="s">
        <v>2279</v>
      </c>
      <c r="G1246" t="str">
        <f>_xlfn.XLOOKUP(C1246,tblCOA[AccountNo],tblCOA[AccountName],"Unmapped")</f>
        <v>Cost of Goods Sold</v>
      </c>
      <c r="H1246" t="str">
        <f>_xlfn.XLOOKUP(C1246,tblCOA[AccountNo],tblCOA[Category],"Unmapped")</f>
        <v>Expenses</v>
      </c>
      <c r="I1246" s="4">
        <f t="shared" si="57"/>
        <v>12353.81</v>
      </c>
      <c r="J1246">
        <f t="shared" si="58"/>
        <v>2025</v>
      </c>
      <c r="K1246" s="5">
        <f t="shared" si="59"/>
        <v>45809</v>
      </c>
    </row>
    <row r="1247" spans="1:11" x14ac:dyDescent="0.25">
      <c r="A1247" t="s">
        <v>2280</v>
      </c>
      <c r="B1247" s="3">
        <v>45819</v>
      </c>
      <c r="C1247">
        <v>2010</v>
      </c>
      <c r="D1247" s="1">
        <v>0</v>
      </c>
      <c r="E1247" s="1">
        <v>12353.81</v>
      </c>
      <c r="F1247" t="s">
        <v>2281</v>
      </c>
      <c r="G1247" t="str">
        <f>_xlfn.XLOOKUP(C1247,tblCOA[AccountNo],tblCOA[AccountName],"Unmapped")</f>
        <v>Accounts Payable</v>
      </c>
      <c r="H1247" t="str">
        <f>_xlfn.XLOOKUP(C1247,tblCOA[AccountNo],tblCOA[Category],"Unmapped")</f>
        <v>Liabilities</v>
      </c>
      <c r="I1247" s="4">
        <f t="shared" si="57"/>
        <v>-12353.81</v>
      </c>
      <c r="J1247">
        <f t="shared" si="58"/>
        <v>2025</v>
      </c>
      <c r="K1247" s="5">
        <f t="shared" si="59"/>
        <v>45809</v>
      </c>
    </row>
    <row r="1248" spans="1:11" x14ac:dyDescent="0.25">
      <c r="A1248" t="s">
        <v>2110</v>
      </c>
      <c r="B1248" s="3">
        <v>45820</v>
      </c>
      <c r="C1248">
        <v>5010</v>
      </c>
      <c r="D1248" s="1">
        <v>17398.73</v>
      </c>
      <c r="E1248" s="1">
        <v>0</v>
      </c>
      <c r="F1248" t="s">
        <v>2111</v>
      </c>
      <c r="G1248" t="str">
        <f>_xlfn.XLOOKUP(C1248,tblCOA[AccountNo],tblCOA[AccountName],"Unmapped")</f>
        <v>Cost of Goods Sold</v>
      </c>
      <c r="H1248" t="str">
        <f>_xlfn.XLOOKUP(C1248,tblCOA[AccountNo],tblCOA[Category],"Unmapped")</f>
        <v>Expenses</v>
      </c>
      <c r="I1248" s="4">
        <f t="shared" si="57"/>
        <v>17398.73</v>
      </c>
      <c r="J1248">
        <f t="shared" si="58"/>
        <v>2025</v>
      </c>
      <c r="K1248" s="5">
        <f t="shared" si="59"/>
        <v>45809</v>
      </c>
    </row>
    <row r="1249" spans="1:11" x14ac:dyDescent="0.25">
      <c r="A1249" t="s">
        <v>2112</v>
      </c>
      <c r="B1249" s="3">
        <v>45820</v>
      </c>
      <c r="C1249">
        <v>2010</v>
      </c>
      <c r="D1249" s="1">
        <v>0</v>
      </c>
      <c r="E1249" s="1">
        <v>17398.73</v>
      </c>
      <c r="F1249" t="s">
        <v>2113</v>
      </c>
      <c r="G1249" t="str">
        <f>_xlfn.XLOOKUP(C1249,tblCOA[AccountNo],tblCOA[AccountName],"Unmapped")</f>
        <v>Accounts Payable</v>
      </c>
      <c r="H1249" t="str">
        <f>_xlfn.XLOOKUP(C1249,tblCOA[AccountNo],tblCOA[Category],"Unmapped")</f>
        <v>Liabilities</v>
      </c>
      <c r="I1249" s="4">
        <f t="shared" si="57"/>
        <v>-17398.73</v>
      </c>
      <c r="J1249">
        <f t="shared" si="58"/>
        <v>2025</v>
      </c>
      <c r="K1249" s="5">
        <f t="shared" si="59"/>
        <v>45809</v>
      </c>
    </row>
    <row r="1250" spans="1:11" x14ac:dyDescent="0.25">
      <c r="A1250" t="s">
        <v>3930</v>
      </c>
      <c r="B1250" s="3">
        <v>45823</v>
      </c>
      <c r="C1250">
        <v>1200</v>
      </c>
      <c r="D1250" s="1">
        <v>27334.47</v>
      </c>
      <c r="E1250" s="1">
        <v>0</v>
      </c>
      <c r="F1250" t="s">
        <v>3931</v>
      </c>
      <c r="G1250" t="str">
        <f>_xlfn.XLOOKUP(C1250,tblCOA[AccountNo],tblCOA[AccountName],"Unmapped")</f>
        <v>Accounts Receivable</v>
      </c>
      <c r="H1250" t="str">
        <f>_xlfn.XLOOKUP(C1250,tblCOA[AccountNo],tblCOA[Category],"Unmapped")</f>
        <v>Assets</v>
      </c>
      <c r="I1250" s="4">
        <f t="shared" si="57"/>
        <v>27334.47</v>
      </c>
      <c r="J1250">
        <f t="shared" si="58"/>
        <v>2025</v>
      </c>
      <c r="K1250" s="5">
        <f t="shared" si="59"/>
        <v>45809</v>
      </c>
    </row>
    <row r="1251" spans="1:11" x14ac:dyDescent="0.25">
      <c r="A1251" t="s">
        <v>3932</v>
      </c>
      <c r="B1251" s="3">
        <v>45823</v>
      </c>
      <c r="C1251">
        <v>4010</v>
      </c>
      <c r="D1251" s="1">
        <v>0</v>
      </c>
      <c r="E1251" s="1">
        <v>27334.47</v>
      </c>
      <c r="F1251" t="s">
        <v>3933</v>
      </c>
      <c r="G1251" t="str">
        <f>_xlfn.XLOOKUP(C1251,tblCOA[AccountNo],tblCOA[AccountName],"Unmapped")</f>
        <v>Product Sales</v>
      </c>
      <c r="H1251" t="str">
        <f>_xlfn.XLOOKUP(C1251,tblCOA[AccountNo],tblCOA[Category],"Unmapped")</f>
        <v>Revenue</v>
      </c>
      <c r="I1251" s="4">
        <f t="shared" si="57"/>
        <v>-27334.47</v>
      </c>
      <c r="J1251">
        <f t="shared" si="58"/>
        <v>2025</v>
      </c>
      <c r="K1251" s="5">
        <f t="shared" si="59"/>
        <v>45809</v>
      </c>
    </row>
    <row r="1252" spans="1:11" x14ac:dyDescent="0.25">
      <c r="A1252" t="s">
        <v>2558</v>
      </c>
      <c r="B1252" s="3">
        <v>45824</v>
      </c>
      <c r="C1252">
        <v>5010</v>
      </c>
      <c r="D1252" s="1">
        <v>12808.68</v>
      </c>
      <c r="E1252" s="1">
        <v>0</v>
      </c>
      <c r="F1252" t="s">
        <v>2559</v>
      </c>
      <c r="G1252" t="str">
        <f>_xlfn.XLOOKUP(C1252,tblCOA[AccountNo],tblCOA[AccountName],"Unmapped")</f>
        <v>Cost of Goods Sold</v>
      </c>
      <c r="H1252" t="str">
        <f>_xlfn.XLOOKUP(C1252,tblCOA[AccountNo],tblCOA[Category],"Unmapped")</f>
        <v>Expenses</v>
      </c>
      <c r="I1252" s="4">
        <f t="shared" si="57"/>
        <v>12808.68</v>
      </c>
      <c r="J1252">
        <f t="shared" si="58"/>
        <v>2025</v>
      </c>
      <c r="K1252" s="5">
        <f t="shared" si="59"/>
        <v>45809</v>
      </c>
    </row>
    <row r="1253" spans="1:11" x14ac:dyDescent="0.25">
      <c r="A1253" t="s">
        <v>2560</v>
      </c>
      <c r="B1253" s="3">
        <v>45824</v>
      </c>
      <c r="C1253">
        <v>2010</v>
      </c>
      <c r="D1253" s="1">
        <v>0</v>
      </c>
      <c r="E1253" s="1">
        <v>12808.68</v>
      </c>
      <c r="F1253" t="s">
        <v>2561</v>
      </c>
      <c r="G1253" t="str">
        <f>_xlfn.XLOOKUP(C1253,tblCOA[AccountNo],tblCOA[AccountName],"Unmapped")</f>
        <v>Accounts Payable</v>
      </c>
      <c r="H1253" t="str">
        <f>_xlfn.XLOOKUP(C1253,tblCOA[AccountNo],tblCOA[Category],"Unmapped")</f>
        <v>Liabilities</v>
      </c>
      <c r="I1253" s="4">
        <f t="shared" si="57"/>
        <v>-12808.68</v>
      </c>
      <c r="J1253">
        <f t="shared" si="58"/>
        <v>2025</v>
      </c>
      <c r="K1253" s="5">
        <f t="shared" si="59"/>
        <v>45809</v>
      </c>
    </row>
    <row r="1254" spans="1:11" x14ac:dyDescent="0.25">
      <c r="A1254" t="s">
        <v>610</v>
      </c>
      <c r="B1254" s="3">
        <v>45824</v>
      </c>
      <c r="C1254">
        <v>1200</v>
      </c>
      <c r="D1254" s="1">
        <v>9530.17</v>
      </c>
      <c r="E1254" s="1">
        <v>0</v>
      </c>
      <c r="F1254" t="s">
        <v>611</v>
      </c>
      <c r="G1254" t="str">
        <f>_xlfn.XLOOKUP(C1254,tblCOA[AccountNo],tblCOA[AccountName],"Unmapped")</f>
        <v>Accounts Receivable</v>
      </c>
      <c r="H1254" t="str">
        <f>_xlfn.XLOOKUP(C1254,tblCOA[AccountNo],tblCOA[Category],"Unmapped")</f>
        <v>Assets</v>
      </c>
      <c r="I1254" s="4">
        <f t="shared" si="57"/>
        <v>9530.17</v>
      </c>
      <c r="J1254">
        <f t="shared" si="58"/>
        <v>2025</v>
      </c>
      <c r="K1254" s="5">
        <f t="shared" si="59"/>
        <v>45809</v>
      </c>
    </row>
    <row r="1255" spans="1:11" x14ac:dyDescent="0.25">
      <c r="A1255" t="s">
        <v>612</v>
      </c>
      <c r="B1255" s="3">
        <v>45824</v>
      </c>
      <c r="C1255">
        <v>4010</v>
      </c>
      <c r="D1255" s="1">
        <v>0</v>
      </c>
      <c r="E1255" s="1">
        <v>9530.17</v>
      </c>
      <c r="F1255" t="s">
        <v>613</v>
      </c>
      <c r="G1255" t="str">
        <f>_xlfn.XLOOKUP(C1255,tblCOA[AccountNo],tblCOA[AccountName],"Unmapped")</f>
        <v>Product Sales</v>
      </c>
      <c r="H1255" t="str">
        <f>_xlfn.XLOOKUP(C1255,tblCOA[AccountNo],tblCOA[Category],"Unmapped")</f>
        <v>Revenue</v>
      </c>
      <c r="I1255" s="4">
        <f t="shared" si="57"/>
        <v>-9530.17</v>
      </c>
      <c r="J1255">
        <f t="shared" si="58"/>
        <v>2025</v>
      </c>
      <c r="K1255" s="5">
        <f t="shared" si="59"/>
        <v>45809</v>
      </c>
    </row>
    <row r="1256" spans="1:11" x14ac:dyDescent="0.25">
      <c r="A1256" t="s">
        <v>2266</v>
      </c>
      <c r="B1256" s="3">
        <v>45826</v>
      </c>
      <c r="C1256">
        <v>1200</v>
      </c>
      <c r="D1256" s="1">
        <v>40431.56</v>
      </c>
      <c r="E1256" s="1">
        <v>0</v>
      </c>
      <c r="F1256" t="s">
        <v>2267</v>
      </c>
      <c r="G1256" t="str">
        <f>_xlfn.XLOOKUP(C1256,tblCOA[AccountNo],tblCOA[AccountName],"Unmapped")</f>
        <v>Accounts Receivable</v>
      </c>
      <c r="H1256" t="str">
        <f>_xlfn.XLOOKUP(C1256,tblCOA[AccountNo],tblCOA[Category],"Unmapped")</f>
        <v>Assets</v>
      </c>
      <c r="I1256" s="4">
        <f t="shared" si="57"/>
        <v>40431.56</v>
      </c>
      <c r="J1256">
        <f t="shared" si="58"/>
        <v>2025</v>
      </c>
      <c r="K1256" s="5">
        <f t="shared" si="59"/>
        <v>45809</v>
      </c>
    </row>
    <row r="1257" spans="1:11" x14ac:dyDescent="0.25">
      <c r="A1257" t="s">
        <v>2268</v>
      </c>
      <c r="B1257" s="3">
        <v>45826</v>
      </c>
      <c r="C1257">
        <v>4010</v>
      </c>
      <c r="D1257" s="1">
        <v>0</v>
      </c>
      <c r="E1257" s="1">
        <v>40431.56</v>
      </c>
      <c r="F1257" t="s">
        <v>2269</v>
      </c>
      <c r="G1257" t="str">
        <f>_xlfn.XLOOKUP(C1257,tblCOA[AccountNo],tblCOA[AccountName],"Unmapped")</f>
        <v>Product Sales</v>
      </c>
      <c r="H1257" t="str">
        <f>_xlfn.XLOOKUP(C1257,tblCOA[AccountNo],tblCOA[Category],"Unmapped")</f>
        <v>Revenue</v>
      </c>
      <c r="I1257" s="4">
        <f t="shared" si="57"/>
        <v>-40431.56</v>
      </c>
      <c r="J1257">
        <f t="shared" si="58"/>
        <v>2025</v>
      </c>
      <c r="K1257" s="5">
        <f t="shared" si="59"/>
        <v>45809</v>
      </c>
    </row>
    <row r="1258" spans="1:11" x14ac:dyDescent="0.25">
      <c r="A1258" t="s">
        <v>402</v>
      </c>
      <c r="B1258" s="3">
        <v>45829</v>
      </c>
      <c r="C1258">
        <v>1200</v>
      </c>
      <c r="D1258" s="1">
        <v>8271.14</v>
      </c>
      <c r="E1258" s="1">
        <v>0</v>
      </c>
      <c r="F1258" t="s">
        <v>403</v>
      </c>
      <c r="G1258" t="str">
        <f>_xlfn.XLOOKUP(C1258,tblCOA[AccountNo],tblCOA[AccountName],"Unmapped")</f>
        <v>Accounts Receivable</v>
      </c>
      <c r="H1258" t="str">
        <f>_xlfn.XLOOKUP(C1258,tblCOA[AccountNo],tblCOA[Category],"Unmapped")</f>
        <v>Assets</v>
      </c>
      <c r="I1258" s="4">
        <f t="shared" si="57"/>
        <v>8271.14</v>
      </c>
      <c r="J1258">
        <f t="shared" si="58"/>
        <v>2025</v>
      </c>
      <c r="K1258" s="5">
        <f t="shared" si="59"/>
        <v>45809</v>
      </c>
    </row>
    <row r="1259" spans="1:11" x14ac:dyDescent="0.25">
      <c r="A1259" t="s">
        <v>404</v>
      </c>
      <c r="B1259" s="3">
        <v>45829</v>
      </c>
      <c r="C1259">
        <v>4010</v>
      </c>
      <c r="D1259" s="1">
        <v>0</v>
      </c>
      <c r="E1259" s="1">
        <v>8271.14</v>
      </c>
      <c r="F1259" t="s">
        <v>405</v>
      </c>
      <c r="G1259" t="str">
        <f>_xlfn.XLOOKUP(C1259,tblCOA[AccountNo],tblCOA[AccountName],"Unmapped")</f>
        <v>Product Sales</v>
      </c>
      <c r="H1259" t="str">
        <f>_xlfn.XLOOKUP(C1259,tblCOA[AccountNo],tblCOA[Category],"Unmapped")</f>
        <v>Revenue</v>
      </c>
      <c r="I1259" s="4">
        <f t="shared" si="57"/>
        <v>-8271.14</v>
      </c>
      <c r="J1259">
        <f t="shared" si="58"/>
        <v>2025</v>
      </c>
      <c r="K1259" s="5">
        <f t="shared" si="59"/>
        <v>45809</v>
      </c>
    </row>
    <row r="1260" spans="1:11" x14ac:dyDescent="0.25">
      <c r="A1260" t="s">
        <v>466</v>
      </c>
      <c r="B1260" s="3">
        <v>45829</v>
      </c>
      <c r="C1260">
        <v>1200</v>
      </c>
      <c r="D1260" s="1">
        <v>19306.93</v>
      </c>
      <c r="E1260" s="1">
        <v>0</v>
      </c>
      <c r="F1260" t="s">
        <v>467</v>
      </c>
      <c r="G1260" t="str">
        <f>_xlfn.XLOOKUP(C1260,tblCOA[AccountNo],tblCOA[AccountName],"Unmapped")</f>
        <v>Accounts Receivable</v>
      </c>
      <c r="H1260" t="str">
        <f>_xlfn.XLOOKUP(C1260,tblCOA[AccountNo],tblCOA[Category],"Unmapped")</f>
        <v>Assets</v>
      </c>
      <c r="I1260" s="4">
        <f t="shared" si="57"/>
        <v>19306.93</v>
      </c>
      <c r="J1260">
        <f t="shared" si="58"/>
        <v>2025</v>
      </c>
      <c r="K1260" s="5">
        <f t="shared" si="59"/>
        <v>45809</v>
      </c>
    </row>
    <row r="1261" spans="1:11" x14ac:dyDescent="0.25">
      <c r="A1261" t="s">
        <v>468</v>
      </c>
      <c r="B1261" s="3">
        <v>45829</v>
      </c>
      <c r="C1261">
        <v>4010</v>
      </c>
      <c r="D1261" s="1">
        <v>0</v>
      </c>
      <c r="E1261" s="1">
        <v>19306.93</v>
      </c>
      <c r="F1261" t="s">
        <v>469</v>
      </c>
      <c r="G1261" t="str">
        <f>_xlfn.XLOOKUP(C1261,tblCOA[AccountNo],tblCOA[AccountName],"Unmapped")</f>
        <v>Product Sales</v>
      </c>
      <c r="H1261" t="str">
        <f>_xlfn.XLOOKUP(C1261,tblCOA[AccountNo],tblCOA[Category],"Unmapped")</f>
        <v>Revenue</v>
      </c>
      <c r="I1261" s="4">
        <f t="shared" si="57"/>
        <v>-19306.93</v>
      </c>
      <c r="J1261">
        <f t="shared" si="58"/>
        <v>2025</v>
      </c>
      <c r="K1261" s="5">
        <f t="shared" si="59"/>
        <v>45809</v>
      </c>
    </row>
    <row r="1262" spans="1:11" x14ac:dyDescent="0.25">
      <c r="A1262" t="s">
        <v>2306</v>
      </c>
      <c r="B1262" s="3">
        <v>45830</v>
      </c>
      <c r="C1262">
        <v>1200</v>
      </c>
      <c r="D1262" s="1">
        <v>3869.69</v>
      </c>
      <c r="E1262" s="1">
        <v>0</v>
      </c>
      <c r="F1262" t="s">
        <v>2307</v>
      </c>
      <c r="G1262" t="str">
        <f>_xlfn.XLOOKUP(C1262,tblCOA[AccountNo],tblCOA[AccountName],"Unmapped")</f>
        <v>Accounts Receivable</v>
      </c>
      <c r="H1262" t="str">
        <f>_xlfn.XLOOKUP(C1262,tblCOA[AccountNo],tblCOA[Category],"Unmapped")</f>
        <v>Assets</v>
      </c>
      <c r="I1262" s="4">
        <f t="shared" si="57"/>
        <v>3869.69</v>
      </c>
      <c r="J1262">
        <f t="shared" si="58"/>
        <v>2025</v>
      </c>
      <c r="K1262" s="5">
        <f t="shared" si="59"/>
        <v>45809</v>
      </c>
    </row>
    <row r="1263" spans="1:11" x14ac:dyDescent="0.25">
      <c r="A1263" t="s">
        <v>2308</v>
      </c>
      <c r="B1263" s="3">
        <v>45830</v>
      </c>
      <c r="C1263">
        <v>4010</v>
      </c>
      <c r="D1263" s="1">
        <v>0</v>
      </c>
      <c r="E1263" s="1">
        <v>3869.69</v>
      </c>
      <c r="F1263" t="s">
        <v>2309</v>
      </c>
      <c r="G1263" t="str">
        <f>_xlfn.XLOOKUP(C1263,tblCOA[AccountNo],tblCOA[AccountName],"Unmapped")</f>
        <v>Product Sales</v>
      </c>
      <c r="H1263" t="str">
        <f>_xlfn.XLOOKUP(C1263,tblCOA[AccountNo],tblCOA[Category],"Unmapped")</f>
        <v>Revenue</v>
      </c>
      <c r="I1263" s="4">
        <f t="shared" si="57"/>
        <v>-3869.69</v>
      </c>
      <c r="J1263">
        <f t="shared" si="58"/>
        <v>2025</v>
      </c>
      <c r="K1263" s="5">
        <f t="shared" si="59"/>
        <v>45809</v>
      </c>
    </row>
    <row r="1264" spans="1:11" x14ac:dyDescent="0.25">
      <c r="A1264" t="s">
        <v>2442</v>
      </c>
      <c r="B1264" s="3">
        <v>45830</v>
      </c>
      <c r="C1264">
        <v>1200</v>
      </c>
      <c r="D1264" s="1">
        <v>35922.629999999997</v>
      </c>
      <c r="E1264" s="1">
        <v>0</v>
      </c>
      <c r="F1264" t="s">
        <v>2443</v>
      </c>
      <c r="G1264" t="str">
        <f>_xlfn.XLOOKUP(C1264,tblCOA[AccountNo],tblCOA[AccountName],"Unmapped")</f>
        <v>Accounts Receivable</v>
      </c>
      <c r="H1264" t="str">
        <f>_xlfn.XLOOKUP(C1264,tblCOA[AccountNo],tblCOA[Category],"Unmapped")</f>
        <v>Assets</v>
      </c>
      <c r="I1264" s="4">
        <f t="shared" si="57"/>
        <v>35922.629999999997</v>
      </c>
      <c r="J1264">
        <f t="shared" si="58"/>
        <v>2025</v>
      </c>
      <c r="K1264" s="5">
        <f t="shared" si="59"/>
        <v>45809</v>
      </c>
    </row>
    <row r="1265" spans="1:11" x14ac:dyDescent="0.25">
      <c r="A1265" t="s">
        <v>2444</v>
      </c>
      <c r="B1265" s="3">
        <v>45830</v>
      </c>
      <c r="C1265">
        <v>4010</v>
      </c>
      <c r="D1265" s="1">
        <v>0</v>
      </c>
      <c r="E1265" s="1">
        <v>35922.629999999997</v>
      </c>
      <c r="F1265" t="s">
        <v>2445</v>
      </c>
      <c r="G1265" t="str">
        <f>_xlfn.XLOOKUP(C1265,tblCOA[AccountNo],tblCOA[AccountName],"Unmapped")</f>
        <v>Product Sales</v>
      </c>
      <c r="H1265" t="str">
        <f>_xlfn.XLOOKUP(C1265,tblCOA[AccountNo],tblCOA[Category],"Unmapped")</f>
        <v>Revenue</v>
      </c>
      <c r="I1265" s="4">
        <f t="shared" si="57"/>
        <v>-35922.629999999997</v>
      </c>
      <c r="J1265">
        <f t="shared" si="58"/>
        <v>2025</v>
      </c>
      <c r="K1265" s="5">
        <f t="shared" si="59"/>
        <v>45809</v>
      </c>
    </row>
    <row r="1266" spans="1:11" x14ac:dyDescent="0.25">
      <c r="A1266" t="s">
        <v>1386</v>
      </c>
      <c r="B1266" s="3">
        <v>45830</v>
      </c>
      <c r="C1266">
        <v>1200</v>
      </c>
      <c r="D1266" s="1">
        <v>21126.03</v>
      </c>
      <c r="E1266" s="1">
        <v>0</v>
      </c>
      <c r="F1266" t="s">
        <v>1387</v>
      </c>
      <c r="G1266" t="str">
        <f>_xlfn.XLOOKUP(C1266,tblCOA[AccountNo],tblCOA[AccountName],"Unmapped")</f>
        <v>Accounts Receivable</v>
      </c>
      <c r="H1266" t="str">
        <f>_xlfn.XLOOKUP(C1266,tblCOA[AccountNo],tblCOA[Category],"Unmapped")</f>
        <v>Assets</v>
      </c>
      <c r="I1266" s="4">
        <f t="shared" si="57"/>
        <v>21126.03</v>
      </c>
      <c r="J1266">
        <f t="shared" si="58"/>
        <v>2025</v>
      </c>
      <c r="K1266" s="5">
        <f t="shared" si="59"/>
        <v>45809</v>
      </c>
    </row>
    <row r="1267" spans="1:11" x14ac:dyDescent="0.25">
      <c r="A1267" t="s">
        <v>1388</v>
      </c>
      <c r="B1267" s="3">
        <v>45830</v>
      </c>
      <c r="C1267">
        <v>4010</v>
      </c>
      <c r="D1267" s="1">
        <v>0</v>
      </c>
      <c r="E1267" s="1">
        <v>21126.03</v>
      </c>
      <c r="F1267" t="s">
        <v>1389</v>
      </c>
      <c r="G1267" t="str">
        <f>_xlfn.XLOOKUP(C1267,tblCOA[AccountNo],tblCOA[AccountName],"Unmapped")</f>
        <v>Product Sales</v>
      </c>
      <c r="H1267" t="str">
        <f>_xlfn.XLOOKUP(C1267,tblCOA[AccountNo],tblCOA[Category],"Unmapped")</f>
        <v>Revenue</v>
      </c>
      <c r="I1267" s="4">
        <f t="shared" si="57"/>
        <v>-21126.03</v>
      </c>
      <c r="J1267">
        <f t="shared" si="58"/>
        <v>2025</v>
      </c>
      <c r="K1267" s="5">
        <f t="shared" si="59"/>
        <v>45809</v>
      </c>
    </row>
    <row r="1268" spans="1:11" x14ac:dyDescent="0.25">
      <c r="A1268" t="s">
        <v>818</v>
      </c>
      <c r="B1268" s="3">
        <v>45834</v>
      </c>
      <c r="C1268">
        <v>1200</v>
      </c>
      <c r="D1268" s="1">
        <v>19664.240000000002</v>
      </c>
      <c r="E1268" s="1">
        <v>0</v>
      </c>
      <c r="F1268" t="s">
        <v>819</v>
      </c>
      <c r="G1268" t="str">
        <f>_xlfn.XLOOKUP(C1268,tblCOA[AccountNo],tblCOA[AccountName],"Unmapped")</f>
        <v>Accounts Receivable</v>
      </c>
      <c r="H1268" t="str">
        <f>_xlfn.XLOOKUP(C1268,tblCOA[AccountNo],tblCOA[Category],"Unmapped")</f>
        <v>Assets</v>
      </c>
      <c r="I1268" s="4">
        <f t="shared" si="57"/>
        <v>19664.240000000002</v>
      </c>
      <c r="J1268">
        <f t="shared" si="58"/>
        <v>2025</v>
      </c>
      <c r="K1268" s="5">
        <f t="shared" si="59"/>
        <v>45809</v>
      </c>
    </row>
    <row r="1269" spans="1:11" x14ac:dyDescent="0.25">
      <c r="A1269" t="s">
        <v>820</v>
      </c>
      <c r="B1269" s="3">
        <v>45834</v>
      </c>
      <c r="C1269">
        <v>4010</v>
      </c>
      <c r="D1269" s="1">
        <v>0</v>
      </c>
      <c r="E1269" s="1">
        <v>19664.240000000002</v>
      </c>
      <c r="F1269" t="s">
        <v>821</v>
      </c>
      <c r="G1269" t="str">
        <f>_xlfn.XLOOKUP(C1269,tblCOA[AccountNo],tblCOA[AccountName],"Unmapped")</f>
        <v>Product Sales</v>
      </c>
      <c r="H1269" t="str">
        <f>_xlfn.XLOOKUP(C1269,tblCOA[AccountNo],tblCOA[Category],"Unmapped")</f>
        <v>Revenue</v>
      </c>
      <c r="I1269" s="4">
        <f t="shared" si="57"/>
        <v>-19664.240000000002</v>
      </c>
      <c r="J1269">
        <f t="shared" si="58"/>
        <v>2025</v>
      </c>
      <c r="K1269" s="5">
        <f t="shared" si="59"/>
        <v>45809</v>
      </c>
    </row>
    <row r="1270" spans="1:11" x14ac:dyDescent="0.25">
      <c r="A1270" t="s">
        <v>1242</v>
      </c>
      <c r="B1270" s="3">
        <v>45838</v>
      </c>
      <c r="C1270">
        <v>1200</v>
      </c>
      <c r="D1270" s="1">
        <v>20280.560000000001</v>
      </c>
      <c r="E1270" s="1">
        <v>0</v>
      </c>
      <c r="F1270" t="s">
        <v>1243</v>
      </c>
      <c r="G1270" t="str">
        <f>_xlfn.XLOOKUP(C1270,tblCOA[AccountNo],tblCOA[AccountName],"Unmapped")</f>
        <v>Accounts Receivable</v>
      </c>
      <c r="H1270" t="str">
        <f>_xlfn.XLOOKUP(C1270,tblCOA[AccountNo],tblCOA[Category],"Unmapped")</f>
        <v>Assets</v>
      </c>
      <c r="I1270" s="4">
        <f t="shared" si="57"/>
        <v>20280.560000000001</v>
      </c>
      <c r="J1270">
        <f t="shared" si="58"/>
        <v>2025</v>
      </c>
      <c r="K1270" s="5">
        <f t="shared" si="59"/>
        <v>45809</v>
      </c>
    </row>
    <row r="1271" spans="1:11" x14ac:dyDescent="0.25">
      <c r="A1271" t="s">
        <v>1244</v>
      </c>
      <c r="B1271" s="3">
        <v>45838</v>
      </c>
      <c r="C1271">
        <v>4010</v>
      </c>
      <c r="D1271" s="1">
        <v>0</v>
      </c>
      <c r="E1271" s="1">
        <v>20280.560000000001</v>
      </c>
      <c r="F1271" t="s">
        <v>1245</v>
      </c>
      <c r="G1271" t="str">
        <f>_xlfn.XLOOKUP(C1271,tblCOA[AccountNo],tblCOA[AccountName],"Unmapped")</f>
        <v>Product Sales</v>
      </c>
      <c r="H1271" t="str">
        <f>_xlfn.XLOOKUP(C1271,tblCOA[AccountNo],tblCOA[Category],"Unmapped")</f>
        <v>Revenue</v>
      </c>
      <c r="I1271" s="4">
        <f t="shared" si="57"/>
        <v>-20280.560000000001</v>
      </c>
      <c r="J1271">
        <f t="shared" si="58"/>
        <v>2025</v>
      </c>
      <c r="K1271" s="5">
        <f t="shared" si="59"/>
        <v>45809</v>
      </c>
    </row>
    <row r="1272" spans="1:11" x14ac:dyDescent="0.25">
      <c r="A1272" t="s">
        <v>1810</v>
      </c>
      <c r="B1272" s="3">
        <v>45840</v>
      </c>
      <c r="C1272">
        <v>1200</v>
      </c>
      <c r="D1272" s="1">
        <v>20726.73</v>
      </c>
      <c r="E1272" s="1">
        <v>0</v>
      </c>
      <c r="F1272" t="s">
        <v>1811</v>
      </c>
      <c r="G1272" t="str">
        <f>_xlfn.XLOOKUP(C1272,tblCOA[AccountNo],tblCOA[AccountName],"Unmapped")</f>
        <v>Accounts Receivable</v>
      </c>
      <c r="H1272" t="str">
        <f>_xlfn.XLOOKUP(C1272,tblCOA[AccountNo],tblCOA[Category],"Unmapped")</f>
        <v>Assets</v>
      </c>
      <c r="I1272" s="4">
        <f t="shared" si="57"/>
        <v>20726.73</v>
      </c>
      <c r="J1272">
        <f t="shared" si="58"/>
        <v>2025</v>
      </c>
      <c r="K1272" s="5">
        <f t="shared" si="59"/>
        <v>45839</v>
      </c>
    </row>
    <row r="1273" spans="1:11" x14ac:dyDescent="0.25">
      <c r="A1273" t="s">
        <v>1812</v>
      </c>
      <c r="B1273" s="3">
        <v>45840</v>
      </c>
      <c r="C1273">
        <v>4010</v>
      </c>
      <c r="D1273" s="1">
        <v>0</v>
      </c>
      <c r="E1273" s="1">
        <v>20726.73</v>
      </c>
      <c r="F1273" t="s">
        <v>1813</v>
      </c>
      <c r="G1273" t="str">
        <f>_xlfn.XLOOKUP(C1273,tblCOA[AccountNo],tblCOA[AccountName],"Unmapped")</f>
        <v>Product Sales</v>
      </c>
      <c r="H1273" t="str">
        <f>_xlfn.XLOOKUP(C1273,tblCOA[AccountNo],tblCOA[Category],"Unmapped")</f>
        <v>Revenue</v>
      </c>
      <c r="I1273" s="4">
        <f t="shared" si="57"/>
        <v>-20726.73</v>
      </c>
      <c r="J1273">
        <f t="shared" si="58"/>
        <v>2025</v>
      </c>
      <c r="K1273" s="5">
        <f t="shared" si="59"/>
        <v>45839</v>
      </c>
    </row>
    <row r="1274" spans="1:11" x14ac:dyDescent="0.25">
      <c r="A1274" t="s">
        <v>486</v>
      </c>
      <c r="B1274" s="3">
        <v>45841</v>
      </c>
      <c r="C1274">
        <v>5010</v>
      </c>
      <c r="D1274" s="1">
        <v>3397.67</v>
      </c>
      <c r="E1274" s="1">
        <v>0</v>
      </c>
      <c r="F1274" t="s">
        <v>487</v>
      </c>
      <c r="G1274" t="str">
        <f>_xlfn.XLOOKUP(C1274,tblCOA[AccountNo],tblCOA[AccountName],"Unmapped")</f>
        <v>Cost of Goods Sold</v>
      </c>
      <c r="H1274" t="str">
        <f>_xlfn.XLOOKUP(C1274,tblCOA[AccountNo],tblCOA[Category],"Unmapped")</f>
        <v>Expenses</v>
      </c>
      <c r="I1274" s="4">
        <f t="shared" si="57"/>
        <v>3397.67</v>
      </c>
      <c r="J1274">
        <f t="shared" si="58"/>
        <v>2025</v>
      </c>
      <c r="K1274" s="5">
        <f t="shared" si="59"/>
        <v>45839</v>
      </c>
    </row>
    <row r="1275" spans="1:11" x14ac:dyDescent="0.25">
      <c r="A1275" t="s">
        <v>488</v>
      </c>
      <c r="B1275" s="3">
        <v>45841</v>
      </c>
      <c r="C1275">
        <v>2010</v>
      </c>
      <c r="D1275" s="1">
        <v>0</v>
      </c>
      <c r="E1275" s="1">
        <v>3397.67</v>
      </c>
      <c r="F1275" t="s">
        <v>489</v>
      </c>
      <c r="G1275" t="str">
        <f>_xlfn.XLOOKUP(C1275,tblCOA[AccountNo],tblCOA[AccountName],"Unmapped")</f>
        <v>Accounts Payable</v>
      </c>
      <c r="H1275" t="str">
        <f>_xlfn.XLOOKUP(C1275,tblCOA[AccountNo],tblCOA[Category],"Unmapped")</f>
        <v>Liabilities</v>
      </c>
      <c r="I1275" s="4">
        <f t="shared" si="57"/>
        <v>-3397.67</v>
      </c>
      <c r="J1275">
        <f t="shared" si="58"/>
        <v>2025</v>
      </c>
      <c r="K1275" s="5">
        <f t="shared" si="59"/>
        <v>45839</v>
      </c>
    </row>
    <row r="1276" spans="1:11" x14ac:dyDescent="0.25">
      <c r="A1276" t="s">
        <v>798</v>
      </c>
      <c r="B1276" s="3">
        <v>45841</v>
      </c>
      <c r="C1276">
        <v>5010</v>
      </c>
      <c r="D1276" s="1">
        <v>6105.84</v>
      </c>
      <c r="E1276" s="1">
        <v>0</v>
      </c>
      <c r="F1276" t="s">
        <v>799</v>
      </c>
      <c r="G1276" t="str">
        <f>_xlfn.XLOOKUP(C1276,tblCOA[AccountNo],tblCOA[AccountName],"Unmapped")</f>
        <v>Cost of Goods Sold</v>
      </c>
      <c r="H1276" t="str">
        <f>_xlfn.XLOOKUP(C1276,tblCOA[AccountNo],tblCOA[Category],"Unmapped")</f>
        <v>Expenses</v>
      </c>
      <c r="I1276" s="4">
        <f t="shared" si="57"/>
        <v>6105.84</v>
      </c>
      <c r="J1276">
        <f t="shared" si="58"/>
        <v>2025</v>
      </c>
      <c r="K1276" s="5">
        <f t="shared" si="59"/>
        <v>45839</v>
      </c>
    </row>
    <row r="1277" spans="1:11" x14ac:dyDescent="0.25">
      <c r="A1277" t="s">
        <v>800</v>
      </c>
      <c r="B1277" s="3">
        <v>45841</v>
      </c>
      <c r="C1277">
        <v>2010</v>
      </c>
      <c r="D1277" s="1">
        <v>0</v>
      </c>
      <c r="E1277" s="1">
        <v>6105.84</v>
      </c>
      <c r="F1277" t="s">
        <v>801</v>
      </c>
      <c r="G1277" t="str">
        <f>_xlfn.XLOOKUP(C1277,tblCOA[AccountNo],tblCOA[AccountName],"Unmapped")</f>
        <v>Accounts Payable</v>
      </c>
      <c r="H1277" t="str">
        <f>_xlfn.XLOOKUP(C1277,tblCOA[AccountNo],tblCOA[Category],"Unmapped")</f>
        <v>Liabilities</v>
      </c>
      <c r="I1277" s="4">
        <f t="shared" si="57"/>
        <v>-6105.84</v>
      </c>
      <c r="J1277">
        <f t="shared" si="58"/>
        <v>2025</v>
      </c>
      <c r="K1277" s="5">
        <f t="shared" si="59"/>
        <v>45839</v>
      </c>
    </row>
    <row r="1278" spans="1:11" x14ac:dyDescent="0.25">
      <c r="A1278" t="s">
        <v>3230</v>
      </c>
      <c r="B1278" s="3">
        <v>45842</v>
      </c>
      <c r="C1278">
        <v>5010</v>
      </c>
      <c r="D1278" s="1">
        <v>5135.04</v>
      </c>
      <c r="E1278" s="1">
        <v>0</v>
      </c>
      <c r="F1278" t="s">
        <v>3231</v>
      </c>
      <c r="G1278" t="str">
        <f>_xlfn.XLOOKUP(C1278,tblCOA[AccountNo],tblCOA[AccountName],"Unmapped")</f>
        <v>Cost of Goods Sold</v>
      </c>
      <c r="H1278" t="str">
        <f>_xlfn.XLOOKUP(C1278,tblCOA[AccountNo],tblCOA[Category],"Unmapped")</f>
        <v>Expenses</v>
      </c>
      <c r="I1278" s="4">
        <f t="shared" si="57"/>
        <v>5135.04</v>
      </c>
      <c r="J1278">
        <f t="shared" si="58"/>
        <v>2025</v>
      </c>
      <c r="K1278" s="5">
        <f t="shared" si="59"/>
        <v>45839</v>
      </c>
    </row>
    <row r="1279" spans="1:11" x14ac:dyDescent="0.25">
      <c r="A1279" t="s">
        <v>3232</v>
      </c>
      <c r="B1279" s="3">
        <v>45842</v>
      </c>
      <c r="C1279">
        <v>2010</v>
      </c>
      <c r="D1279" s="1">
        <v>0</v>
      </c>
      <c r="E1279" s="1">
        <v>5135.04</v>
      </c>
      <c r="F1279" t="s">
        <v>3233</v>
      </c>
      <c r="G1279" t="str">
        <f>_xlfn.XLOOKUP(C1279,tblCOA[AccountNo],tblCOA[AccountName],"Unmapped")</f>
        <v>Accounts Payable</v>
      </c>
      <c r="H1279" t="str">
        <f>_xlfn.XLOOKUP(C1279,tblCOA[AccountNo],tblCOA[Category],"Unmapped")</f>
        <v>Liabilities</v>
      </c>
      <c r="I1279" s="4">
        <f t="shared" si="57"/>
        <v>-5135.04</v>
      </c>
      <c r="J1279">
        <f t="shared" si="58"/>
        <v>2025</v>
      </c>
      <c r="K1279" s="5">
        <f t="shared" si="59"/>
        <v>45839</v>
      </c>
    </row>
    <row r="1280" spans="1:11" x14ac:dyDescent="0.25">
      <c r="A1280" t="s">
        <v>114</v>
      </c>
      <c r="B1280" s="3">
        <v>45845</v>
      </c>
      <c r="C1280">
        <v>1200</v>
      </c>
      <c r="D1280" s="1">
        <v>5230.1000000000004</v>
      </c>
      <c r="E1280" s="1">
        <v>0</v>
      </c>
      <c r="F1280" t="s">
        <v>115</v>
      </c>
      <c r="G1280" t="str">
        <f>_xlfn.XLOOKUP(C1280,tblCOA[AccountNo],tblCOA[AccountName],"Unmapped")</f>
        <v>Accounts Receivable</v>
      </c>
      <c r="H1280" t="str">
        <f>_xlfn.XLOOKUP(C1280,tblCOA[AccountNo],tblCOA[Category],"Unmapped")</f>
        <v>Assets</v>
      </c>
      <c r="I1280" s="4">
        <f t="shared" si="57"/>
        <v>5230.1000000000004</v>
      </c>
      <c r="J1280">
        <f t="shared" si="58"/>
        <v>2025</v>
      </c>
      <c r="K1280" s="5">
        <f t="shared" si="59"/>
        <v>45839</v>
      </c>
    </row>
    <row r="1281" spans="1:11" x14ac:dyDescent="0.25">
      <c r="A1281" t="s">
        <v>116</v>
      </c>
      <c r="B1281" s="3">
        <v>45845</v>
      </c>
      <c r="C1281">
        <v>4010</v>
      </c>
      <c r="D1281" s="1">
        <v>0</v>
      </c>
      <c r="E1281" s="1">
        <v>5230.1000000000004</v>
      </c>
      <c r="F1281" t="s">
        <v>117</v>
      </c>
      <c r="G1281" t="str">
        <f>_xlfn.XLOOKUP(C1281,tblCOA[AccountNo],tblCOA[AccountName],"Unmapped")</f>
        <v>Product Sales</v>
      </c>
      <c r="H1281" t="str">
        <f>_xlfn.XLOOKUP(C1281,tblCOA[AccountNo],tblCOA[Category],"Unmapped")</f>
        <v>Revenue</v>
      </c>
      <c r="I1281" s="4">
        <f t="shared" si="57"/>
        <v>-5230.1000000000004</v>
      </c>
      <c r="J1281">
        <f t="shared" si="58"/>
        <v>2025</v>
      </c>
      <c r="K1281" s="5">
        <f t="shared" si="59"/>
        <v>45839</v>
      </c>
    </row>
    <row r="1282" spans="1:11" x14ac:dyDescent="0.25">
      <c r="A1282" t="s">
        <v>3366</v>
      </c>
      <c r="B1282" s="3">
        <v>45846</v>
      </c>
      <c r="C1282">
        <v>5010</v>
      </c>
      <c r="D1282" s="1">
        <v>1869.64</v>
      </c>
      <c r="E1282" s="1">
        <v>0</v>
      </c>
      <c r="F1282" t="s">
        <v>3367</v>
      </c>
      <c r="G1282" t="str">
        <f>_xlfn.XLOOKUP(C1282,tblCOA[AccountNo],tblCOA[AccountName],"Unmapped")</f>
        <v>Cost of Goods Sold</v>
      </c>
      <c r="H1282" t="str">
        <f>_xlfn.XLOOKUP(C1282,tblCOA[AccountNo],tblCOA[Category],"Unmapped")</f>
        <v>Expenses</v>
      </c>
      <c r="I1282" s="4">
        <f t="shared" ref="I1282:I1345" si="60">D1282-E1282</f>
        <v>1869.64</v>
      </c>
      <c r="J1282">
        <f t="shared" ref="J1282:J1345" si="61">YEAR(B1282)</f>
        <v>2025</v>
      </c>
      <c r="K1282" s="5">
        <f t="shared" ref="K1282:K1345" si="62">DATE(YEAR(B1282),MONTH(B1282),1)</f>
        <v>45839</v>
      </c>
    </row>
    <row r="1283" spans="1:11" x14ac:dyDescent="0.25">
      <c r="A1283" t="s">
        <v>3368</v>
      </c>
      <c r="B1283" s="3">
        <v>45846</v>
      </c>
      <c r="C1283">
        <v>2010</v>
      </c>
      <c r="D1283" s="1">
        <v>0</v>
      </c>
      <c r="E1283" s="1">
        <v>1869.64</v>
      </c>
      <c r="F1283" t="s">
        <v>3369</v>
      </c>
      <c r="G1283" t="str">
        <f>_xlfn.XLOOKUP(C1283,tblCOA[AccountNo],tblCOA[AccountName],"Unmapped")</f>
        <v>Accounts Payable</v>
      </c>
      <c r="H1283" t="str">
        <f>_xlfn.XLOOKUP(C1283,tblCOA[AccountNo],tblCOA[Category],"Unmapped")</f>
        <v>Liabilities</v>
      </c>
      <c r="I1283" s="4">
        <f t="shared" si="60"/>
        <v>-1869.64</v>
      </c>
      <c r="J1283">
        <f t="shared" si="61"/>
        <v>2025</v>
      </c>
      <c r="K1283" s="5">
        <f t="shared" si="62"/>
        <v>45839</v>
      </c>
    </row>
    <row r="1284" spans="1:11" x14ac:dyDescent="0.25">
      <c r="A1284" t="s">
        <v>1090</v>
      </c>
      <c r="B1284" s="3">
        <v>45848</v>
      </c>
      <c r="C1284">
        <v>1200</v>
      </c>
      <c r="D1284" s="1">
        <v>8777.4500000000007</v>
      </c>
      <c r="E1284" s="1">
        <v>0</v>
      </c>
      <c r="F1284" t="s">
        <v>1091</v>
      </c>
      <c r="G1284" t="str">
        <f>_xlfn.XLOOKUP(C1284,tblCOA[AccountNo],tblCOA[AccountName],"Unmapped")</f>
        <v>Accounts Receivable</v>
      </c>
      <c r="H1284" t="str">
        <f>_xlfn.XLOOKUP(C1284,tblCOA[AccountNo],tblCOA[Category],"Unmapped")</f>
        <v>Assets</v>
      </c>
      <c r="I1284" s="4">
        <f t="shared" si="60"/>
        <v>8777.4500000000007</v>
      </c>
      <c r="J1284">
        <f t="shared" si="61"/>
        <v>2025</v>
      </c>
      <c r="K1284" s="5">
        <f t="shared" si="62"/>
        <v>45839</v>
      </c>
    </row>
    <row r="1285" spans="1:11" x14ac:dyDescent="0.25">
      <c r="A1285" t="s">
        <v>1092</v>
      </c>
      <c r="B1285" s="3">
        <v>45848</v>
      </c>
      <c r="C1285">
        <v>4010</v>
      </c>
      <c r="D1285" s="1">
        <v>0</v>
      </c>
      <c r="E1285" s="1">
        <v>8777.4500000000007</v>
      </c>
      <c r="F1285" t="s">
        <v>1093</v>
      </c>
      <c r="G1285" t="str">
        <f>_xlfn.XLOOKUP(C1285,tblCOA[AccountNo],tblCOA[AccountName],"Unmapped")</f>
        <v>Product Sales</v>
      </c>
      <c r="H1285" t="str">
        <f>_xlfn.XLOOKUP(C1285,tblCOA[AccountNo],tblCOA[Category],"Unmapped")</f>
        <v>Revenue</v>
      </c>
      <c r="I1285" s="4">
        <f t="shared" si="60"/>
        <v>-8777.4500000000007</v>
      </c>
      <c r="J1285">
        <f t="shared" si="61"/>
        <v>2025</v>
      </c>
      <c r="K1285" s="5">
        <f t="shared" si="62"/>
        <v>45839</v>
      </c>
    </row>
    <row r="1286" spans="1:11" x14ac:dyDescent="0.25">
      <c r="A1286" t="s">
        <v>3482</v>
      </c>
      <c r="B1286" s="3">
        <v>45849</v>
      </c>
      <c r="C1286">
        <v>1200</v>
      </c>
      <c r="D1286" s="1">
        <v>11874.6</v>
      </c>
      <c r="E1286" s="1">
        <v>0</v>
      </c>
      <c r="F1286" t="s">
        <v>3483</v>
      </c>
      <c r="G1286" t="str">
        <f>_xlfn.XLOOKUP(C1286,tblCOA[AccountNo],tblCOA[AccountName],"Unmapped")</f>
        <v>Accounts Receivable</v>
      </c>
      <c r="H1286" t="str">
        <f>_xlfn.XLOOKUP(C1286,tblCOA[AccountNo],tblCOA[Category],"Unmapped")</f>
        <v>Assets</v>
      </c>
      <c r="I1286" s="4">
        <f t="shared" si="60"/>
        <v>11874.6</v>
      </c>
      <c r="J1286">
        <f t="shared" si="61"/>
        <v>2025</v>
      </c>
      <c r="K1286" s="5">
        <f t="shared" si="62"/>
        <v>45839</v>
      </c>
    </row>
    <row r="1287" spans="1:11" x14ac:dyDescent="0.25">
      <c r="A1287" t="s">
        <v>3484</v>
      </c>
      <c r="B1287" s="3">
        <v>45849</v>
      </c>
      <c r="C1287">
        <v>4010</v>
      </c>
      <c r="D1287" s="1">
        <v>0</v>
      </c>
      <c r="E1287" s="1">
        <v>11874.6</v>
      </c>
      <c r="F1287" t="s">
        <v>3485</v>
      </c>
      <c r="G1287" t="str">
        <f>_xlfn.XLOOKUP(C1287,tblCOA[AccountNo],tblCOA[AccountName],"Unmapped")</f>
        <v>Product Sales</v>
      </c>
      <c r="H1287" t="str">
        <f>_xlfn.XLOOKUP(C1287,tblCOA[AccountNo],tblCOA[Category],"Unmapped")</f>
        <v>Revenue</v>
      </c>
      <c r="I1287" s="4">
        <f t="shared" si="60"/>
        <v>-11874.6</v>
      </c>
      <c r="J1287">
        <f t="shared" si="61"/>
        <v>2025</v>
      </c>
      <c r="K1287" s="5">
        <f t="shared" si="62"/>
        <v>45839</v>
      </c>
    </row>
    <row r="1288" spans="1:11" x14ac:dyDescent="0.25">
      <c r="A1288" t="s">
        <v>982</v>
      </c>
      <c r="B1288" s="3">
        <v>45849</v>
      </c>
      <c r="C1288">
        <v>5010</v>
      </c>
      <c r="D1288" s="1">
        <v>848.63</v>
      </c>
      <c r="E1288" s="1">
        <v>0</v>
      </c>
      <c r="F1288" t="s">
        <v>983</v>
      </c>
      <c r="G1288" t="str">
        <f>_xlfn.XLOOKUP(C1288,tblCOA[AccountNo],tblCOA[AccountName],"Unmapped")</f>
        <v>Cost of Goods Sold</v>
      </c>
      <c r="H1288" t="str">
        <f>_xlfn.XLOOKUP(C1288,tblCOA[AccountNo],tblCOA[Category],"Unmapped")</f>
        <v>Expenses</v>
      </c>
      <c r="I1288" s="4">
        <f t="shared" si="60"/>
        <v>848.63</v>
      </c>
      <c r="J1288">
        <f t="shared" si="61"/>
        <v>2025</v>
      </c>
      <c r="K1288" s="5">
        <f t="shared" si="62"/>
        <v>45839</v>
      </c>
    </row>
    <row r="1289" spans="1:11" x14ac:dyDescent="0.25">
      <c r="A1289" t="s">
        <v>984</v>
      </c>
      <c r="B1289" s="3">
        <v>45849</v>
      </c>
      <c r="C1289">
        <v>2010</v>
      </c>
      <c r="D1289" s="1">
        <v>0</v>
      </c>
      <c r="E1289" s="1">
        <v>848.63</v>
      </c>
      <c r="F1289" t="s">
        <v>985</v>
      </c>
      <c r="G1289" t="str">
        <f>_xlfn.XLOOKUP(C1289,tblCOA[AccountNo],tblCOA[AccountName],"Unmapped")</f>
        <v>Accounts Payable</v>
      </c>
      <c r="H1289" t="str">
        <f>_xlfn.XLOOKUP(C1289,tblCOA[AccountNo],tblCOA[Category],"Unmapped")</f>
        <v>Liabilities</v>
      </c>
      <c r="I1289" s="4">
        <f t="shared" si="60"/>
        <v>-848.63</v>
      </c>
      <c r="J1289">
        <f t="shared" si="61"/>
        <v>2025</v>
      </c>
      <c r="K1289" s="5">
        <f t="shared" si="62"/>
        <v>45839</v>
      </c>
    </row>
    <row r="1290" spans="1:11" x14ac:dyDescent="0.25">
      <c r="A1290" t="s">
        <v>1122</v>
      </c>
      <c r="B1290" s="3">
        <v>45849</v>
      </c>
      <c r="C1290">
        <v>1200</v>
      </c>
      <c r="D1290" s="1">
        <v>41654.639999999999</v>
      </c>
      <c r="E1290" s="1">
        <v>0</v>
      </c>
      <c r="F1290" t="s">
        <v>1123</v>
      </c>
      <c r="G1290" t="str">
        <f>_xlfn.XLOOKUP(C1290,tblCOA[AccountNo],tblCOA[AccountName],"Unmapped")</f>
        <v>Accounts Receivable</v>
      </c>
      <c r="H1290" t="str">
        <f>_xlfn.XLOOKUP(C1290,tblCOA[AccountNo],tblCOA[Category],"Unmapped")</f>
        <v>Assets</v>
      </c>
      <c r="I1290" s="4">
        <f t="shared" si="60"/>
        <v>41654.639999999999</v>
      </c>
      <c r="J1290">
        <f t="shared" si="61"/>
        <v>2025</v>
      </c>
      <c r="K1290" s="5">
        <f t="shared" si="62"/>
        <v>45839</v>
      </c>
    </row>
    <row r="1291" spans="1:11" x14ac:dyDescent="0.25">
      <c r="A1291" t="s">
        <v>1124</v>
      </c>
      <c r="B1291" s="3">
        <v>45849</v>
      </c>
      <c r="C1291">
        <v>4010</v>
      </c>
      <c r="D1291" s="1">
        <v>0</v>
      </c>
      <c r="E1291" s="1">
        <v>41654.639999999999</v>
      </c>
      <c r="F1291" t="s">
        <v>1125</v>
      </c>
      <c r="G1291" t="str">
        <f>_xlfn.XLOOKUP(C1291,tblCOA[AccountNo],tblCOA[AccountName],"Unmapped")</f>
        <v>Product Sales</v>
      </c>
      <c r="H1291" t="str">
        <f>_xlfn.XLOOKUP(C1291,tblCOA[AccountNo],tblCOA[Category],"Unmapped")</f>
        <v>Revenue</v>
      </c>
      <c r="I1291" s="4">
        <f t="shared" si="60"/>
        <v>-41654.639999999999</v>
      </c>
      <c r="J1291">
        <f t="shared" si="61"/>
        <v>2025</v>
      </c>
      <c r="K1291" s="5">
        <f t="shared" si="62"/>
        <v>45839</v>
      </c>
    </row>
    <row r="1292" spans="1:11" x14ac:dyDescent="0.25">
      <c r="A1292" t="s">
        <v>1306</v>
      </c>
      <c r="B1292" s="3">
        <v>45849</v>
      </c>
      <c r="C1292">
        <v>1200</v>
      </c>
      <c r="D1292" s="1">
        <v>26184.11</v>
      </c>
      <c r="E1292" s="1">
        <v>0</v>
      </c>
      <c r="F1292" t="s">
        <v>1307</v>
      </c>
      <c r="G1292" t="str">
        <f>_xlfn.XLOOKUP(C1292,tblCOA[AccountNo],tblCOA[AccountName],"Unmapped")</f>
        <v>Accounts Receivable</v>
      </c>
      <c r="H1292" t="str">
        <f>_xlfn.XLOOKUP(C1292,tblCOA[AccountNo],tblCOA[Category],"Unmapped")</f>
        <v>Assets</v>
      </c>
      <c r="I1292" s="4">
        <f t="shared" si="60"/>
        <v>26184.11</v>
      </c>
      <c r="J1292">
        <f t="shared" si="61"/>
        <v>2025</v>
      </c>
      <c r="K1292" s="5">
        <f t="shared" si="62"/>
        <v>45839</v>
      </c>
    </row>
    <row r="1293" spans="1:11" x14ac:dyDescent="0.25">
      <c r="A1293" t="s">
        <v>1308</v>
      </c>
      <c r="B1293" s="3">
        <v>45849</v>
      </c>
      <c r="C1293">
        <v>4010</v>
      </c>
      <c r="D1293" s="1">
        <v>0</v>
      </c>
      <c r="E1293" s="1">
        <v>26184.11</v>
      </c>
      <c r="F1293" t="s">
        <v>1309</v>
      </c>
      <c r="G1293" t="str">
        <f>_xlfn.XLOOKUP(C1293,tblCOA[AccountNo],tblCOA[AccountName],"Unmapped")</f>
        <v>Product Sales</v>
      </c>
      <c r="H1293" t="str">
        <f>_xlfn.XLOOKUP(C1293,tblCOA[AccountNo],tblCOA[Category],"Unmapped")</f>
        <v>Revenue</v>
      </c>
      <c r="I1293" s="4">
        <f t="shared" si="60"/>
        <v>-26184.11</v>
      </c>
      <c r="J1293">
        <f t="shared" si="61"/>
        <v>2025</v>
      </c>
      <c r="K1293" s="5">
        <f t="shared" si="62"/>
        <v>45839</v>
      </c>
    </row>
    <row r="1294" spans="1:11" x14ac:dyDescent="0.25">
      <c r="A1294" t="s">
        <v>1046</v>
      </c>
      <c r="B1294" s="3">
        <v>45850</v>
      </c>
      <c r="C1294">
        <v>5010</v>
      </c>
      <c r="D1294" s="1">
        <v>6830.38</v>
      </c>
      <c r="E1294" s="1">
        <v>0</v>
      </c>
      <c r="F1294" t="s">
        <v>1047</v>
      </c>
      <c r="G1294" t="str">
        <f>_xlfn.XLOOKUP(C1294,tblCOA[AccountNo],tblCOA[AccountName],"Unmapped")</f>
        <v>Cost of Goods Sold</v>
      </c>
      <c r="H1294" t="str">
        <f>_xlfn.XLOOKUP(C1294,tblCOA[AccountNo],tblCOA[Category],"Unmapped")</f>
        <v>Expenses</v>
      </c>
      <c r="I1294" s="4">
        <f t="shared" si="60"/>
        <v>6830.38</v>
      </c>
      <c r="J1294">
        <f t="shared" si="61"/>
        <v>2025</v>
      </c>
      <c r="K1294" s="5">
        <f t="shared" si="62"/>
        <v>45839</v>
      </c>
    </row>
    <row r="1295" spans="1:11" x14ac:dyDescent="0.25">
      <c r="A1295" t="s">
        <v>1048</v>
      </c>
      <c r="B1295" s="3">
        <v>45850</v>
      </c>
      <c r="C1295">
        <v>2010</v>
      </c>
      <c r="D1295" s="1">
        <v>0</v>
      </c>
      <c r="E1295" s="1">
        <v>6830.38</v>
      </c>
      <c r="F1295" t="s">
        <v>1049</v>
      </c>
      <c r="G1295" t="str">
        <f>_xlfn.XLOOKUP(C1295,tblCOA[AccountNo],tblCOA[AccountName],"Unmapped")</f>
        <v>Accounts Payable</v>
      </c>
      <c r="H1295" t="str">
        <f>_xlfn.XLOOKUP(C1295,tblCOA[AccountNo],tblCOA[Category],"Unmapped")</f>
        <v>Liabilities</v>
      </c>
      <c r="I1295" s="4">
        <f t="shared" si="60"/>
        <v>-6830.38</v>
      </c>
      <c r="J1295">
        <f t="shared" si="61"/>
        <v>2025</v>
      </c>
      <c r="K1295" s="5">
        <f t="shared" si="62"/>
        <v>45839</v>
      </c>
    </row>
    <row r="1296" spans="1:11" x14ac:dyDescent="0.25">
      <c r="A1296" t="s">
        <v>1014</v>
      </c>
      <c r="B1296" s="3">
        <v>45852</v>
      </c>
      <c r="C1296">
        <v>5010</v>
      </c>
      <c r="D1296" s="1">
        <v>615.78</v>
      </c>
      <c r="E1296" s="1">
        <v>0</v>
      </c>
      <c r="F1296" t="s">
        <v>1015</v>
      </c>
      <c r="G1296" t="str">
        <f>_xlfn.XLOOKUP(C1296,tblCOA[AccountNo],tblCOA[AccountName],"Unmapped")</f>
        <v>Cost of Goods Sold</v>
      </c>
      <c r="H1296" t="str">
        <f>_xlfn.XLOOKUP(C1296,tblCOA[AccountNo],tblCOA[Category],"Unmapped")</f>
        <v>Expenses</v>
      </c>
      <c r="I1296" s="4">
        <f t="shared" si="60"/>
        <v>615.78</v>
      </c>
      <c r="J1296">
        <f t="shared" si="61"/>
        <v>2025</v>
      </c>
      <c r="K1296" s="5">
        <f t="shared" si="62"/>
        <v>45839</v>
      </c>
    </row>
    <row r="1297" spans="1:11" x14ac:dyDescent="0.25">
      <c r="A1297" t="s">
        <v>1016</v>
      </c>
      <c r="B1297" s="3">
        <v>45852</v>
      </c>
      <c r="C1297">
        <v>2010</v>
      </c>
      <c r="D1297" s="1">
        <v>0</v>
      </c>
      <c r="E1297" s="1">
        <v>615.78</v>
      </c>
      <c r="F1297" t="s">
        <v>1017</v>
      </c>
      <c r="G1297" t="str">
        <f>_xlfn.XLOOKUP(C1297,tblCOA[AccountNo],tblCOA[AccountName],"Unmapped")</f>
        <v>Accounts Payable</v>
      </c>
      <c r="H1297" t="str">
        <f>_xlfn.XLOOKUP(C1297,tblCOA[AccountNo],tblCOA[Category],"Unmapped")</f>
        <v>Liabilities</v>
      </c>
      <c r="I1297" s="4">
        <f t="shared" si="60"/>
        <v>-615.78</v>
      </c>
      <c r="J1297">
        <f t="shared" si="61"/>
        <v>2025</v>
      </c>
      <c r="K1297" s="5">
        <f t="shared" si="62"/>
        <v>45839</v>
      </c>
    </row>
    <row r="1298" spans="1:11" x14ac:dyDescent="0.25">
      <c r="A1298" t="s">
        <v>1058</v>
      </c>
      <c r="B1298" s="3">
        <v>45854</v>
      </c>
      <c r="C1298">
        <v>1200</v>
      </c>
      <c r="D1298" s="1">
        <v>35061.24</v>
      </c>
      <c r="E1298" s="1">
        <v>0</v>
      </c>
      <c r="F1298" t="s">
        <v>1059</v>
      </c>
      <c r="G1298" t="str">
        <f>_xlfn.XLOOKUP(C1298,tblCOA[AccountNo],tblCOA[AccountName],"Unmapped")</f>
        <v>Accounts Receivable</v>
      </c>
      <c r="H1298" t="str">
        <f>_xlfn.XLOOKUP(C1298,tblCOA[AccountNo],tblCOA[Category],"Unmapped")</f>
        <v>Assets</v>
      </c>
      <c r="I1298" s="4">
        <f t="shared" si="60"/>
        <v>35061.24</v>
      </c>
      <c r="J1298">
        <f t="shared" si="61"/>
        <v>2025</v>
      </c>
      <c r="K1298" s="5">
        <f t="shared" si="62"/>
        <v>45839</v>
      </c>
    </row>
    <row r="1299" spans="1:11" x14ac:dyDescent="0.25">
      <c r="A1299" t="s">
        <v>1060</v>
      </c>
      <c r="B1299" s="3">
        <v>45854</v>
      </c>
      <c r="C1299">
        <v>4010</v>
      </c>
      <c r="D1299" s="1">
        <v>0</v>
      </c>
      <c r="E1299" s="1">
        <v>35061.24</v>
      </c>
      <c r="F1299" t="s">
        <v>1061</v>
      </c>
      <c r="G1299" t="str">
        <f>_xlfn.XLOOKUP(C1299,tblCOA[AccountNo],tblCOA[AccountName],"Unmapped")</f>
        <v>Product Sales</v>
      </c>
      <c r="H1299" t="str">
        <f>_xlfn.XLOOKUP(C1299,tblCOA[AccountNo],tblCOA[Category],"Unmapped")</f>
        <v>Revenue</v>
      </c>
      <c r="I1299" s="4">
        <f t="shared" si="60"/>
        <v>-35061.24</v>
      </c>
      <c r="J1299">
        <f t="shared" si="61"/>
        <v>2025</v>
      </c>
      <c r="K1299" s="5">
        <f t="shared" si="62"/>
        <v>45839</v>
      </c>
    </row>
    <row r="1300" spans="1:11" x14ac:dyDescent="0.25">
      <c r="A1300" t="s">
        <v>1722</v>
      </c>
      <c r="B1300" s="3">
        <v>45854</v>
      </c>
      <c r="C1300">
        <v>1200</v>
      </c>
      <c r="D1300" s="1">
        <v>14532.28</v>
      </c>
      <c r="E1300" s="1">
        <v>0</v>
      </c>
      <c r="F1300" t="s">
        <v>1723</v>
      </c>
      <c r="G1300" t="str">
        <f>_xlfn.XLOOKUP(C1300,tblCOA[AccountNo],tblCOA[AccountName],"Unmapped")</f>
        <v>Accounts Receivable</v>
      </c>
      <c r="H1300" t="str">
        <f>_xlfn.XLOOKUP(C1300,tblCOA[AccountNo],tblCOA[Category],"Unmapped")</f>
        <v>Assets</v>
      </c>
      <c r="I1300" s="4">
        <f t="shared" si="60"/>
        <v>14532.28</v>
      </c>
      <c r="J1300">
        <f t="shared" si="61"/>
        <v>2025</v>
      </c>
      <c r="K1300" s="5">
        <f t="shared" si="62"/>
        <v>45839</v>
      </c>
    </row>
    <row r="1301" spans="1:11" x14ac:dyDescent="0.25">
      <c r="A1301" t="s">
        <v>1724</v>
      </c>
      <c r="B1301" s="3">
        <v>45854</v>
      </c>
      <c r="C1301">
        <v>4010</v>
      </c>
      <c r="D1301" s="1">
        <v>0</v>
      </c>
      <c r="E1301" s="1">
        <v>14532.28</v>
      </c>
      <c r="F1301" t="s">
        <v>1725</v>
      </c>
      <c r="G1301" t="str">
        <f>_xlfn.XLOOKUP(C1301,tblCOA[AccountNo],tblCOA[AccountName],"Unmapped")</f>
        <v>Product Sales</v>
      </c>
      <c r="H1301" t="str">
        <f>_xlfn.XLOOKUP(C1301,tblCOA[AccountNo],tblCOA[Category],"Unmapped")</f>
        <v>Revenue</v>
      </c>
      <c r="I1301" s="4">
        <f t="shared" si="60"/>
        <v>-14532.28</v>
      </c>
      <c r="J1301">
        <f t="shared" si="61"/>
        <v>2025</v>
      </c>
      <c r="K1301" s="5">
        <f t="shared" si="62"/>
        <v>45839</v>
      </c>
    </row>
    <row r="1302" spans="1:11" x14ac:dyDescent="0.25">
      <c r="A1302" t="s">
        <v>1462</v>
      </c>
      <c r="B1302" s="3">
        <v>45856</v>
      </c>
      <c r="C1302">
        <v>5010</v>
      </c>
      <c r="D1302" s="1">
        <v>1712</v>
      </c>
      <c r="E1302" s="1">
        <v>0</v>
      </c>
      <c r="F1302" t="s">
        <v>1463</v>
      </c>
      <c r="G1302" t="str">
        <f>_xlfn.XLOOKUP(C1302,tblCOA[AccountNo],tblCOA[AccountName],"Unmapped")</f>
        <v>Cost of Goods Sold</v>
      </c>
      <c r="H1302" t="str">
        <f>_xlfn.XLOOKUP(C1302,tblCOA[AccountNo],tblCOA[Category],"Unmapped")</f>
        <v>Expenses</v>
      </c>
      <c r="I1302" s="4">
        <f t="shared" si="60"/>
        <v>1712</v>
      </c>
      <c r="J1302">
        <f t="shared" si="61"/>
        <v>2025</v>
      </c>
      <c r="K1302" s="5">
        <f t="shared" si="62"/>
        <v>45839</v>
      </c>
    </row>
    <row r="1303" spans="1:11" x14ac:dyDescent="0.25">
      <c r="A1303" t="s">
        <v>1464</v>
      </c>
      <c r="B1303" s="3">
        <v>45856</v>
      </c>
      <c r="C1303">
        <v>2010</v>
      </c>
      <c r="D1303" s="1">
        <v>0</v>
      </c>
      <c r="E1303" s="1">
        <v>1712</v>
      </c>
      <c r="F1303" t="s">
        <v>1465</v>
      </c>
      <c r="G1303" t="str">
        <f>_xlfn.XLOOKUP(C1303,tblCOA[AccountNo],tblCOA[AccountName],"Unmapped")</f>
        <v>Accounts Payable</v>
      </c>
      <c r="H1303" t="str">
        <f>_xlfn.XLOOKUP(C1303,tblCOA[AccountNo],tblCOA[Category],"Unmapped")</f>
        <v>Liabilities</v>
      </c>
      <c r="I1303" s="4">
        <f t="shared" si="60"/>
        <v>-1712</v>
      </c>
      <c r="J1303">
        <f t="shared" si="61"/>
        <v>2025</v>
      </c>
      <c r="K1303" s="5">
        <f t="shared" si="62"/>
        <v>45839</v>
      </c>
    </row>
    <row r="1304" spans="1:11" x14ac:dyDescent="0.25">
      <c r="A1304" t="s">
        <v>430</v>
      </c>
      <c r="B1304" s="3">
        <v>45857</v>
      </c>
      <c r="C1304">
        <v>5010</v>
      </c>
      <c r="D1304" s="1">
        <v>17782.71</v>
      </c>
      <c r="E1304" s="1">
        <v>0</v>
      </c>
      <c r="F1304" t="s">
        <v>431</v>
      </c>
      <c r="G1304" t="str">
        <f>_xlfn.XLOOKUP(C1304,tblCOA[AccountNo],tblCOA[AccountName],"Unmapped")</f>
        <v>Cost of Goods Sold</v>
      </c>
      <c r="H1304" t="str">
        <f>_xlfn.XLOOKUP(C1304,tblCOA[AccountNo],tblCOA[Category],"Unmapped")</f>
        <v>Expenses</v>
      </c>
      <c r="I1304" s="4">
        <f t="shared" si="60"/>
        <v>17782.71</v>
      </c>
      <c r="J1304">
        <f t="shared" si="61"/>
        <v>2025</v>
      </c>
      <c r="K1304" s="5">
        <f t="shared" si="62"/>
        <v>45839</v>
      </c>
    </row>
    <row r="1305" spans="1:11" x14ac:dyDescent="0.25">
      <c r="A1305" t="s">
        <v>432</v>
      </c>
      <c r="B1305" s="3">
        <v>45857</v>
      </c>
      <c r="C1305">
        <v>2010</v>
      </c>
      <c r="D1305" s="1">
        <v>0</v>
      </c>
      <c r="E1305" s="1">
        <v>17782.71</v>
      </c>
      <c r="F1305" t="s">
        <v>433</v>
      </c>
      <c r="G1305" t="str">
        <f>_xlfn.XLOOKUP(C1305,tblCOA[AccountNo],tblCOA[AccountName],"Unmapped")</f>
        <v>Accounts Payable</v>
      </c>
      <c r="H1305" t="str">
        <f>_xlfn.XLOOKUP(C1305,tblCOA[AccountNo],tblCOA[Category],"Unmapped")</f>
        <v>Liabilities</v>
      </c>
      <c r="I1305" s="4">
        <f t="shared" si="60"/>
        <v>-17782.71</v>
      </c>
      <c r="J1305">
        <f t="shared" si="61"/>
        <v>2025</v>
      </c>
      <c r="K1305" s="5">
        <f t="shared" si="62"/>
        <v>45839</v>
      </c>
    </row>
    <row r="1306" spans="1:11" x14ac:dyDescent="0.25">
      <c r="A1306" t="s">
        <v>1970</v>
      </c>
      <c r="B1306" s="3">
        <v>45860</v>
      </c>
      <c r="C1306">
        <v>1200</v>
      </c>
      <c r="D1306" s="1">
        <v>4201.04</v>
      </c>
      <c r="E1306" s="1">
        <v>0</v>
      </c>
      <c r="F1306" t="s">
        <v>1971</v>
      </c>
      <c r="G1306" t="str">
        <f>_xlfn.XLOOKUP(C1306,tblCOA[AccountNo],tblCOA[AccountName],"Unmapped")</f>
        <v>Accounts Receivable</v>
      </c>
      <c r="H1306" t="str">
        <f>_xlfn.XLOOKUP(C1306,tblCOA[AccountNo],tblCOA[Category],"Unmapped")</f>
        <v>Assets</v>
      </c>
      <c r="I1306" s="4">
        <f t="shared" si="60"/>
        <v>4201.04</v>
      </c>
      <c r="J1306">
        <f t="shared" si="61"/>
        <v>2025</v>
      </c>
      <c r="K1306" s="5">
        <f t="shared" si="62"/>
        <v>45839</v>
      </c>
    </row>
    <row r="1307" spans="1:11" x14ac:dyDescent="0.25">
      <c r="A1307" t="s">
        <v>1972</v>
      </c>
      <c r="B1307" s="3">
        <v>45860</v>
      </c>
      <c r="C1307">
        <v>4010</v>
      </c>
      <c r="D1307" s="1">
        <v>0</v>
      </c>
      <c r="E1307" s="1">
        <v>4201.04</v>
      </c>
      <c r="F1307" t="s">
        <v>1973</v>
      </c>
      <c r="G1307" t="str">
        <f>_xlfn.XLOOKUP(C1307,tblCOA[AccountNo],tblCOA[AccountName],"Unmapped")</f>
        <v>Product Sales</v>
      </c>
      <c r="H1307" t="str">
        <f>_xlfn.XLOOKUP(C1307,tblCOA[AccountNo],tblCOA[Category],"Unmapped")</f>
        <v>Revenue</v>
      </c>
      <c r="I1307" s="4">
        <f t="shared" si="60"/>
        <v>-4201.04</v>
      </c>
      <c r="J1307">
        <f t="shared" si="61"/>
        <v>2025</v>
      </c>
      <c r="K1307" s="5">
        <f t="shared" si="62"/>
        <v>45839</v>
      </c>
    </row>
    <row r="1308" spans="1:11" x14ac:dyDescent="0.25">
      <c r="A1308" t="s">
        <v>1842</v>
      </c>
      <c r="B1308" s="3">
        <v>45861</v>
      </c>
      <c r="C1308">
        <v>1200</v>
      </c>
      <c r="D1308" s="1">
        <v>37331.65</v>
      </c>
      <c r="E1308" s="1">
        <v>0</v>
      </c>
      <c r="F1308" t="s">
        <v>1843</v>
      </c>
      <c r="G1308" t="str">
        <f>_xlfn.XLOOKUP(C1308,tblCOA[AccountNo],tblCOA[AccountName],"Unmapped")</f>
        <v>Accounts Receivable</v>
      </c>
      <c r="H1308" t="str">
        <f>_xlfn.XLOOKUP(C1308,tblCOA[AccountNo],tblCOA[Category],"Unmapped")</f>
        <v>Assets</v>
      </c>
      <c r="I1308" s="4">
        <f t="shared" si="60"/>
        <v>37331.65</v>
      </c>
      <c r="J1308">
        <f t="shared" si="61"/>
        <v>2025</v>
      </c>
      <c r="K1308" s="5">
        <f t="shared" si="62"/>
        <v>45839</v>
      </c>
    </row>
    <row r="1309" spans="1:11" x14ac:dyDescent="0.25">
      <c r="A1309" t="s">
        <v>1844</v>
      </c>
      <c r="B1309" s="3">
        <v>45861</v>
      </c>
      <c r="C1309">
        <v>4010</v>
      </c>
      <c r="D1309" s="1">
        <v>0</v>
      </c>
      <c r="E1309" s="1">
        <v>37331.65</v>
      </c>
      <c r="F1309" t="s">
        <v>1845</v>
      </c>
      <c r="G1309" t="str">
        <f>_xlfn.XLOOKUP(C1309,tblCOA[AccountNo],tblCOA[AccountName],"Unmapped")</f>
        <v>Product Sales</v>
      </c>
      <c r="H1309" t="str">
        <f>_xlfn.XLOOKUP(C1309,tblCOA[AccountNo],tblCOA[Category],"Unmapped")</f>
        <v>Revenue</v>
      </c>
      <c r="I1309" s="4">
        <f t="shared" si="60"/>
        <v>-37331.65</v>
      </c>
      <c r="J1309">
        <f t="shared" si="61"/>
        <v>2025</v>
      </c>
      <c r="K1309" s="5">
        <f t="shared" si="62"/>
        <v>45839</v>
      </c>
    </row>
    <row r="1310" spans="1:11" x14ac:dyDescent="0.25">
      <c r="A1310" t="s">
        <v>1726</v>
      </c>
      <c r="B1310" s="3">
        <v>45862</v>
      </c>
      <c r="C1310">
        <v>5010</v>
      </c>
      <c r="D1310" s="1">
        <v>3460.89</v>
      </c>
      <c r="E1310" s="1">
        <v>0</v>
      </c>
      <c r="F1310" t="s">
        <v>1727</v>
      </c>
      <c r="G1310" t="str">
        <f>_xlfn.XLOOKUP(C1310,tblCOA[AccountNo],tblCOA[AccountName],"Unmapped")</f>
        <v>Cost of Goods Sold</v>
      </c>
      <c r="H1310" t="str">
        <f>_xlfn.XLOOKUP(C1310,tblCOA[AccountNo],tblCOA[Category],"Unmapped")</f>
        <v>Expenses</v>
      </c>
      <c r="I1310" s="4">
        <f t="shared" si="60"/>
        <v>3460.89</v>
      </c>
      <c r="J1310">
        <f t="shared" si="61"/>
        <v>2025</v>
      </c>
      <c r="K1310" s="5">
        <f t="shared" si="62"/>
        <v>45839</v>
      </c>
    </row>
    <row r="1311" spans="1:11" x14ac:dyDescent="0.25">
      <c r="A1311" t="s">
        <v>1728</v>
      </c>
      <c r="B1311" s="3">
        <v>45862</v>
      </c>
      <c r="C1311">
        <v>2010</v>
      </c>
      <c r="D1311" s="1">
        <v>0</v>
      </c>
      <c r="E1311" s="1">
        <v>3460.89</v>
      </c>
      <c r="F1311" t="s">
        <v>1729</v>
      </c>
      <c r="G1311" t="str">
        <f>_xlfn.XLOOKUP(C1311,tblCOA[AccountNo],tblCOA[AccountName],"Unmapped")</f>
        <v>Accounts Payable</v>
      </c>
      <c r="H1311" t="str">
        <f>_xlfn.XLOOKUP(C1311,tblCOA[AccountNo],tblCOA[Category],"Unmapped")</f>
        <v>Liabilities</v>
      </c>
      <c r="I1311" s="4">
        <f t="shared" si="60"/>
        <v>-3460.89</v>
      </c>
      <c r="J1311">
        <f t="shared" si="61"/>
        <v>2025</v>
      </c>
      <c r="K1311" s="5">
        <f t="shared" si="62"/>
        <v>45839</v>
      </c>
    </row>
    <row r="1312" spans="1:11" x14ac:dyDescent="0.25">
      <c r="A1312" t="s">
        <v>2218</v>
      </c>
      <c r="B1312" s="3">
        <v>45865</v>
      </c>
      <c r="C1312">
        <v>1200</v>
      </c>
      <c r="D1312" s="1">
        <v>14850.69</v>
      </c>
      <c r="E1312" s="1">
        <v>0</v>
      </c>
      <c r="F1312" t="s">
        <v>2219</v>
      </c>
      <c r="G1312" t="str">
        <f>_xlfn.XLOOKUP(C1312,tblCOA[AccountNo],tblCOA[AccountName],"Unmapped")</f>
        <v>Accounts Receivable</v>
      </c>
      <c r="H1312" t="str">
        <f>_xlfn.XLOOKUP(C1312,tblCOA[AccountNo],tblCOA[Category],"Unmapped")</f>
        <v>Assets</v>
      </c>
      <c r="I1312" s="4">
        <f t="shared" si="60"/>
        <v>14850.69</v>
      </c>
      <c r="J1312">
        <f t="shared" si="61"/>
        <v>2025</v>
      </c>
      <c r="K1312" s="5">
        <f t="shared" si="62"/>
        <v>45839</v>
      </c>
    </row>
    <row r="1313" spans="1:11" x14ac:dyDescent="0.25">
      <c r="A1313" t="s">
        <v>2220</v>
      </c>
      <c r="B1313" s="3">
        <v>45865</v>
      </c>
      <c r="C1313">
        <v>4010</v>
      </c>
      <c r="D1313" s="1">
        <v>0</v>
      </c>
      <c r="E1313" s="1">
        <v>14850.69</v>
      </c>
      <c r="F1313" t="s">
        <v>2221</v>
      </c>
      <c r="G1313" t="str">
        <f>_xlfn.XLOOKUP(C1313,tblCOA[AccountNo],tblCOA[AccountName],"Unmapped")</f>
        <v>Product Sales</v>
      </c>
      <c r="H1313" t="str">
        <f>_xlfn.XLOOKUP(C1313,tblCOA[AccountNo],tblCOA[Category],"Unmapped")</f>
        <v>Revenue</v>
      </c>
      <c r="I1313" s="4">
        <f t="shared" si="60"/>
        <v>-14850.69</v>
      </c>
      <c r="J1313">
        <f t="shared" si="61"/>
        <v>2025</v>
      </c>
      <c r="K1313" s="5">
        <f t="shared" si="62"/>
        <v>45839</v>
      </c>
    </row>
    <row r="1314" spans="1:11" x14ac:dyDescent="0.25">
      <c r="A1314" t="s">
        <v>3362</v>
      </c>
      <c r="B1314" s="3">
        <v>45866</v>
      </c>
      <c r="C1314">
        <v>1200</v>
      </c>
      <c r="D1314" s="1">
        <v>30141.59</v>
      </c>
      <c r="E1314" s="1">
        <v>0</v>
      </c>
      <c r="F1314" t="s">
        <v>3363</v>
      </c>
      <c r="G1314" t="str">
        <f>_xlfn.XLOOKUP(C1314,tblCOA[AccountNo],tblCOA[AccountName],"Unmapped")</f>
        <v>Accounts Receivable</v>
      </c>
      <c r="H1314" t="str">
        <f>_xlfn.XLOOKUP(C1314,tblCOA[AccountNo],tblCOA[Category],"Unmapped")</f>
        <v>Assets</v>
      </c>
      <c r="I1314" s="4">
        <f t="shared" si="60"/>
        <v>30141.59</v>
      </c>
      <c r="J1314">
        <f t="shared" si="61"/>
        <v>2025</v>
      </c>
      <c r="K1314" s="5">
        <f t="shared" si="62"/>
        <v>45839</v>
      </c>
    </row>
    <row r="1315" spans="1:11" x14ac:dyDescent="0.25">
      <c r="A1315" t="s">
        <v>3364</v>
      </c>
      <c r="B1315" s="3">
        <v>45866</v>
      </c>
      <c r="C1315">
        <v>4010</v>
      </c>
      <c r="D1315" s="1">
        <v>0</v>
      </c>
      <c r="E1315" s="1">
        <v>30141.59</v>
      </c>
      <c r="F1315" t="s">
        <v>3365</v>
      </c>
      <c r="G1315" t="str">
        <f>_xlfn.XLOOKUP(C1315,tblCOA[AccountNo],tblCOA[AccountName],"Unmapped")</f>
        <v>Product Sales</v>
      </c>
      <c r="H1315" t="str">
        <f>_xlfn.XLOOKUP(C1315,tblCOA[AccountNo],tblCOA[Category],"Unmapped")</f>
        <v>Revenue</v>
      </c>
      <c r="I1315" s="4">
        <f t="shared" si="60"/>
        <v>-30141.59</v>
      </c>
      <c r="J1315">
        <f t="shared" si="61"/>
        <v>2025</v>
      </c>
      <c r="K1315" s="5">
        <f t="shared" si="62"/>
        <v>45839</v>
      </c>
    </row>
    <row r="1316" spans="1:11" x14ac:dyDescent="0.25">
      <c r="A1316" t="s">
        <v>630</v>
      </c>
      <c r="B1316" s="3">
        <v>45866</v>
      </c>
      <c r="C1316">
        <v>5010</v>
      </c>
      <c r="D1316" s="1">
        <v>11128.94</v>
      </c>
      <c r="E1316" s="1">
        <v>0</v>
      </c>
      <c r="F1316" t="s">
        <v>631</v>
      </c>
      <c r="G1316" t="str">
        <f>_xlfn.XLOOKUP(C1316,tblCOA[AccountNo],tblCOA[AccountName],"Unmapped")</f>
        <v>Cost of Goods Sold</v>
      </c>
      <c r="H1316" t="str">
        <f>_xlfn.XLOOKUP(C1316,tblCOA[AccountNo],tblCOA[Category],"Unmapped")</f>
        <v>Expenses</v>
      </c>
      <c r="I1316" s="4">
        <f t="shared" si="60"/>
        <v>11128.94</v>
      </c>
      <c r="J1316">
        <f t="shared" si="61"/>
        <v>2025</v>
      </c>
      <c r="K1316" s="5">
        <f t="shared" si="62"/>
        <v>45839</v>
      </c>
    </row>
    <row r="1317" spans="1:11" x14ac:dyDescent="0.25">
      <c r="A1317" t="s">
        <v>632</v>
      </c>
      <c r="B1317" s="3">
        <v>45866</v>
      </c>
      <c r="C1317">
        <v>2010</v>
      </c>
      <c r="D1317" s="1">
        <v>0</v>
      </c>
      <c r="E1317" s="1">
        <v>11128.94</v>
      </c>
      <c r="F1317" t="s">
        <v>633</v>
      </c>
      <c r="G1317" t="str">
        <f>_xlfn.XLOOKUP(C1317,tblCOA[AccountNo],tblCOA[AccountName],"Unmapped")</f>
        <v>Accounts Payable</v>
      </c>
      <c r="H1317" t="str">
        <f>_xlfn.XLOOKUP(C1317,tblCOA[AccountNo],tblCOA[Category],"Unmapped")</f>
        <v>Liabilities</v>
      </c>
      <c r="I1317" s="4">
        <f t="shared" si="60"/>
        <v>-11128.94</v>
      </c>
      <c r="J1317">
        <f t="shared" si="61"/>
        <v>2025</v>
      </c>
      <c r="K1317" s="5">
        <f t="shared" si="62"/>
        <v>45839</v>
      </c>
    </row>
    <row r="1318" spans="1:11" x14ac:dyDescent="0.25">
      <c r="A1318" t="s">
        <v>2618</v>
      </c>
      <c r="B1318" s="3">
        <v>45870</v>
      </c>
      <c r="C1318">
        <v>1200</v>
      </c>
      <c r="D1318" s="1">
        <v>12799.54</v>
      </c>
      <c r="E1318" s="1">
        <v>0</v>
      </c>
      <c r="F1318" t="s">
        <v>2619</v>
      </c>
      <c r="G1318" t="str">
        <f>_xlfn.XLOOKUP(C1318,tblCOA[AccountNo],tblCOA[AccountName],"Unmapped")</f>
        <v>Accounts Receivable</v>
      </c>
      <c r="H1318" t="str">
        <f>_xlfn.XLOOKUP(C1318,tblCOA[AccountNo],tblCOA[Category],"Unmapped")</f>
        <v>Assets</v>
      </c>
      <c r="I1318" s="4">
        <f t="shared" si="60"/>
        <v>12799.54</v>
      </c>
      <c r="J1318">
        <f t="shared" si="61"/>
        <v>2025</v>
      </c>
      <c r="K1318" s="5">
        <f t="shared" si="62"/>
        <v>45870</v>
      </c>
    </row>
    <row r="1319" spans="1:11" x14ac:dyDescent="0.25">
      <c r="A1319" t="s">
        <v>2620</v>
      </c>
      <c r="B1319" s="3">
        <v>45870</v>
      </c>
      <c r="C1319">
        <v>4010</v>
      </c>
      <c r="D1319" s="1">
        <v>0</v>
      </c>
      <c r="E1319" s="1">
        <v>12799.54</v>
      </c>
      <c r="F1319" t="s">
        <v>2621</v>
      </c>
      <c r="G1319" t="str">
        <f>_xlfn.XLOOKUP(C1319,tblCOA[AccountNo],tblCOA[AccountName],"Unmapped")</f>
        <v>Product Sales</v>
      </c>
      <c r="H1319" t="str">
        <f>_xlfn.XLOOKUP(C1319,tblCOA[AccountNo],tblCOA[Category],"Unmapped")</f>
        <v>Revenue</v>
      </c>
      <c r="I1319" s="4">
        <f t="shared" si="60"/>
        <v>-12799.54</v>
      </c>
      <c r="J1319">
        <f t="shared" si="61"/>
        <v>2025</v>
      </c>
      <c r="K1319" s="5">
        <f t="shared" si="62"/>
        <v>45870</v>
      </c>
    </row>
    <row r="1320" spans="1:11" x14ac:dyDescent="0.25">
      <c r="A1320" t="s">
        <v>2582</v>
      </c>
      <c r="B1320" s="3">
        <v>45874</v>
      </c>
      <c r="C1320">
        <v>5010</v>
      </c>
      <c r="D1320" s="1">
        <v>12514.04</v>
      </c>
      <c r="E1320" s="1">
        <v>0</v>
      </c>
      <c r="F1320" t="s">
        <v>2583</v>
      </c>
      <c r="G1320" t="str">
        <f>_xlfn.XLOOKUP(C1320,tblCOA[AccountNo],tblCOA[AccountName],"Unmapped")</f>
        <v>Cost of Goods Sold</v>
      </c>
      <c r="H1320" t="str">
        <f>_xlfn.XLOOKUP(C1320,tblCOA[AccountNo],tblCOA[Category],"Unmapped")</f>
        <v>Expenses</v>
      </c>
      <c r="I1320" s="4">
        <f t="shared" si="60"/>
        <v>12514.04</v>
      </c>
      <c r="J1320">
        <f t="shared" si="61"/>
        <v>2025</v>
      </c>
      <c r="K1320" s="5">
        <f t="shared" si="62"/>
        <v>45870</v>
      </c>
    </row>
    <row r="1321" spans="1:11" x14ac:dyDescent="0.25">
      <c r="A1321" t="s">
        <v>2584</v>
      </c>
      <c r="B1321" s="3">
        <v>45874</v>
      </c>
      <c r="C1321">
        <v>2010</v>
      </c>
      <c r="D1321" s="1">
        <v>0</v>
      </c>
      <c r="E1321" s="1">
        <v>12514.04</v>
      </c>
      <c r="F1321" t="s">
        <v>2585</v>
      </c>
      <c r="G1321" t="str">
        <f>_xlfn.XLOOKUP(C1321,tblCOA[AccountNo],tblCOA[AccountName],"Unmapped")</f>
        <v>Accounts Payable</v>
      </c>
      <c r="H1321" t="str">
        <f>_xlfn.XLOOKUP(C1321,tblCOA[AccountNo],tblCOA[Category],"Unmapped")</f>
        <v>Liabilities</v>
      </c>
      <c r="I1321" s="4">
        <f t="shared" si="60"/>
        <v>-12514.04</v>
      </c>
      <c r="J1321">
        <f t="shared" si="61"/>
        <v>2025</v>
      </c>
      <c r="K1321" s="5">
        <f t="shared" si="62"/>
        <v>45870</v>
      </c>
    </row>
    <row r="1322" spans="1:11" x14ac:dyDescent="0.25">
      <c r="A1322" t="s">
        <v>3626</v>
      </c>
      <c r="B1322" s="3">
        <v>45874</v>
      </c>
      <c r="C1322">
        <v>1200</v>
      </c>
      <c r="D1322" s="1">
        <v>26046.400000000001</v>
      </c>
      <c r="E1322" s="1">
        <v>0</v>
      </c>
      <c r="F1322" t="s">
        <v>3627</v>
      </c>
      <c r="G1322" t="str">
        <f>_xlfn.XLOOKUP(C1322,tblCOA[AccountNo],tblCOA[AccountName],"Unmapped")</f>
        <v>Accounts Receivable</v>
      </c>
      <c r="H1322" t="str">
        <f>_xlfn.XLOOKUP(C1322,tblCOA[AccountNo],tblCOA[Category],"Unmapped")</f>
        <v>Assets</v>
      </c>
      <c r="I1322" s="4">
        <f t="shared" si="60"/>
        <v>26046.400000000001</v>
      </c>
      <c r="J1322">
        <f t="shared" si="61"/>
        <v>2025</v>
      </c>
      <c r="K1322" s="5">
        <f t="shared" si="62"/>
        <v>45870</v>
      </c>
    </row>
    <row r="1323" spans="1:11" x14ac:dyDescent="0.25">
      <c r="A1323" t="s">
        <v>3628</v>
      </c>
      <c r="B1323" s="3">
        <v>45874</v>
      </c>
      <c r="C1323">
        <v>4010</v>
      </c>
      <c r="D1323" s="1">
        <v>0</v>
      </c>
      <c r="E1323" s="1">
        <v>26046.400000000001</v>
      </c>
      <c r="F1323" t="s">
        <v>3629</v>
      </c>
      <c r="G1323" t="str">
        <f>_xlfn.XLOOKUP(C1323,tblCOA[AccountNo],tblCOA[AccountName],"Unmapped")</f>
        <v>Product Sales</v>
      </c>
      <c r="H1323" t="str">
        <f>_xlfn.XLOOKUP(C1323,tblCOA[AccountNo],tblCOA[Category],"Unmapped")</f>
        <v>Revenue</v>
      </c>
      <c r="I1323" s="4">
        <f t="shared" si="60"/>
        <v>-26046.400000000001</v>
      </c>
      <c r="J1323">
        <f t="shared" si="61"/>
        <v>2025</v>
      </c>
      <c r="K1323" s="5">
        <f t="shared" si="62"/>
        <v>45870</v>
      </c>
    </row>
    <row r="1324" spans="1:11" x14ac:dyDescent="0.25">
      <c r="A1324" t="s">
        <v>662</v>
      </c>
      <c r="B1324" s="3">
        <v>45877</v>
      </c>
      <c r="C1324">
        <v>5010</v>
      </c>
      <c r="D1324" s="1">
        <v>11614.68</v>
      </c>
      <c r="E1324" s="1">
        <v>0</v>
      </c>
      <c r="F1324" t="s">
        <v>663</v>
      </c>
      <c r="G1324" t="str">
        <f>_xlfn.XLOOKUP(C1324,tblCOA[AccountNo],tblCOA[AccountName],"Unmapped")</f>
        <v>Cost of Goods Sold</v>
      </c>
      <c r="H1324" t="str">
        <f>_xlfn.XLOOKUP(C1324,tblCOA[AccountNo],tblCOA[Category],"Unmapped")</f>
        <v>Expenses</v>
      </c>
      <c r="I1324" s="4">
        <f t="shared" si="60"/>
        <v>11614.68</v>
      </c>
      <c r="J1324">
        <f t="shared" si="61"/>
        <v>2025</v>
      </c>
      <c r="K1324" s="5">
        <f t="shared" si="62"/>
        <v>45870</v>
      </c>
    </row>
    <row r="1325" spans="1:11" x14ac:dyDescent="0.25">
      <c r="A1325" t="s">
        <v>664</v>
      </c>
      <c r="B1325" s="3">
        <v>45877</v>
      </c>
      <c r="C1325">
        <v>2010</v>
      </c>
      <c r="D1325" s="1">
        <v>0</v>
      </c>
      <c r="E1325" s="1">
        <v>11614.68</v>
      </c>
      <c r="F1325" t="s">
        <v>665</v>
      </c>
      <c r="G1325" t="str">
        <f>_xlfn.XLOOKUP(C1325,tblCOA[AccountNo],tblCOA[AccountName],"Unmapped")</f>
        <v>Accounts Payable</v>
      </c>
      <c r="H1325" t="str">
        <f>_xlfn.XLOOKUP(C1325,tblCOA[AccountNo],tblCOA[Category],"Unmapped")</f>
        <v>Liabilities</v>
      </c>
      <c r="I1325" s="4">
        <f t="shared" si="60"/>
        <v>-11614.68</v>
      </c>
      <c r="J1325">
        <f t="shared" si="61"/>
        <v>2025</v>
      </c>
      <c r="K1325" s="5">
        <f t="shared" si="62"/>
        <v>45870</v>
      </c>
    </row>
    <row r="1326" spans="1:11" x14ac:dyDescent="0.25">
      <c r="A1326" t="s">
        <v>294</v>
      </c>
      <c r="B1326" s="3">
        <v>45878</v>
      </c>
      <c r="C1326">
        <v>5010</v>
      </c>
      <c r="D1326" s="1">
        <v>15109.44</v>
      </c>
      <c r="E1326" s="1">
        <v>0</v>
      </c>
      <c r="F1326" t="s">
        <v>295</v>
      </c>
      <c r="G1326" t="str">
        <f>_xlfn.XLOOKUP(C1326,tblCOA[AccountNo],tblCOA[AccountName],"Unmapped")</f>
        <v>Cost of Goods Sold</v>
      </c>
      <c r="H1326" t="str">
        <f>_xlfn.XLOOKUP(C1326,tblCOA[AccountNo],tblCOA[Category],"Unmapped")</f>
        <v>Expenses</v>
      </c>
      <c r="I1326" s="4">
        <f t="shared" si="60"/>
        <v>15109.44</v>
      </c>
      <c r="J1326">
        <f t="shared" si="61"/>
        <v>2025</v>
      </c>
      <c r="K1326" s="5">
        <f t="shared" si="62"/>
        <v>45870</v>
      </c>
    </row>
    <row r="1327" spans="1:11" x14ac:dyDescent="0.25">
      <c r="A1327" t="s">
        <v>296</v>
      </c>
      <c r="B1327" s="3">
        <v>45878</v>
      </c>
      <c r="C1327">
        <v>2010</v>
      </c>
      <c r="D1327" s="1">
        <v>0</v>
      </c>
      <c r="E1327" s="1">
        <v>15109.44</v>
      </c>
      <c r="F1327" t="s">
        <v>297</v>
      </c>
      <c r="G1327" t="str">
        <f>_xlfn.XLOOKUP(C1327,tblCOA[AccountNo],tblCOA[AccountName],"Unmapped")</f>
        <v>Accounts Payable</v>
      </c>
      <c r="H1327" t="str">
        <f>_xlfn.XLOOKUP(C1327,tblCOA[AccountNo],tblCOA[Category],"Unmapped")</f>
        <v>Liabilities</v>
      </c>
      <c r="I1327" s="4">
        <f t="shared" si="60"/>
        <v>-15109.44</v>
      </c>
      <c r="J1327">
        <f t="shared" si="61"/>
        <v>2025</v>
      </c>
      <c r="K1327" s="5">
        <f t="shared" si="62"/>
        <v>45870</v>
      </c>
    </row>
    <row r="1328" spans="1:11" x14ac:dyDescent="0.25">
      <c r="A1328" t="s">
        <v>2458</v>
      </c>
      <c r="B1328" s="3">
        <v>45879</v>
      </c>
      <c r="C1328">
        <v>1200</v>
      </c>
      <c r="D1328" s="1">
        <v>28300.26</v>
      </c>
      <c r="E1328" s="1">
        <v>0</v>
      </c>
      <c r="F1328" t="s">
        <v>2459</v>
      </c>
      <c r="G1328" t="str">
        <f>_xlfn.XLOOKUP(C1328,tblCOA[AccountNo],tblCOA[AccountName],"Unmapped")</f>
        <v>Accounts Receivable</v>
      </c>
      <c r="H1328" t="str">
        <f>_xlfn.XLOOKUP(C1328,tblCOA[AccountNo],tblCOA[Category],"Unmapped")</f>
        <v>Assets</v>
      </c>
      <c r="I1328" s="4">
        <f t="shared" si="60"/>
        <v>28300.26</v>
      </c>
      <c r="J1328">
        <f t="shared" si="61"/>
        <v>2025</v>
      </c>
      <c r="K1328" s="5">
        <f t="shared" si="62"/>
        <v>45870</v>
      </c>
    </row>
    <row r="1329" spans="1:11" x14ac:dyDescent="0.25">
      <c r="A1329" t="s">
        <v>2460</v>
      </c>
      <c r="B1329" s="3">
        <v>45879</v>
      </c>
      <c r="C1329">
        <v>4010</v>
      </c>
      <c r="D1329" s="1">
        <v>0</v>
      </c>
      <c r="E1329" s="1">
        <v>28300.26</v>
      </c>
      <c r="F1329" t="s">
        <v>2461</v>
      </c>
      <c r="G1329" t="str">
        <f>_xlfn.XLOOKUP(C1329,tblCOA[AccountNo],tblCOA[AccountName],"Unmapped")</f>
        <v>Product Sales</v>
      </c>
      <c r="H1329" t="str">
        <f>_xlfn.XLOOKUP(C1329,tblCOA[AccountNo],tblCOA[Category],"Unmapped")</f>
        <v>Revenue</v>
      </c>
      <c r="I1329" s="4">
        <f t="shared" si="60"/>
        <v>-28300.26</v>
      </c>
      <c r="J1329">
        <f t="shared" si="61"/>
        <v>2025</v>
      </c>
      <c r="K1329" s="5">
        <f t="shared" si="62"/>
        <v>45870</v>
      </c>
    </row>
    <row r="1330" spans="1:11" x14ac:dyDescent="0.25">
      <c r="A1330" t="s">
        <v>2330</v>
      </c>
      <c r="B1330" s="3">
        <v>45881</v>
      </c>
      <c r="C1330">
        <v>1200</v>
      </c>
      <c r="D1330" s="1">
        <v>45208.85</v>
      </c>
      <c r="E1330" s="1">
        <v>0</v>
      </c>
      <c r="F1330" t="s">
        <v>2331</v>
      </c>
      <c r="G1330" t="str">
        <f>_xlfn.XLOOKUP(C1330,tblCOA[AccountNo],tblCOA[AccountName],"Unmapped")</f>
        <v>Accounts Receivable</v>
      </c>
      <c r="H1330" t="str">
        <f>_xlfn.XLOOKUP(C1330,tblCOA[AccountNo],tblCOA[Category],"Unmapped")</f>
        <v>Assets</v>
      </c>
      <c r="I1330" s="4">
        <f t="shared" si="60"/>
        <v>45208.85</v>
      </c>
      <c r="J1330">
        <f t="shared" si="61"/>
        <v>2025</v>
      </c>
      <c r="K1330" s="5">
        <f t="shared" si="62"/>
        <v>45870</v>
      </c>
    </row>
    <row r="1331" spans="1:11" x14ac:dyDescent="0.25">
      <c r="A1331" t="s">
        <v>2332</v>
      </c>
      <c r="B1331" s="3">
        <v>45881</v>
      </c>
      <c r="C1331">
        <v>4010</v>
      </c>
      <c r="D1331" s="1">
        <v>0</v>
      </c>
      <c r="E1331" s="1">
        <v>45208.85</v>
      </c>
      <c r="F1331" t="s">
        <v>2333</v>
      </c>
      <c r="G1331" t="str">
        <f>_xlfn.XLOOKUP(C1331,tblCOA[AccountNo],tblCOA[AccountName],"Unmapped")</f>
        <v>Product Sales</v>
      </c>
      <c r="H1331" t="str">
        <f>_xlfn.XLOOKUP(C1331,tblCOA[AccountNo],tblCOA[Category],"Unmapped")</f>
        <v>Revenue</v>
      </c>
      <c r="I1331" s="4">
        <f t="shared" si="60"/>
        <v>-45208.85</v>
      </c>
      <c r="J1331">
        <f t="shared" si="61"/>
        <v>2025</v>
      </c>
      <c r="K1331" s="5">
        <f t="shared" si="62"/>
        <v>45870</v>
      </c>
    </row>
    <row r="1332" spans="1:11" x14ac:dyDescent="0.25">
      <c r="A1332" t="s">
        <v>2138</v>
      </c>
      <c r="B1332" s="3">
        <v>45883</v>
      </c>
      <c r="C1332">
        <v>1200</v>
      </c>
      <c r="D1332" s="1">
        <v>20706.89</v>
      </c>
      <c r="E1332" s="1">
        <v>0</v>
      </c>
      <c r="F1332" t="s">
        <v>2139</v>
      </c>
      <c r="G1332" t="str">
        <f>_xlfn.XLOOKUP(C1332,tblCOA[AccountNo],tblCOA[AccountName],"Unmapped")</f>
        <v>Accounts Receivable</v>
      </c>
      <c r="H1332" t="str">
        <f>_xlfn.XLOOKUP(C1332,tblCOA[AccountNo],tblCOA[Category],"Unmapped")</f>
        <v>Assets</v>
      </c>
      <c r="I1332" s="4">
        <f t="shared" si="60"/>
        <v>20706.89</v>
      </c>
      <c r="J1332">
        <f t="shared" si="61"/>
        <v>2025</v>
      </c>
      <c r="K1332" s="5">
        <f t="shared" si="62"/>
        <v>45870</v>
      </c>
    </row>
    <row r="1333" spans="1:11" x14ac:dyDescent="0.25">
      <c r="A1333" t="s">
        <v>2140</v>
      </c>
      <c r="B1333" s="3">
        <v>45883</v>
      </c>
      <c r="C1333">
        <v>4010</v>
      </c>
      <c r="D1333" s="1">
        <v>0</v>
      </c>
      <c r="E1333" s="1">
        <v>20706.89</v>
      </c>
      <c r="F1333" t="s">
        <v>2141</v>
      </c>
      <c r="G1333" t="str">
        <f>_xlfn.XLOOKUP(C1333,tblCOA[AccountNo],tblCOA[AccountName],"Unmapped")</f>
        <v>Product Sales</v>
      </c>
      <c r="H1333" t="str">
        <f>_xlfn.XLOOKUP(C1333,tblCOA[AccountNo],tblCOA[Category],"Unmapped")</f>
        <v>Revenue</v>
      </c>
      <c r="I1333" s="4">
        <f t="shared" si="60"/>
        <v>-20706.89</v>
      </c>
      <c r="J1333">
        <f t="shared" si="61"/>
        <v>2025</v>
      </c>
      <c r="K1333" s="5">
        <f t="shared" si="62"/>
        <v>45870</v>
      </c>
    </row>
    <row r="1334" spans="1:11" x14ac:dyDescent="0.25">
      <c r="A1334" t="s">
        <v>1714</v>
      </c>
      <c r="B1334" s="3">
        <v>45883</v>
      </c>
      <c r="C1334">
        <v>1200</v>
      </c>
      <c r="D1334" s="1">
        <v>1689.38</v>
      </c>
      <c r="E1334" s="1">
        <v>0</v>
      </c>
      <c r="F1334" t="s">
        <v>1715</v>
      </c>
      <c r="G1334" t="str">
        <f>_xlfn.XLOOKUP(C1334,tblCOA[AccountNo],tblCOA[AccountName],"Unmapped")</f>
        <v>Accounts Receivable</v>
      </c>
      <c r="H1334" t="str">
        <f>_xlfn.XLOOKUP(C1334,tblCOA[AccountNo],tblCOA[Category],"Unmapped")</f>
        <v>Assets</v>
      </c>
      <c r="I1334" s="4">
        <f t="shared" si="60"/>
        <v>1689.38</v>
      </c>
      <c r="J1334">
        <f t="shared" si="61"/>
        <v>2025</v>
      </c>
      <c r="K1334" s="5">
        <f t="shared" si="62"/>
        <v>45870</v>
      </c>
    </row>
    <row r="1335" spans="1:11" x14ac:dyDescent="0.25">
      <c r="A1335" t="s">
        <v>1716</v>
      </c>
      <c r="B1335" s="3">
        <v>45883</v>
      </c>
      <c r="C1335">
        <v>4010</v>
      </c>
      <c r="D1335" s="1">
        <v>0</v>
      </c>
      <c r="E1335" s="1">
        <v>1689.38</v>
      </c>
      <c r="F1335" t="s">
        <v>1717</v>
      </c>
      <c r="G1335" t="str">
        <f>_xlfn.XLOOKUP(C1335,tblCOA[AccountNo],tblCOA[AccountName],"Unmapped")</f>
        <v>Product Sales</v>
      </c>
      <c r="H1335" t="str">
        <f>_xlfn.XLOOKUP(C1335,tblCOA[AccountNo],tblCOA[Category],"Unmapped")</f>
        <v>Revenue</v>
      </c>
      <c r="I1335" s="4">
        <f t="shared" si="60"/>
        <v>-1689.38</v>
      </c>
      <c r="J1335">
        <f t="shared" si="61"/>
        <v>2025</v>
      </c>
      <c r="K1335" s="5">
        <f t="shared" si="62"/>
        <v>45870</v>
      </c>
    </row>
    <row r="1336" spans="1:11" x14ac:dyDescent="0.25">
      <c r="A1336" t="s">
        <v>1674</v>
      </c>
      <c r="B1336" s="3">
        <v>45885</v>
      </c>
      <c r="C1336">
        <v>1200</v>
      </c>
      <c r="D1336" s="1">
        <v>44281.11</v>
      </c>
      <c r="E1336" s="1">
        <v>0</v>
      </c>
      <c r="F1336" t="s">
        <v>1675</v>
      </c>
      <c r="G1336" t="str">
        <f>_xlfn.XLOOKUP(C1336,tblCOA[AccountNo],tblCOA[AccountName],"Unmapped")</f>
        <v>Accounts Receivable</v>
      </c>
      <c r="H1336" t="str">
        <f>_xlfn.XLOOKUP(C1336,tblCOA[AccountNo],tblCOA[Category],"Unmapped")</f>
        <v>Assets</v>
      </c>
      <c r="I1336" s="4">
        <f t="shared" si="60"/>
        <v>44281.11</v>
      </c>
      <c r="J1336">
        <f t="shared" si="61"/>
        <v>2025</v>
      </c>
      <c r="K1336" s="5">
        <f t="shared" si="62"/>
        <v>45870</v>
      </c>
    </row>
    <row r="1337" spans="1:11" x14ac:dyDescent="0.25">
      <c r="A1337" t="s">
        <v>1676</v>
      </c>
      <c r="B1337" s="3">
        <v>45885</v>
      </c>
      <c r="C1337">
        <v>4010</v>
      </c>
      <c r="D1337" s="1">
        <v>0</v>
      </c>
      <c r="E1337" s="1">
        <v>44281.11</v>
      </c>
      <c r="F1337" t="s">
        <v>1677</v>
      </c>
      <c r="G1337" t="str">
        <f>_xlfn.XLOOKUP(C1337,tblCOA[AccountNo],tblCOA[AccountName],"Unmapped")</f>
        <v>Product Sales</v>
      </c>
      <c r="H1337" t="str">
        <f>_xlfn.XLOOKUP(C1337,tblCOA[AccountNo],tblCOA[Category],"Unmapped")</f>
        <v>Revenue</v>
      </c>
      <c r="I1337" s="4">
        <f t="shared" si="60"/>
        <v>-44281.11</v>
      </c>
      <c r="J1337">
        <f t="shared" si="61"/>
        <v>2025</v>
      </c>
      <c r="K1337" s="5">
        <f t="shared" si="62"/>
        <v>45870</v>
      </c>
    </row>
    <row r="1338" spans="1:11" x14ac:dyDescent="0.25">
      <c r="A1338" t="s">
        <v>3354</v>
      </c>
      <c r="B1338" s="3">
        <v>45886</v>
      </c>
      <c r="C1338">
        <v>1200</v>
      </c>
      <c r="D1338" s="1">
        <v>30345.34</v>
      </c>
      <c r="E1338" s="1">
        <v>0</v>
      </c>
      <c r="F1338" t="s">
        <v>3355</v>
      </c>
      <c r="G1338" t="str">
        <f>_xlfn.XLOOKUP(C1338,tblCOA[AccountNo],tblCOA[AccountName],"Unmapped")</f>
        <v>Accounts Receivable</v>
      </c>
      <c r="H1338" t="str">
        <f>_xlfn.XLOOKUP(C1338,tblCOA[AccountNo],tblCOA[Category],"Unmapped")</f>
        <v>Assets</v>
      </c>
      <c r="I1338" s="4">
        <f t="shared" si="60"/>
        <v>30345.34</v>
      </c>
      <c r="J1338">
        <f t="shared" si="61"/>
        <v>2025</v>
      </c>
      <c r="K1338" s="5">
        <f t="shared" si="62"/>
        <v>45870</v>
      </c>
    </row>
    <row r="1339" spans="1:11" x14ac:dyDescent="0.25">
      <c r="A1339" t="s">
        <v>3356</v>
      </c>
      <c r="B1339" s="3">
        <v>45886</v>
      </c>
      <c r="C1339">
        <v>4010</v>
      </c>
      <c r="D1339" s="1">
        <v>0</v>
      </c>
      <c r="E1339" s="1">
        <v>30345.34</v>
      </c>
      <c r="F1339" t="s">
        <v>3357</v>
      </c>
      <c r="G1339" t="str">
        <f>_xlfn.XLOOKUP(C1339,tblCOA[AccountNo],tblCOA[AccountName],"Unmapped")</f>
        <v>Product Sales</v>
      </c>
      <c r="H1339" t="str">
        <f>_xlfn.XLOOKUP(C1339,tblCOA[AccountNo],tblCOA[Category],"Unmapped")</f>
        <v>Revenue</v>
      </c>
      <c r="I1339" s="4">
        <f t="shared" si="60"/>
        <v>-30345.34</v>
      </c>
      <c r="J1339">
        <f t="shared" si="61"/>
        <v>2025</v>
      </c>
      <c r="K1339" s="5">
        <f t="shared" si="62"/>
        <v>45870</v>
      </c>
    </row>
    <row r="1340" spans="1:11" x14ac:dyDescent="0.25">
      <c r="A1340" t="s">
        <v>394</v>
      </c>
      <c r="B1340" s="3">
        <v>45886</v>
      </c>
      <c r="C1340">
        <v>1200</v>
      </c>
      <c r="D1340" s="1">
        <v>39714.94</v>
      </c>
      <c r="E1340" s="1">
        <v>0</v>
      </c>
      <c r="F1340" t="s">
        <v>395</v>
      </c>
      <c r="G1340" t="str">
        <f>_xlfn.XLOOKUP(C1340,tblCOA[AccountNo],tblCOA[AccountName],"Unmapped")</f>
        <v>Accounts Receivable</v>
      </c>
      <c r="H1340" t="str">
        <f>_xlfn.XLOOKUP(C1340,tblCOA[AccountNo],tblCOA[Category],"Unmapped")</f>
        <v>Assets</v>
      </c>
      <c r="I1340" s="4">
        <f t="shared" si="60"/>
        <v>39714.94</v>
      </c>
      <c r="J1340">
        <f t="shared" si="61"/>
        <v>2025</v>
      </c>
      <c r="K1340" s="5">
        <f t="shared" si="62"/>
        <v>45870</v>
      </c>
    </row>
    <row r="1341" spans="1:11" x14ac:dyDescent="0.25">
      <c r="A1341" t="s">
        <v>396</v>
      </c>
      <c r="B1341" s="3">
        <v>45886</v>
      </c>
      <c r="C1341">
        <v>4010</v>
      </c>
      <c r="D1341" s="1">
        <v>0</v>
      </c>
      <c r="E1341" s="1">
        <v>39714.94</v>
      </c>
      <c r="F1341" t="s">
        <v>397</v>
      </c>
      <c r="G1341" t="str">
        <f>_xlfn.XLOOKUP(C1341,tblCOA[AccountNo],tblCOA[AccountName],"Unmapped")</f>
        <v>Product Sales</v>
      </c>
      <c r="H1341" t="str">
        <f>_xlfn.XLOOKUP(C1341,tblCOA[AccountNo],tblCOA[Category],"Unmapped")</f>
        <v>Revenue</v>
      </c>
      <c r="I1341" s="4">
        <f t="shared" si="60"/>
        <v>-39714.94</v>
      </c>
      <c r="J1341">
        <f t="shared" si="61"/>
        <v>2025</v>
      </c>
      <c r="K1341" s="5">
        <f t="shared" si="62"/>
        <v>45870</v>
      </c>
    </row>
    <row r="1342" spans="1:11" x14ac:dyDescent="0.25">
      <c r="A1342" t="s">
        <v>2478</v>
      </c>
      <c r="B1342" s="3">
        <v>45888</v>
      </c>
      <c r="C1342">
        <v>5010</v>
      </c>
      <c r="D1342" s="1">
        <v>17466.07</v>
      </c>
      <c r="E1342" s="1">
        <v>0</v>
      </c>
      <c r="F1342" t="s">
        <v>2479</v>
      </c>
      <c r="G1342" t="str">
        <f>_xlfn.XLOOKUP(C1342,tblCOA[AccountNo],tblCOA[AccountName],"Unmapped")</f>
        <v>Cost of Goods Sold</v>
      </c>
      <c r="H1342" t="str">
        <f>_xlfn.XLOOKUP(C1342,tblCOA[AccountNo],tblCOA[Category],"Unmapped")</f>
        <v>Expenses</v>
      </c>
      <c r="I1342" s="4">
        <f t="shared" si="60"/>
        <v>17466.07</v>
      </c>
      <c r="J1342">
        <f t="shared" si="61"/>
        <v>2025</v>
      </c>
      <c r="K1342" s="5">
        <f t="shared" si="62"/>
        <v>45870</v>
      </c>
    </row>
    <row r="1343" spans="1:11" x14ac:dyDescent="0.25">
      <c r="A1343" t="s">
        <v>2480</v>
      </c>
      <c r="B1343" s="3">
        <v>45888</v>
      </c>
      <c r="C1343">
        <v>2010</v>
      </c>
      <c r="D1343" s="1">
        <v>0</v>
      </c>
      <c r="E1343" s="1">
        <v>17466.07</v>
      </c>
      <c r="F1343" t="s">
        <v>2481</v>
      </c>
      <c r="G1343" t="str">
        <f>_xlfn.XLOOKUP(C1343,tblCOA[AccountNo],tblCOA[AccountName],"Unmapped")</f>
        <v>Accounts Payable</v>
      </c>
      <c r="H1343" t="str">
        <f>_xlfn.XLOOKUP(C1343,tblCOA[AccountNo],tblCOA[Category],"Unmapped")</f>
        <v>Liabilities</v>
      </c>
      <c r="I1343" s="4">
        <f t="shared" si="60"/>
        <v>-17466.07</v>
      </c>
      <c r="J1343">
        <f t="shared" si="61"/>
        <v>2025</v>
      </c>
      <c r="K1343" s="5">
        <f t="shared" si="62"/>
        <v>45870</v>
      </c>
    </row>
    <row r="1344" spans="1:11" x14ac:dyDescent="0.25">
      <c r="A1344" t="s">
        <v>2698</v>
      </c>
      <c r="B1344" s="3">
        <v>45888</v>
      </c>
      <c r="C1344">
        <v>1200</v>
      </c>
      <c r="D1344" s="1">
        <v>16198.95</v>
      </c>
      <c r="E1344" s="1">
        <v>0</v>
      </c>
      <c r="F1344" t="s">
        <v>2699</v>
      </c>
      <c r="G1344" t="str">
        <f>_xlfn.XLOOKUP(C1344,tblCOA[AccountNo],tblCOA[AccountName],"Unmapped")</f>
        <v>Accounts Receivable</v>
      </c>
      <c r="H1344" t="str">
        <f>_xlfn.XLOOKUP(C1344,tblCOA[AccountNo],tblCOA[Category],"Unmapped")</f>
        <v>Assets</v>
      </c>
      <c r="I1344" s="4">
        <f t="shared" si="60"/>
        <v>16198.95</v>
      </c>
      <c r="J1344">
        <f t="shared" si="61"/>
        <v>2025</v>
      </c>
      <c r="K1344" s="5">
        <f t="shared" si="62"/>
        <v>45870</v>
      </c>
    </row>
    <row r="1345" spans="1:11" x14ac:dyDescent="0.25">
      <c r="A1345" t="s">
        <v>2700</v>
      </c>
      <c r="B1345" s="3">
        <v>45888</v>
      </c>
      <c r="C1345">
        <v>4010</v>
      </c>
      <c r="D1345" s="1">
        <v>0</v>
      </c>
      <c r="E1345" s="1">
        <v>16198.95</v>
      </c>
      <c r="F1345" t="s">
        <v>2701</v>
      </c>
      <c r="G1345" t="str">
        <f>_xlfn.XLOOKUP(C1345,tblCOA[AccountNo],tblCOA[AccountName],"Unmapped")</f>
        <v>Product Sales</v>
      </c>
      <c r="H1345" t="str">
        <f>_xlfn.XLOOKUP(C1345,tblCOA[AccountNo],tblCOA[Category],"Unmapped")</f>
        <v>Revenue</v>
      </c>
      <c r="I1345" s="4">
        <f t="shared" si="60"/>
        <v>-16198.95</v>
      </c>
      <c r="J1345">
        <f t="shared" si="61"/>
        <v>2025</v>
      </c>
      <c r="K1345" s="5">
        <f t="shared" si="62"/>
        <v>45870</v>
      </c>
    </row>
    <row r="1346" spans="1:11" x14ac:dyDescent="0.25">
      <c r="A1346" t="s">
        <v>2286</v>
      </c>
      <c r="B1346" s="3">
        <v>45890</v>
      </c>
      <c r="C1346">
        <v>5010</v>
      </c>
      <c r="D1346" s="1">
        <v>15379.13</v>
      </c>
      <c r="E1346" s="1">
        <v>0</v>
      </c>
      <c r="F1346" t="s">
        <v>2287</v>
      </c>
      <c r="G1346" t="str">
        <f>_xlfn.XLOOKUP(C1346,tblCOA[AccountNo],tblCOA[AccountName],"Unmapped")</f>
        <v>Cost of Goods Sold</v>
      </c>
      <c r="H1346" t="str">
        <f>_xlfn.XLOOKUP(C1346,tblCOA[AccountNo],tblCOA[Category],"Unmapped")</f>
        <v>Expenses</v>
      </c>
      <c r="I1346" s="4">
        <f t="shared" ref="I1346:I1409" si="63">D1346-E1346</f>
        <v>15379.13</v>
      </c>
      <c r="J1346">
        <f t="shared" ref="J1346:J1409" si="64">YEAR(B1346)</f>
        <v>2025</v>
      </c>
      <c r="K1346" s="5">
        <f t="shared" ref="K1346:K1409" si="65">DATE(YEAR(B1346),MONTH(B1346),1)</f>
        <v>45870</v>
      </c>
    </row>
    <row r="1347" spans="1:11" x14ac:dyDescent="0.25">
      <c r="A1347" t="s">
        <v>2288</v>
      </c>
      <c r="B1347" s="3">
        <v>45890</v>
      </c>
      <c r="C1347">
        <v>2010</v>
      </c>
      <c r="D1347" s="1">
        <v>0</v>
      </c>
      <c r="E1347" s="1">
        <v>15379.13</v>
      </c>
      <c r="F1347" t="s">
        <v>2289</v>
      </c>
      <c r="G1347" t="str">
        <f>_xlfn.XLOOKUP(C1347,tblCOA[AccountNo],tblCOA[AccountName],"Unmapped")</f>
        <v>Accounts Payable</v>
      </c>
      <c r="H1347" t="str">
        <f>_xlfn.XLOOKUP(C1347,tblCOA[AccountNo],tblCOA[Category],"Unmapped")</f>
        <v>Liabilities</v>
      </c>
      <c r="I1347" s="4">
        <f t="shared" si="63"/>
        <v>-15379.13</v>
      </c>
      <c r="J1347">
        <f t="shared" si="64"/>
        <v>2025</v>
      </c>
      <c r="K1347" s="5">
        <f t="shared" si="65"/>
        <v>45870</v>
      </c>
    </row>
    <row r="1348" spans="1:11" x14ac:dyDescent="0.25">
      <c r="A1348" t="s">
        <v>2742</v>
      </c>
      <c r="B1348" s="3">
        <v>45890</v>
      </c>
      <c r="C1348">
        <v>5010</v>
      </c>
      <c r="D1348" s="1">
        <v>11370.1</v>
      </c>
      <c r="E1348" s="1">
        <v>0</v>
      </c>
      <c r="F1348" t="s">
        <v>2743</v>
      </c>
      <c r="G1348" t="str">
        <f>_xlfn.XLOOKUP(C1348,tblCOA[AccountNo],tblCOA[AccountName],"Unmapped")</f>
        <v>Cost of Goods Sold</v>
      </c>
      <c r="H1348" t="str">
        <f>_xlfn.XLOOKUP(C1348,tblCOA[AccountNo],tblCOA[Category],"Unmapped")</f>
        <v>Expenses</v>
      </c>
      <c r="I1348" s="4">
        <f t="shared" si="63"/>
        <v>11370.1</v>
      </c>
      <c r="J1348">
        <f t="shared" si="64"/>
        <v>2025</v>
      </c>
      <c r="K1348" s="5">
        <f t="shared" si="65"/>
        <v>45870</v>
      </c>
    </row>
    <row r="1349" spans="1:11" x14ac:dyDescent="0.25">
      <c r="A1349" t="s">
        <v>2744</v>
      </c>
      <c r="B1349" s="3">
        <v>45890</v>
      </c>
      <c r="C1349">
        <v>2010</v>
      </c>
      <c r="D1349" s="1">
        <v>0</v>
      </c>
      <c r="E1349" s="1">
        <v>11370.1</v>
      </c>
      <c r="F1349" t="s">
        <v>2745</v>
      </c>
      <c r="G1349" t="str">
        <f>_xlfn.XLOOKUP(C1349,tblCOA[AccountNo],tblCOA[AccountName],"Unmapped")</f>
        <v>Accounts Payable</v>
      </c>
      <c r="H1349" t="str">
        <f>_xlfn.XLOOKUP(C1349,tblCOA[AccountNo],tblCOA[Category],"Unmapped")</f>
        <v>Liabilities</v>
      </c>
      <c r="I1349" s="4">
        <f t="shared" si="63"/>
        <v>-11370.1</v>
      </c>
      <c r="J1349">
        <f t="shared" si="64"/>
        <v>2025</v>
      </c>
      <c r="K1349" s="5">
        <f t="shared" si="65"/>
        <v>45870</v>
      </c>
    </row>
    <row r="1350" spans="1:11" x14ac:dyDescent="0.25">
      <c r="A1350" t="s">
        <v>3058</v>
      </c>
      <c r="B1350" s="3">
        <v>45890</v>
      </c>
      <c r="C1350">
        <v>1200</v>
      </c>
      <c r="D1350" s="1">
        <v>49278.47</v>
      </c>
      <c r="E1350" s="1">
        <v>0</v>
      </c>
      <c r="F1350" t="s">
        <v>3059</v>
      </c>
      <c r="G1350" t="str">
        <f>_xlfn.XLOOKUP(C1350,tblCOA[AccountNo],tblCOA[AccountName],"Unmapped")</f>
        <v>Accounts Receivable</v>
      </c>
      <c r="H1350" t="str">
        <f>_xlfn.XLOOKUP(C1350,tblCOA[AccountNo],tblCOA[Category],"Unmapped")</f>
        <v>Assets</v>
      </c>
      <c r="I1350" s="4">
        <f t="shared" si="63"/>
        <v>49278.47</v>
      </c>
      <c r="J1350">
        <f t="shared" si="64"/>
        <v>2025</v>
      </c>
      <c r="K1350" s="5">
        <f t="shared" si="65"/>
        <v>45870</v>
      </c>
    </row>
    <row r="1351" spans="1:11" x14ac:dyDescent="0.25">
      <c r="A1351" t="s">
        <v>3060</v>
      </c>
      <c r="B1351" s="3">
        <v>45890</v>
      </c>
      <c r="C1351">
        <v>4010</v>
      </c>
      <c r="D1351" s="1">
        <v>0</v>
      </c>
      <c r="E1351" s="1">
        <v>49278.47</v>
      </c>
      <c r="F1351" t="s">
        <v>3061</v>
      </c>
      <c r="G1351" t="str">
        <f>_xlfn.XLOOKUP(C1351,tblCOA[AccountNo],tblCOA[AccountName],"Unmapped")</f>
        <v>Product Sales</v>
      </c>
      <c r="H1351" t="str">
        <f>_xlfn.XLOOKUP(C1351,tblCOA[AccountNo],tblCOA[Category],"Unmapped")</f>
        <v>Revenue</v>
      </c>
      <c r="I1351" s="4">
        <f t="shared" si="63"/>
        <v>-49278.47</v>
      </c>
      <c r="J1351">
        <f t="shared" si="64"/>
        <v>2025</v>
      </c>
      <c r="K1351" s="5">
        <f t="shared" si="65"/>
        <v>45870</v>
      </c>
    </row>
    <row r="1352" spans="1:11" x14ac:dyDescent="0.25">
      <c r="A1352" t="s">
        <v>1450</v>
      </c>
      <c r="B1352" s="3">
        <v>45890</v>
      </c>
      <c r="C1352">
        <v>1200</v>
      </c>
      <c r="D1352" s="1">
        <v>29865.53</v>
      </c>
      <c r="E1352" s="1">
        <v>0</v>
      </c>
      <c r="F1352" t="s">
        <v>1451</v>
      </c>
      <c r="G1352" t="str">
        <f>_xlfn.XLOOKUP(C1352,tblCOA[AccountNo],tblCOA[AccountName],"Unmapped")</f>
        <v>Accounts Receivable</v>
      </c>
      <c r="H1352" t="str">
        <f>_xlfn.XLOOKUP(C1352,tblCOA[AccountNo],tblCOA[Category],"Unmapped")</f>
        <v>Assets</v>
      </c>
      <c r="I1352" s="4">
        <f t="shared" si="63"/>
        <v>29865.53</v>
      </c>
      <c r="J1352">
        <f t="shared" si="64"/>
        <v>2025</v>
      </c>
      <c r="K1352" s="5">
        <f t="shared" si="65"/>
        <v>45870</v>
      </c>
    </row>
    <row r="1353" spans="1:11" x14ac:dyDescent="0.25">
      <c r="A1353" t="s">
        <v>1452</v>
      </c>
      <c r="B1353" s="3">
        <v>45890</v>
      </c>
      <c r="C1353">
        <v>4010</v>
      </c>
      <c r="D1353" s="1">
        <v>0</v>
      </c>
      <c r="E1353" s="1">
        <v>29865.53</v>
      </c>
      <c r="F1353" t="s">
        <v>1453</v>
      </c>
      <c r="G1353" t="str">
        <f>_xlfn.XLOOKUP(C1353,tblCOA[AccountNo],tblCOA[AccountName],"Unmapped")</f>
        <v>Product Sales</v>
      </c>
      <c r="H1353" t="str">
        <f>_xlfn.XLOOKUP(C1353,tblCOA[AccountNo],tblCOA[Category],"Unmapped")</f>
        <v>Revenue</v>
      </c>
      <c r="I1353" s="4">
        <f t="shared" si="63"/>
        <v>-29865.53</v>
      </c>
      <c r="J1353">
        <f t="shared" si="64"/>
        <v>2025</v>
      </c>
      <c r="K1353" s="5">
        <f t="shared" si="65"/>
        <v>45870</v>
      </c>
    </row>
    <row r="1354" spans="1:11" x14ac:dyDescent="0.25">
      <c r="A1354" t="s">
        <v>1542</v>
      </c>
      <c r="B1354" s="3">
        <v>45890</v>
      </c>
      <c r="C1354">
        <v>5010</v>
      </c>
      <c r="D1354" s="1">
        <v>19635.73</v>
      </c>
      <c r="E1354" s="1">
        <v>0</v>
      </c>
      <c r="F1354" t="s">
        <v>1543</v>
      </c>
      <c r="G1354" t="str">
        <f>_xlfn.XLOOKUP(C1354,tblCOA[AccountNo],tblCOA[AccountName],"Unmapped")</f>
        <v>Cost of Goods Sold</v>
      </c>
      <c r="H1354" t="str">
        <f>_xlfn.XLOOKUP(C1354,tblCOA[AccountNo],tblCOA[Category],"Unmapped")</f>
        <v>Expenses</v>
      </c>
      <c r="I1354" s="4">
        <f t="shared" si="63"/>
        <v>19635.73</v>
      </c>
      <c r="J1354">
        <f t="shared" si="64"/>
        <v>2025</v>
      </c>
      <c r="K1354" s="5">
        <f t="shared" si="65"/>
        <v>45870</v>
      </c>
    </row>
    <row r="1355" spans="1:11" x14ac:dyDescent="0.25">
      <c r="A1355" t="s">
        <v>1544</v>
      </c>
      <c r="B1355" s="3">
        <v>45890</v>
      </c>
      <c r="C1355">
        <v>2010</v>
      </c>
      <c r="D1355" s="1">
        <v>0</v>
      </c>
      <c r="E1355" s="1">
        <v>19635.73</v>
      </c>
      <c r="F1355" t="s">
        <v>1545</v>
      </c>
      <c r="G1355" t="str">
        <f>_xlfn.XLOOKUP(C1355,tblCOA[AccountNo],tblCOA[AccountName],"Unmapped")</f>
        <v>Accounts Payable</v>
      </c>
      <c r="H1355" t="str">
        <f>_xlfn.XLOOKUP(C1355,tblCOA[AccountNo],tblCOA[Category],"Unmapped")</f>
        <v>Liabilities</v>
      </c>
      <c r="I1355" s="4">
        <f t="shared" si="63"/>
        <v>-19635.73</v>
      </c>
      <c r="J1355">
        <f t="shared" si="64"/>
        <v>2025</v>
      </c>
      <c r="K1355" s="5">
        <f t="shared" si="65"/>
        <v>45870</v>
      </c>
    </row>
    <row r="1356" spans="1:11" x14ac:dyDescent="0.25">
      <c r="A1356" t="s">
        <v>1934</v>
      </c>
      <c r="B1356" s="3">
        <v>45890</v>
      </c>
      <c r="C1356">
        <v>5010</v>
      </c>
      <c r="D1356" s="1">
        <v>6729.34</v>
      </c>
      <c r="E1356" s="1">
        <v>0</v>
      </c>
      <c r="F1356" t="s">
        <v>1935</v>
      </c>
      <c r="G1356" t="str">
        <f>_xlfn.XLOOKUP(C1356,tblCOA[AccountNo],tblCOA[AccountName],"Unmapped")</f>
        <v>Cost of Goods Sold</v>
      </c>
      <c r="H1356" t="str">
        <f>_xlfn.XLOOKUP(C1356,tblCOA[AccountNo],tblCOA[Category],"Unmapped")</f>
        <v>Expenses</v>
      </c>
      <c r="I1356" s="4">
        <f t="shared" si="63"/>
        <v>6729.34</v>
      </c>
      <c r="J1356">
        <f t="shared" si="64"/>
        <v>2025</v>
      </c>
      <c r="K1356" s="5">
        <f t="shared" si="65"/>
        <v>45870</v>
      </c>
    </row>
    <row r="1357" spans="1:11" x14ac:dyDescent="0.25">
      <c r="A1357" t="s">
        <v>1936</v>
      </c>
      <c r="B1357" s="3">
        <v>45890</v>
      </c>
      <c r="C1357">
        <v>2010</v>
      </c>
      <c r="D1357" s="1">
        <v>0</v>
      </c>
      <c r="E1357" s="1">
        <v>6729.34</v>
      </c>
      <c r="F1357" t="s">
        <v>1937</v>
      </c>
      <c r="G1357" t="str">
        <f>_xlfn.XLOOKUP(C1357,tblCOA[AccountNo],tblCOA[AccountName],"Unmapped")</f>
        <v>Accounts Payable</v>
      </c>
      <c r="H1357" t="str">
        <f>_xlfn.XLOOKUP(C1357,tblCOA[AccountNo],tblCOA[Category],"Unmapped")</f>
        <v>Liabilities</v>
      </c>
      <c r="I1357" s="4">
        <f t="shared" si="63"/>
        <v>-6729.34</v>
      </c>
      <c r="J1357">
        <f t="shared" si="64"/>
        <v>2025</v>
      </c>
      <c r="K1357" s="5">
        <f t="shared" si="65"/>
        <v>45870</v>
      </c>
    </row>
    <row r="1358" spans="1:11" x14ac:dyDescent="0.25">
      <c r="A1358" t="s">
        <v>3298</v>
      </c>
      <c r="B1358" s="3">
        <v>45891</v>
      </c>
      <c r="C1358">
        <v>1200</v>
      </c>
      <c r="D1358" s="1">
        <v>30119.71</v>
      </c>
      <c r="E1358" s="1">
        <v>0</v>
      </c>
      <c r="F1358" t="s">
        <v>3299</v>
      </c>
      <c r="G1358" t="str">
        <f>_xlfn.XLOOKUP(C1358,tblCOA[AccountNo],tblCOA[AccountName],"Unmapped")</f>
        <v>Accounts Receivable</v>
      </c>
      <c r="H1358" t="str">
        <f>_xlfn.XLOOKUP(C1358,tblCOA[AccountNo],tblCOA[Category],"Unmapped")</f>
        <v>Assets</v>
      </c>
      <c r="I1358" s="4">
        <f t="shared" si="63"/>
        <v>30119.71</v>
      </c>
      <c r="J1358">
        <f t="shared" si="64"/>
        <v>2025</v>
      </c>
      <c r="K1358" s="5">
        <f t="shared" si="65"/>
        <v>45870</v>
      </c>
    </row>
    <row r="1359" spans="1:11" x14ac:dyDescent="0.25">
      <c r="A1359" t="s">
        <v>3300</v>
      </c>
      <c r="B1359" s="3">
        <v>45891</v>
      </c>
      <c r="C1359">
        <v>4010</v>
      </c>
      <c r="D1359" s="1">
        <v>0</v>
      </c>
      <c r="E1359" s="1">
        <v>30119.71</v>
      </c>
      <c r="F1359" t="s">
        <v>3301</v>
      </c>
      <c r="G1359" t="str">
        <f>_xlfn.XLOOKUP(C1359,tblCOA[AccountNo],tblCOA[AccountName],"Unmapped")</f>
        <v>Product Sales</v>
      </c>
      <c r="H1359" t="str">
        <f>_xlfn.XLOOKUP(C1359,tblCOA[AccountNo],tblCOA[Category],"Unmapped")</f>
        <v>Revenue</v>
      </c>
      <c r="I1359" s="4">
        <f t="shared" si="63"/>
        <v>-30119.71</v>
      </c>
      <c r="J1359">
        <f t="shared" si="64"/>
        <v>2025</v>
      </c>
      <c r="K1359" s="5">
        <f t="shared" si="65"/>
        <v>45870</v>
      </c>
    </row>
    <row r="1360" spans="1:11" x14ac:dyDescent="0.25">
      <c r="A1360" t="s">
        <v>3810</v>
      </c>
      <c r="B1360" s="3">
        <v>45892</v>
      </c>
      <c r="C1360">
        <v>1200</v>
      </c>
      <c r="D1360" s="1">
        <v>29189.89</v>
      </c>
      <c r="E1360" s="1">
        <v>0</v>
      </c>
      <c r="F1360" t="s">
        <v>3811</v>
      </c>
      <c r="G1360" t="str">
        <f>_xlfn.XLOOKUP(C1360,tblCOA[AccountNo],tblCOA[AccountName],"Unmapped")</f>
        <v>Accounts Receivable</v>
      </c>
      <c r="H1360" t="str">
        <f>_xlfn.XLOOKUP(C1360,tblCOA[AccountNo],tblCOA[Category],"Unmapped")</f>
        <v>Assets</v>
      </c>
      <c r="I1360" s="4">
        <f t="shared" si="63"/>
        <v>29189.89</v>
      </c>
      <c r="J1360">
        <f t="shared" si="64"/>
        <v>2025</v>
      </c>
      <c r="K1360" s="5">
        <f t="shared" si="65"/>
        <v>45870</v>
      </c>
    </row>
    <row r="1361" spans="1:11" x14ac:dyDescent="0.25">
      <c r="A1361" t="s">
        <v>3812</v>
      </c>
      <c r="B1361" s="3">
        <v>45892</v>
      </c>
      <c r="C1361">
        <v>4010</v>
      </c>
      <c r="D1361" s="1">
        <v>0</v>
      </c>
      <c r="E1361" s="1">
        <v>29189.89</v>
      </c>
      <c r="F1361" t="s">
        <v>3813</v>
      </c>
      <c r="G1361" t="str">
        <f>_xlfn.XLOOKUP(C1361,tblCOA[AccountNo],tblCOA[AccountName],"Unmapped")</f>
        <v>Product Sales</v>
      </c>
      <c r="H1361" t="str">
        <f>_xlfn.XLOOKUP(C1361,tblCOA[AccountNo],tblCOA[Category],"Unmapped")</f>
        <v>Revenue</v>
      </c>
      <c r="I1361" s="4">
        <f t="shared" si="63"/>
        <v>-29189.89</v>
      </c>
      <c r="J1361">
        <f t="shared" si="64"/>
        <v>2025</v>
      </c>
      <c r="K1361" s="5">
        <f t="shared" si="65"/>
        <v>45870</v>
      </c>
    </row>
    <row r="1362" spans="1:11" x14ac:dyDescent="0.25">
      <c r="A1362" t="s">
        <v>2238</v>
      </c>
      <c r="B1362" s="3">
        <v>45894</v>
      </c>
      <c r="C1362">
        <v>5010</v>
      </c>
      <c r="D1362" s="1">
        <v>5461.76</v>
      </c>
      <c r="E1362" s="1">
        <v>0</v>
      </c>
      <c r="F1362" t="s">
        <v>2239</v>
      </c>
      <c r="G1362" t="str">
        <f>_xlfn.XLOOKUP(C1362,tblCOA[AccountNo],tblCOA[AccountName],"Unmapped")</f>
        <v>Cost of Goods Sold</v>
      </c>
      <c r="H1362" t="str">
        <f>_xlfn.XLOOKUP(C1362,tblCOA[AccountNo],tblCOA[Category],"Unmapped")</f>
        <v>Expenses</v>
      </c>
      <c r="I1362" s="4">
        <f t="shared" si="63"/>
        <v>5461.76</v>
      </c>
      <c r="J1362">
        <f t="shared" si="64"/>
        <v>2025</v>
      </c>
      <c r="K1362" s="5">
        <f t="shared" si="65"/>
        <v>45870</v>
      </c>
    </row>
    <row r="1363" spans="1:11" x14ac:dyDescent="0.25">
      <c r="A1363" t="s">
        <v>2240</v>
      </c>
      <c r="B1363" s="3">
        <v>45894</v>
      </c>
      <c r="C1363">
        <v>2010</v>
      </c>
      <c r="D1363" s="1">
        <v>0</v>
      </c>
      <c r="E1363" s="1">
        <v>5461.76</v>
      </c>
      <c r="F1363" t="s">
        <v>2241</v>
      </c>
      <c r="G1363" t="str">
        <f>_xlfn.XLOOKUP(C1363,tblCOA[AccountNo],tblCOA[AccountName],"Unmapped")</f>
        <v>Accounts Payable</v>
      </c>
      <c r="H1363" t="str">
        <f>_xlfn.XLOOKUP(C1363,tblCOA[AccountNo],tblCOA[Category],"Unmapped")</f>
        <v>Liabilities</v>
      </c>
      <c r="I1363" s="4">
        <f t="shared" si="63"/>
        <v>-5461.76</v>
      </c>
      <c r="J1363">
        <f t="shared" si="64"/>
        <v>2025</v>
      </c>
      <c r="K1363" s="5">
        <f t="shared" si="65"/>
        <v>45870</v>
      </c>
    </row>
    <row r="1364" spans="1:11" x14ac:dyDescent="0.25">
      <c r="A1364" t="s">
        <v>210</v>
      </c>
      <c r="B1364" s="3">
        <v>45895</v>
      </c>
      <c r="C1364">
        <v>1200</v>
      </c>
      <c r="D1364" s="1">
        <v>31838.09</v>
      </c>
      <c r="E1364" s="1">
        <v>0</v>
      </c>
      <c r="F1364" t="s">
        <v>211</v>
      </c>
      <c r="G1364" t="str">
        <f>_xlfn.XLOOKUP(C1364,tblCOA[AccountNo],tblCOA[AccountName],"Unmapped")</f>
        <v>Accounts Receivable</v>
      </c>
      <c r="H1364" t="str">
        <f>_xlfn.XLOOKUP(C1364,tblCOA[AccountNo],tblCOA[Category],"Unmapped")</f>
        <v>Assets</v>
      </c>
      <c r="I1364" s="4">
        <f t="shared" si="63"/>
        <v>31838.09</v>
      </c>
      <c r="J1364">
        <f t="shared" si="64"/>
        <v>2025</v>
      </c>
      <c r="K1364" s="5">
        <f t="shared" si="65"/>
        <v>45870</v>
      </c>
    </row>
    <row r="1365" spans="1:11" x14ac:dyDescent="0.25">
      <c r="A1365" t="s">
        <v>212</v>
      </c>
      <c r="B1365" s="3">
        <v>45895</v>
      </c>
      <c r="C1365">
        <v>4010</v>
      </c>
      <c r="D1365" s="1">
        <v>0</v>
      </c>
      <c r="E1365" s="1">
        <v>31838.09</v>
      </c>
      <c r="F1365" t="s">
        <v>213</v>
      </c>
      <c r="G1365" t="str">
        <f>_xlfn.XLOOKUP(C1365,tblCOA[AccountNo],tblCOA[AccountName],"Unmapped")</f>
        <v>Product Sales</v>
      </c>
      <c r="H1365" t="str">
        <f>_xlfn.XLOOKUP(C1365,tblCOA[AccountNo],tblCOA[Category],"Unmapped")</f>
        <v>Revenue</v>
      </c>
      <c r="I1365" s="4">
        <f t="shared" si="63"/>
        <v>-31838.09</v>
      </c>
      <c r="J1365">
        <f t="shared" si="64"/>
        <v>2025</v>
      </c>
      <c r="K1365" s="5">
        <f t="shared" si="65"/>
        <v>45870</v>
      </c>
    </row>
    <row r="1366" spans="1:11" x14ac:dyDescent="0.25">
      <c r="A1366" t="s">
        <v>3950</v>
      </c>
      <c r="B1366" s="3">
        <v>45895</v>
      </c>
      <c r="C1366">
        <v>5010</v>
      </c>
      <c r="D1366" s="1">
        <v>12090.48</v>
      </c>
      <c r="E1366" s="1">
        <v>0</v>
      </c>
      <c r="F1366" t="s">
        <v>3951</v>
      </c>
      <c r="G1366" t="str">
        <f>_xlfn.XLOOKUP(C1366,tblCOA[AccountNo],tblCOA[AccountName],"Unmapped")</f>
        <v>Cost of Goods Sold</v>
      </c>
      <c r="H1366" t="str">
        <f>_xlfn.XLOOKUP(C1366,tblCOA[AccountNo],tblCOA[Category],"Unmapped")</f>
        <v>Expenses</v>
      </c>
      <c r="I1366" s="4">
        <f t="shared" si="63"/>
        <v>12090.48</v>
      </c>
      <c r="J1366">
        <f t="shared" si="64"/>
        <v>2025</v>
      </c>
      <c r="K1366" s="5">
        <f t="shared" si="65"/>
        <v>45870</v>
      </c>
    </row>
    <row r="1367" spans="1:11" x14ac:dyDescent="0.25">
      <c r="A1367" t="s">
        <v>3952</v>
      </c>
      <c r="B1367" s="3">
        <v>45895</v>
      </c>
      <c r="C1367">
        <v>2010</v>
      </c>
      <c r="D1367" s="1">
        <v>0</v>
      </c>
      <c r="E1367" s="1">
        <v>12090.48</v>
      </c>
      <c r="F1367" t="s">
        <v>3953</v>
      </c>
      <c r="G1367" t="str">
        <f>_xlfn.XLOOKUP(C1367,tblCOA[AccountNo],tblCOA[AccountName],"Unmapped")</f>
        <v>Accounts Payable</v>
      </c>
      <c r="H1367" t="str">
        <f>_xlfn.XLOOKUP(C1367,tblCOA[AccountNo],tblCOA[Category],"Unmapped")</f>
        <v>Liabilities</v>
      </c>
      <c r="I1367" s="4">
        <f t="shared" si="63"/>
        <v>-12090.48</v>
      </c>
      <c r="J1367">
        <f t="shared" si="64"/>
        <v>2025</v>
      </c>
      <c r="K1367" s="5">
        <f t="shared" si="65"/>
        <v>45870</v>
      </c>
    </row>
    <row r="1368" spans="1:11" x14ac:dyDescent="0.25">
      <c r="A1368" t="s">
        <v>2334</v>
      </c>
      <c r="B1368" s="3">
        <v>45897</v>
      </c>
      <c r="C1368">
        <v>5010</v>
      </c>
      <c r="D1368" s="1">
        <v>7071.66</v>
      </c>
      <c r="E1368" s="1">
        <v>0</v>
      </c>
      <c r="F1368" t="s">
        <v>2335</v>
      </c>
      <c r="G1368" t="str">
        <f>_xlfn.XLOOKUP(C1368,tblCOA[AccountNo],tblCOA[AccountName],"Unmapped")</f>
        <v>Cost of Goods Sold</v>
      </c>
      <c r="H1368" t="str">
        <f>_xlfn.XLOOKUP(C1368,tblCOA[AccountNo],tblCOA[Category],"Unmapped")</f>
        <v>Expenses</v>
      </c>
      <c r="I1368" s="4">
        <f t="shared" si="63"/>
        <v>7071.66</v>
      </c>
      <c r="J1368">
        <f t="shared" si="64"/>
        <v>2025</v>
      </c>
      <c r="K1368" s="5">
        <f t="shared" si="65"/>
        <v>45870</v>
      </c>
    </row>
    <row r="1369" spans="1:11" x14ac:dyDescent="0.25">
      <c r="A1369" t="s">
        <v>2336</v>
      </c>
      <c r="B1369" s="3">
        <v>45897</v>
      </c>
      <c r="C1369">
        <v>2010</v>
      </c>
      <c r="D1369" s="1">
        <v>0</v>
      </c>
      <c r="E1369" s="1">
        <v>7071.66</v>
      </c>
      <c r="F1369" t="s">
        <v>2337</v>
      </c>
      <c r="G1369" t="str">
        <f>_xlfn.XLOOKUP(C1369,tblCOA[AccountNo],tblCOA[AccountName],"Unmapped")</f>
        <v>Accounts Payable</v>
      </c>
      <c r="H1369" t="str">
        <f>_xlfn.XLOOKUP(C1369,tblCOA[AccountNo],tblCOA[Category],"Unmapped")</f>
        <v>Liabilities</v>
      </c>
      <c r="I1369" s="4">
        <f t="shared" si="63"/>
        <v>-7071.66</v>
      </c>
      <c r="J1369">
        <f t="shared" si="64"/>
        <v>2025</v>
      </c>
      <c r="K1369" s="5">
        <f t="shared" si="65"/>
        <v>45870</v>
      </c>
    </row>
    <row r="1370" spans="1:11" x14ac:dyDescent="0.25">
      <c r="A1370" t="s">
        <v>1974</v>
      </c>
      <c r="B1370" s="3">
        <v>45897</v>
      </c>
      <c r="C1370">
        <v>5010</v>
      </c>
      <c r="D1370" s="1">
        <v>2938.45</v>
      </c>
      <c r="E1370" s="1">
        <v>0</v>
      </c>
      <c r="F1370" t="s">
        <v>1975</v>
      </c>
      <c r="G1370" t="str">
        <f>_xlfn.XLOOKUP(C1370,tblCOA[AccountNo],tblCOA[AccountName],"Unmapped")</f>
        <v>Cost of Goods Sold</v>
      </c>
      <c r="H1370" t="str">
        <f>_xlfn.XLOOKUP(C1370,tblCOA[AccountNo],tblCOA[Category],"Unmapped")</f>
        <v>Expenses</v>
      </c>
      <c r="I1370" s="4">
        <f t="shared" si="63"/>
        <v>2938.45</v>
      </c>
      <c r="J1370">
        <f t="shared" si="64"/>
        <v>2025</v>
      </c>
      <c r="K1370" s="5">
        <f t="shared" si="65"/>
        <v>45870</v>
      </c>
    </row>
    <row r="1371" spans="1:11" x14ac:dyDescent="0.25">
      <c r="A1371" t="s">
        <v>1976</v>
      </c>
      <c r="B1371" s="3">
        <v>45897</v>
      </c>
      <c r="C1371">
        <v>2010</v>
      </c>
      <c r="D1371" s="1">
        <v>0</v>
      </c>
      <c r="E1371" s="1">
        <v>2938.45</v>
      </c>
      <c r="F1371" t="s">
        <v>1977</v>
      </c>
      <c r="G1371" t="str">
        <f>_xlfn.XLOOKUP(C1371,tblCOA[AccountNo],tblCOA[AccountName],"Unmapped")</f>
        <v>Accounts Payable</v>
      </c>
      <c r="H1371" t="str">
        <f>_xlfn.XLOOKUP(C1371,tblCOA[AccountNo],tblCOA[Category],"Unmapped")</f>
        <v>Liabilities</v>
      </c>
      <c r="I1371" s="4">
        <f t="shared" si="63"/>
        <v>-2938.45</v>
      </c>
      <c r="J1371">
        <f t="shared" si="64"/>
        <v>2025</v>
      </c>
      <c r="K1371" s="5">
        <f t="shared" si="65"/>
        <v>45870</v>
      </c>
    </row>
    <row r="1372" spans="1:11" x14ac:dyDescent="0.25">
      <c r="A1372" t="s">
        <v>814</v>
      </c>
      <c r="B1372" s="3">
        <v>45898</v>
      </c>
      <c r="C1372">
        <v>5010</v>
      </c>
      <c r="D1372" s="1">
        <v>1740.84</v>
      </c>
      <c r="E1372" s="1">
        <v>0</v>
      </c>
      <c r="F1372" t="s">
        <v>815</v>
      </c>
      <c r="G1372" t="str">
        <f>_xlfn.XLOOKUP(C1372,tblCOA[AccountNo],tblCOA[AccountName],"Unmapped")</f>
        <v>Cost of Goods Sold</v>
      </c>
      <c r="H1372" t="str">
        <f>_xlfn.XLOOKUP(C1372,tblCOA[AccountNo],tblCOA[Category],"Unmapped")</f>
        <v>Expenses</v>
      </c>
      <c r="I1372" s="4">
        <f t="shared" si="63"/>
        <v>1740.84</v>
      </c>
      <c r="J1372">
        <f t="shared" si="64"/>
        <v>2025</v>
      </c>
      <c r="K1372" s="5">
        <f t="shared" si="65"/>
        <v>45870</v>
      </c>
    </row>
    <row r="1373" spans="1:11" x14ac:dyDescent="0.25">
      <c r="A1373" t="s">
        <v>816</v>
      </c>
      <c r="B1373" s="3">
        <v>45898</v>
      </c>
      <c r="C1373">
        <v>2010</v>
      </c>
      <c r="D1373" s="1">
        <v>0</v>
      </c>
      <c r="E1373" s="1">
        <v>1740.84</v>
      </c>
      <c r="F1373" t="s">
        <v>817</v>
      </c>
      <c r="G1373" t="str">
        <f>_xlfn.XLOOKUP(C1373,tblCOA[AccountNo],tblCOA[AccountName],"Unmapped")</f>
        <v>Accounts Payable</v>
      </c>
      <c r="H1373" t="str">
        <f>_xlfn.XLOOKUP(C1373,tblCOA[AccountNo],tblCOA[Category],"Unmapped")</f>
        <v>Liabilities</v>
      </c>
      <c r="I1373" s="4">
        <f t="shared" si="63"/>
        <v>-1740.84</v>
      </c>
      <c r="J1373">
        <f t="shared" si="64"/>
        <v>2025</v>
      </c>
      <c r="K1373" s="5">
        <f t="shared" si="65"/>
        <v>45870</v>
      </c>
    </row>
    <row r="1374" spans="1:11" x14ac:dyDescent="0.25">
      <c r="A1374" t="s">
        <v>742</v>
      </c>
      <c r="B1374" s="3">
        <v>45902</v>
      </c>
      <c r="C1374">
        <v>5010</v>
      </c>
      <c r="D1374" s="1">
        <v>5905.59</v>
      </c>
      <c r="E1374" s="1">
        <v>0</v>
      </c>
      <c r="F1374" t="s">
        <v>743</v>
      </c>
      <c r="G1374" t="str">
        <f>_xlfn.XLOOKUP(C1374,tblCOA[AccountNo],tblCOA[AccountName],"Unmapped")</f>
        <v>Cost of Goods Sold</v>
      </c>
      <c r="H1374" t="str">
        <f>_xlfn.XLOOKUP(C1374,tblCOA[AccountNo],tblCOA[Category],"Unmapped")</f>
        <v>Expenses</v>
      </c>
      <c r="I1374" s="4">
        <f t="shared" si="63"/>
        <v>5905.59</v>
      </c>
      <c r="J1374">
        <f t="shared" si="64"/>
        <v>2025</v>
      </c>
      <c r="K1374" s="5">
        <f t="shared" si="65"/>
        <v>45901</v>
      </c>
    </row>
    <row r="1375" spans="1:11" x14ac:dyDescent="0.25">
      <c r="A1375" t="s">
        <v>744</v>
      </c>
      <c r="B1375" s="3">
        <v>45902</v>
      </c>
      <c r="C1375">
        <v>2010</v>
      </c>
      <c r="D1375" s="1">
        <v>0</v>
      </c>
      <c r="E1375" s="1">
        <v>5905.59</v>
      </c>
      <c r="F1375" t="s">
        <v>745</v>
      </c>
      <c r="G1375" t="str">
        <f>_xlfn.XLOOKUP(C1375,tblCOA[AccountNo],tblCOA[AccountName],"Unmapped")</f>
        <v>Accounts Payable</v>
      </c>
      <c r="H1375" t="str">
        <f>_xlfn.XLOOKUP(C1375,tblCOA[AccountNo],tblCOA[Category],"Unmapped")</f>
        <v>Liabilities</v>
      </c>
      <c r="I1375" s="4">
        <f t="shared" si="63"/>
        <v>-5905.59</v>
      </c>
      <c r="J1375">
        <f t="shared" si="64"/>
        <v>2025</v>
      </c>
      <c r="K1375" s="5">
        <f t="shared" si="65"/>
        <v>45901</v>
      </c>
    </row>
    <row r="1376" spans="1:11" x14ac:dyDescent="0.25">
      <c r="A1376" t="s">
        <v>2858</v>
      </c>
      <c r="B1376" s="3">
        <v>45904</v>
      </c>
      <c r="C1376">
        <v>1200</v>
      </c>
      <c r="D1376" s="1">
        <v>36205.18</v>
      </c>
      <c r="E1376" s="1">
        <v>0</v>
      </c>
      <c r="F1376" t="s">
        <v>2859</v>
      </c>
      <c r="G1376" t="str">
        <f>_xlfn.XLOOKUP(C1376,tblCOA[AccountNo],tblCOA[AccountName],"Unmapped")</f>
        <v>Accounts Receivable</v>
      </c>
      <c r="H1376" t="str">
        <f>_xlfn.XLOOKUP(C1376,tblCOA[AccountNo],tblCOA[Category],"Unmapped")</f>
        <v>Assets</v>
      </c>
      <c r="I1376" s="4">
        <f t="shared" si="63"/>
        <v>36205.18</v>
      </c>
      <c r="J1376">
        <f t="shared" si="64"/>
        <v>2025</v>
      </c>
      <c r="K1376" s="5">
        <f t="shared" si="65"/>
        <v>45901</v>
      </c>
    </row>
    <row r="1377" spans="1:11" x14ac:dyDescent="0.25">
      <c r="A1377" t="s">
        <v>2860</v>
      </c>
      <c r="B1377" s="3">
        <v>45904</v>
      </c>
      <c r="C1377">
        <v>4010</v>
      </c>
      <c r="D1377" s="1">
        <v>0</v>
      </c>
      <c r="E1377" s="1">
        <v>36205.18</v>
      </c>
      <c r="F1377" t="s">
        <v>2861</v>
      </c>
      <c r="G1377" t="str">
        <f>_xlfn.XLOOKUP(C1377,tblCOA[AccountNo],tblCOA[AccountName],"Unmapped")</f>
        <v>Product Sales</v>
      </c>
      <c r="H1377" t="str">
        <f>_xlfn.XLOOKUP(C1377,tblCOA[AccountNo],tblCOA[Category],"Unmapped")</f>
        <v>Revenue</v>
      </c>
      <c r="I1377" s="4">
        <f t="shared" si="63"/>
        <v>-36205.18</v>
      </c>
      <c r="J1377">
        <f t="shared" si="64"/>
        <v>2025</v>
      </c>
      <c r="K1377" s="5">
        <f t="shared" si="65"/>
        <v>45901</v>
      </c>
    </row>
    <row r="1378" spans="1:11" x14ac:dyDescent="0.25">
      <c r="A1378" t="s">
        <v>66</v>
      </c>
      <c r="B1378" s="3">
        <v>45906</v>
      </c>
      <c r="C1378">
        <v>1200</v>
      </c>
      <c r="D1378" s="1">
        <v>45626.52</v>
      </c>
      <c r="E1378" s="1">
        <v>0</v>
      </c>
      <c r="F1378" t="s">
        <v>67</v>
      </c>
      <c r="G1378" t="str">
        <f>_xlfn.XLOOKUP(C1378,tblCOA[AccountNo],tblCOA[AccountName],"Unmapped")</f>
        <v>Accounts Receivable</v>
      </c>
      <c r="H1378" t="str">
        <f>_xlfn.XLOOKUP(C1378,tblCOA[AccountNo],tblCOA[Category],"Unmapped")</f>
        <v>Assets</v>
      </c>
      <c r="I1378" s="4">
        <f t="shared" si="63"/>
        <v>45626.52</v>
      </c>
      <c r="J1378">
        <f t="shared" si="64"/>
        <v>2025</v>
      </c>
      <c r="K1378" s="5">
        <f t="shared" si="65"/>
        <v>45901</v>
      </c>
    </row>
    <row r="1379" spans="1:11" x14ac:dyDescent="0.25">
      <c r="A1379" t="s">
        <v>68</v>
      </c>
      <c r="B1379" s="3">
        <v>45906</v>
      </c>
      <c r="C1379">
        <v>4010</v>
      </c>
      <c r="D1379" s="1">
        <v>0</v>
      </c>
      <c r="E1379" s="1">
        <v>45626.52</v>
      </c>
      <c r="F1379" t="s">
        <v>69</v>
      </c>
      <c r="G1379" t="str">
        <f>_xlfn.XLOOKUP(C1379,tblCOA[AccountNo],tblCOA[AccountName],"Unmapped")</f>
        <v>Product Sales</v>
      </c>
      <c r="H1379" t="str">
        <f>_xlfn.XLOOKUP(C1379,tblCOA[AccountNo],tblCOA[Category],"Unmapped")</f>
        <v>Revenue</v>
      </c>
      <c r="I1379" s="4">
        <f t="shared" si="63"/>
        <v>-45626.52</v>
      </c>
      <c r="J1379">
        <f t="shared" si="64"/>
        <v>2025</v>
      </c>
      <c r="K1379" s="5">
        <f t="shared" si="65"/>
        <v>45901</v>
      </c>
    </row>
    <row r="1380" spans="1:11" x14ac:dyDescent="0.25">
      <c r="A1380" t="s">
        <v>3374</v>
      </c>
      <c r="B1380" s="3">
        <v>45908</v>
      </c>
      <c r="C1380">
        <v>5010</v>
      </c>
      <c r="D1380" s="1">
        <v>10320.200000000001</v>
      </c>
      <c r="E1380" s="1">
        <v>0</v>
      </c>
      <c r="F1380" t="s">
        <v>3375</v>
      </c>
      <c r="G1380" t="str">
        <f>_xlfn.XLOOKUP(C1380,tblCOA[AccountNo],tblCOA[AccountName],"Unmapped")</f>
        <v>Cost of Goods Sold</v>
      </c>
      <c r="H1380" t="str">
        <f>_xlfn.XLOOKUP(C1380,tblCOA[AccountNo],tblCOA[Category],"Unmapped")</f>
        <v>Expenses</v>
      </c>
      <c r="I1380" s="4">
        <f t="shared" si="63"/>
        <v>10320.200000000001</v>
      </c>
      <c r="J1380">
        <f t="shared" si="64"/>
        <v>2025</v>
      </c>
      <c r="K1380" s="5">
        <f t="shared" si="65"/>
        <v>45901</v>
      </c>
    </row>
    <row r="1381" spans="1:11" x14ac:dyDescent="0.25">
      <c r="A1381" t="s">
        <v>3376</v>
      </c>
      <c r="B1381" s="3">
        <v>45908</v>
      </c>
      <c r="C1381">
        <v>2010</v>
      </c>
      <c r="D1381" s="1">
        <v>0</v>
      </c>
      <c r="E1381" s="1">
        <v>10320.200000000001</v>
      </c>
      <c r="F1381" t="s">
        <v>3377</v>
      </c>
      <c r="G1381" t="str">
        <f>_xlfn.XLOOKUP(C1381,tblCOA[AccountNo],tblCOA[AccountName],"Unmapped")</f>
        <v>Accounts Payable</v>
      </c>
      <c r="H1381" t="str">
        <f>_xlfn.XLOOKUP(C1381,tblCOA[AccountNo],tblCOA[Category],"Unmapped")</f>
        <v>Liabilities</v>
      </c>
      <c r="I1381" s="4">
        <f t="shared" si="63"/>
        <v>-10320.200000000001</v>
      </c>
      <c r="J1381">
        <f t="shared" si="64"/>
        <v>2025</v>
      </c>
      <c r="K1381" s="5">
        <f t="shared" si="65"/>
        <v>45901</v>
      </c>
    </row>
    <row r="1382" spans="1:11" x14ac:dyDescent="0.25">
      <c r="A1382" t="s">
        <v>570</v>
      </c>
      <c r="B1382" s="3">
        <v>45909</v>
      </c>
      <c r="C1382">
        <v>1200</v>
      </c>
      <c r="D1382" s="1">
        <v>7525.17</v>
      </c>
      <c r="E1382" s="1">
        <v>0</v>
      </c>
      <c r="F1382" t="s">
        <v>571</v>
      </c>
      <c r="G1382" t="str">
        <f>_xlfn.XLOOKUP(C1382,tblCOA[AccountNo],tblCOA[AccountName],"Unmapped")</f>
        <v>Accounts Receivable</v>
      </c>
      <c r="H1382" t="str">
        <f>_xlfn.XLOOKUP(C1382,tblCOA[AccountNo],tblCOA[Category],"Unmapped")</f>
        <v>Assets</v>
      </c>
      <c r="I1382" s="4">
        <f t="shared" si="63"/>
        <v>7525.17</v>
      </c>
      <c r="J1382">
        <f t="shared" si="64"/>
        <v>2025</v>
      </c>
      <c r="K1382" s="5">
        <f t="shared" si="65"/>
        <v>45901</v>
      </c>
    </row>
    <row r="1383" spans="1:11" x14ac:dyDescent="0.25">
      <c r="A1383" t="s">
        <v>572</v>
      </c>
      <c r="B1383" s="3">
        <v>45909</v>
      </c>
      <c r="C1383">
        <v>4010</v>
      </c>
      <c r="D1383" s="1">
        <v>0</v>
      </c>
      <c r="E1383" s="1">
        <v>7525.17</v>
      </c>
      <c r="F1383" t="s">
        <v>573</v>
      </c>
      <c r="G1383" t="str">
        <f>_xlfn.XLOOKUP(C1383,tblCOA[AccountNo],tblCOA[AccountName],"Unmapped")</f>
        <v>Product Sales</v>
      </c>
      <c r="H1383" t="str">
        <f>_xlfn.XLOOKUP(C1383,tblCOA[AccountNo],tblCOA[Category],"Unmapped")</f>
        <v>Revenue</v>
      </c>
      <c r="I1383" s="4">
        <f t="shared" si="63"/>
        <v>-7525.17</v>
      </c>
      <c r="J1383">
        <f t="shared" si="64"/>
        <v>2025</v>
      </c>
      <c r="K1383" s="5">
        <f t="shared" si="65"/>
        <v>45901</v>
      </c>
    </row>
    <row r="1384" spans="1:11" x14ac:dyDescent="0.25">
      <c r="A1384" t="s">
        <v>2078</v>
      </c>
      <c r="B1384" s="3">
        <v>45910</v>
      </c>
      <c r="C1384">
        <v>5010</v>
      </c>
      <c r="D1384" s="1">
        <v>6765.39</v>
      </c>
      <c r="E1384" s="1">
        <v>0</v>
      </c>
      <c r="F1384" t="s">
        <v>2079</v>
      </c>
      <c r="G1384" t="str">
        <f>_xlfn.XLOOKUP(C1384,tblCOA[AccountNo],tblCOA[AccountName],"Unmapped")</f>
        <v>Cost of Goods Sold</v>
      </c>
      <c r="H1384" t="str">
        <f>_xlfn.XLOOKUP(C1384,tblCOA[AccountNo],tblCOA[Category],"Unmapped")</f>
        <v>Expenses</v>
      </c>
      <c r="I1384" s="4">
        <f t="shared" si="63"/>
        <v>6765.39</v>
      </c>
      <c r="J1384">
        <f t="shared" si="64"/>
        <v>2025</v>
      </c>
      <c r="K1384" s="5">
        <f t="shared" si="65"/>
        <v>45901</v>
      </c>
    </row>
    <row r="1385" spans="1:11" x14ac:dyDescent="0.25">
      <c r="A1385" t="s">
        <v>2080</v>
      </c>
      <c r="B1385" s="3">
        <v>45910</v>
      </c>
      <c r="C1385">
        <v>2010</v>
      </c>
      <c r="D1385" s="1">
        <v>0</v>
      </c>
      <c r="E1385" s="1">
        <v>6765.39</v>
      </c>
      <c r="F1385" t="s">
        <v>2081</v>
      </c>
      <c r="G1385" t="str">
        <f>_xlfn.XLOOKUP(C1385,tblCOA[AccountNo],tblCOA[AccountName],"Unmapped")</f>
        <v>Accounts Payable</v>
      </c>
      <c r="H1385" t="str">
        <f>_xlfn.XLOOKUP(C1385,tblCOA[AccountNo],tblCOA[Category],"Unmapped")</f>
        <v>Liabilities</v>
      </c>
      <c r="I1385" s="4">
        <f t="shared" si="63"/>
        <v>-6765.39</v>
      </c>
      <c r="J1385">
        <f t="shared" si="64"/>
        <v>2025</v>
      </c>
      <c r="K1385" s="5">
        <f t="shared" si="65"/>
        <v>45901</v>
      </c>
    </row>
    <row r="1386" spans="1:11" x14ac:dyDescent="0.25">
      <c r="A1386" t="s">
        <v>3222</v>
      </c>
      <c r="B1386" s="3">
        <v>45912</v>
      </c>
      <c r="C1386">
        <v>5010</v>
      </c>
      <c r="D1386" s="1">
        <v>4700.6499999999996</v>
      </c>
      <c r="E1386" s="1">
        <v>0</v>
      </c>
      <c r="F1386" t="s">
        <v>3223</v>
      </c>
      <c r="G1386" t="str">
        <f>_xlfn.XLOOKUP(C1386,tblCOA[AccountNo],tblCOA[AccountName],"Unmapped")</f>
        <v>Cost of Goods Sold</v>
      </c>
      <c r="H1386" t="str">
        <f>_xlfn.XLOOKUP(C1386,tblCOA[AccountNo],tblCOA[Category],"Unmapped")</f>
        <v>Expenses</v>
      </c>
      <c r="I1386" s="4">
        <f t="shared" si="63"/>
        <v>4700.6499999999996</v>
      </c>
      <c r="J1386">
        <f t="shared" si="64"/>
        <v>2025</v>
      </c>
      <c r="K1386" s="5">
        <f t="shared" si="65"/>
        <v>45901</v>
      </c>
    </row>
    <row r="1387" spans="1:11" x14ac:dyDescent="0.25">
      <c r="A1387" t="s">
        <v>3224</v>
      </c>
      <c r="B1387" s="3">
        <v>45912</v>
      </c>
      <c r="C1387">
        <v>2010</v>
      </c>
      <c r="D1387" s="1">
        <v>0</v>
      </c>
      <c r="E1387" s="1">
        <v>4700.6499999999996</v>
      </c>
      <c r="F1387" t="s">
        <v>3225</v>
      </c>
      <c r="G1387" t="str">
        <f>_xlfn.XLOOKUP(C1387,tblCOA[AccountNo],tblCOA[AccountName],"Unmapped")</f>
        <v>Accounts Payable</v>
      </c>
      <c r="H1387" t="str">
        <f>_xlfn.XLOOKUP(C1387,tblCOA[AccountNo],tblCOA[Category],"Unmapped")</f>
        <v>Liabilities</v>
      </c>
      <c r="I1387" s="4">
        <f t="shared" si="63"/>
        <v>-4700.6499999999996</v>
      </c>
      <c r="J1387">
        <f t="shared" si="64"/>
        <v>2025</v>
      </c>
      <c r="K1387" s="5">
        <f t="shared" si="65"/>
        <v>45901</v>
      </c>
    </row>
    <row r="1388" spans="1:11" x14ac:dyDescent="0.25">
      <c r="A1388" t="s">
        <v>2922</v>
      </c>
      <c r="B1388" s="3">
        <v>45913</v>
      </c>
      <c r="C1388">
        <v>1200</v>
      </c>
      <c r="D1388" s="1">
        <v>32484.639999999999</v>
      </c>
      <c r="E1388" s="1">
        <v>0</v>
      </c>
      <c r="F1388" t="s">
        <v>2923</v>
      </c>
      <c r="G1388" t="str">
        <f>_xlfn.XLOOKUP(C1388,tblCOA[AccountNo],tblCOA[AccountName],"Unmapped")</f>
        <v>Accounts Receivable</v>
      </c>
      <c r="H1388" t="str">
        <f>_xlfn.XLOOKUP(C1388,tblCOA[AccountNo],tblCOA[Category],"Unmapped")</f>
        <v>Assets</v>
      </c>
      <c r="I1388" s="4">
        <f t="shared" si="63"/>
        <v>32484.639999999999</v>
      </c>
      <c r="J1388">
        <f t="shared" si="64"/>
        <v>2025</v>
      </c>
      <c r="K1388" s="5">
        <f t="shared" si="65"/>
        <v>45901</v>
      </c>
    </row>
    <row r="1389" spans="1:11" x14ac:dyDescent="0.25">
      <c r="A1389" t="s">
        <v>2924</v>
      </c>
      <c r="B1389" s="3">
        <v>45913</v>
      </c>
      <c r="C1389">
        <v>4010</v>
      </c>
      <c r="D1389" s="1">
        <v>0</v>
      </c>
      <c r="E1389" s="1">
        <v>32484.639999999999</v>
      </c>
      <c r="F1389" t="s">
        <v>2925</v>
      </c>
      <c r="G1389" t="str">
        <f>_xlfn.XLOOKUP(C1389,tblCOA[AccountNo],tblCOA[AccountName],"Unmapped")</f>
        <v>Product Sales</v>
      </c>
      <c r="H1389" t="str">
        <f>_xlfn.XLOOKUP(C1389,tblCOA[AccountNo],tblCOA[Category],"Unmapped")</f>
        <v>Revenue</v>
      </c>
      <c r="I1389" s="4">
        <f t="shared" si="63"/>
        <v>-32484.639999999999</v>
      </c>
      <c r="J1389">
        <f t="shared" si="64"/>
        <v>2025</v>
      </c>
      <c r="K1389" s="5">
        <f t="shared" si="65"/>
        <v>45901</v>
      </c>
    </row>
    <row r="1390" spans="1:11" x14ac:dyDescent="0.25">
      <c r="A1390" t="s">
        <v>3734</v>
      </c>
      <c r="B1390" s="3">
        <v>45914</v>
      </c>
      <c r="C1390">
        <v>5010</v>
      </c>
      <c r="D1390" s="1">
        <v>755.51</v>
      </c>
      <c r="E1390" s="1">
        <v>0</v>
      </c>
      <c r="F1390" t="s">
        <v>3735</v>
      </c>
      <c r="G1390" t="str">
        <f>_xlfn.XLOOKUP(C1390,tblCOA[AccountNo],tblCOA[AccountName],"Unmapped")</f>
        <v>Cost of Goods Sold</v>
      </c>
      <c r="H1390" t="str">
        <f>_xlfn.XLOOKUP(C1390,tblCOA[AccountNo],tblCOA[Category],"Unmapped")</f>
        <v>Expenses</v>
      </c>
      <c r="I1390" s="4">
        <f t="shared" si="63"/>
        <v>755.51</v>
      </c>
      <c r="J1390">
        <f t="shared" si="64"/>
        <v>2025</v>
      </c>
      <c r="K1390" s="5">
        <f t="shared" si="65"/>
        <v>45901</v>
      </c>
    </row>
    <row r="1391" spans="1:11" x14ac:dyDescent="0.25">
      <c r="A1391" t="s">
        <v>3736</v>
      </c>
      <c r="B1391" s="3">
        <v>45914</v>
      </c>
      <c r="C1391">
        <v>2010</v>
      </c>
      <c r="D1391" s="1">
        <v>0</v>
      </c>
      <c r="E1391" s="1">
        <v>755.51</v>
      </c>
      <c r="F1391" t="s">
        <v>3737</v>
      </c>
      <c r="G1391" t="str">
        <f>_xlfn.XLOOKUP(C1391,tblCOA[AccountNo],tblCOA[AccountName],"Unmapped")</f>
        <v>Accounts Payable</v>
      </c>
      <c r="H1391" t="str">
        <f>_xlfn.XLOOKUP(C1391,tblCOA[AccountNo],tblCOA[Category],"Unmapped")</f>
        <v>Liabilities</v>
      </c>
      <c r="I1391" s="4">
        <f t="shared" si="63"/>
        <v>-755.51</v>
      </c>
      <c r="J1391">
        <f t="shared" si="64"/>
        <v>2025</v>
      </c>
      <c r="K1391" s="5">
        <f t="shared" si="65"/>
        <v>45901</v>
      </c>
    </row>
    <row r="1392" spans="1:11" x14ac:dyDescent="0.25">
      <c r="A1392" t="s">
        <v>1814</v>
      </c>
      <c r="B1392" s="3">
        <v>45914</v>
      </c>
      <c r="C1392">
        <v>5010</v>
      </c>
      <c r="D1392" s="1">
        <v>5443.84</v>
      </c>
      <c r="E1392" s="1">
        <v>0</v>
      </c>
      <c r="F1392" t="s">
        <v>1815</v>
      </c>
      <c r="G1392" t="str">
        <f>_xlfn.XLOOKUP(C1392,tblCOA[AccountNo],tblCOA[AccountName],"Unmapped")</f>
        <v>Cost of Goods Sold</v>
      </c>
      <c r="H1392" t="str">
        <f>_xlfn.XLOOKUP(C1392,tblCOA[AccountNo],tblCOA[Category],"Unmapped")</f>
        <v>Expenses</v>
      </c>
      <c r="I1392" s="4">
        <f t="shared" si="63"/>
        <v>5443.84</v>
      </c>
      <c r="J1392">
        <f t="shared" si="64"/>
        <v>2025</v>
      </c>
      <c r="K1392" s="5">
        <f t="shared" si="65"/>
        <v>45901</v>
      </c>
    </row>
    <row r="1393" spans="1:11" x14ac:dyDescent="0.25">
      <c r="A1393" t="s">
        <v>1816</v>
      </c>
      <c r="B1393" s="3">
        <v>45914</v>
      </c>
      <c r="C1393">
        <v>2010</v>
      </c>
      <c r="D1393" s="1">
        <v>0</v>
      </c>
      <c r="E1393" s="1">
        <v>5443.84</v>
      </c>
      <c r="F1393" t="s">
        <v>1817</v>
      </c>
      <c r="G1393" t="str">
        <f>_xlfn.XLOOKUP(C1393,tblCOA[AccountNo],tblCOA[AccountName],"Unmapped")</f>
        <v>Accounts Payable</v>
      </c>
      <c r="H1393" t="str">
        <f>_xlfn.XLOOKUP(C1393,tblCOA[AccountNo],tblCOA[Category],"Unmapped")</f>
        <v>Liabilities</v>
      </c>
      <c r="I1393" s="4">
        <f t="shared" si="63"/>
        <v>-5443.84</v>
      </c>
      <c r="J1393">
        <f t="shared" si="64"/>
        <v>2025</v>
      </c>
      <c r="K1393" s="5">
        <f t="shared" si="65"/>
        <v>45901</v>
      </c>
    </row>
    <row r="1394" spans="1:11" x14ac:dyDescent="0.25">
      <c r="A1394" t="s">
        <v>670</v>
      </c>
      <c r="B1394" s="3">
        <v>45915</v>
      </c>
      <c r="C1394">
        <v>5010</v>
      </c>
      <c r="D1394" s="1">
        <v>10691.06</v>
      </c>
      <c r="E1394" s="1">
        <v>0</v>
      </c>
      <c r="F1394" t="s">
        <v>671</v>
      </c>
      <c r="G1394" t="str">
        <f>_xlfn.XLOOKUP(C1394,tblCOA[AccountNo],tblCOA[AccountName],"Unmapped")</f>
        <v>Cost of Goods Sold</v>
      </c>
      <c r="H1394" t="str">
        <f>_xlfn.XLOOKUP(C1394,tblCOA[AccountNo],tblCOA[Category],"Unmapped")</f>
        <v>Expenses</v>
      </c>
      <c r="I1394" s="4">
        <f t="shared" si="63"/>
        <v>10691.06</v>
      </c>
      <c r="J1394">
        <f t="shared" si="64"/>
        <v>2025</v>
      </c>
      <c r="K1394" s="5">
        <f t="shared" si="65"/>
        <v>45901</v>
      </c>
    </row>
    <row r="1395" spans="1:11" x14ac:dyDescent="0.25">
      <c r="A1395" t="s">
        <v>672</v>
      </c>
      <c r="B1395" s="3">
        <v>45915</v>
      </c>
      <c r="C1395">
        <v>2010</v>
      </c>
      <c r="D1395" s="1">
        <v>0</v>
      </c>
      <c r="E1395" s="1">
        <v>10691.06</v>
      </c>
      <c r="F1395" t="s">
        <v>673</v>
      </c>
      <c r="G1395" t="str">
        <f>_xlfn.XLOOKUP(C1395,tblCOA[AccountNo],tblCOA[AccountName],"Unmapped")</f>
        <v>Accounts Payable</v>
      </c>
      <c r="H1395" t="str">
        <f>_xlfn.XLOOKUP(C1395,tblCOA[AccountNo],tblCOA[Category],"Unmapped")</f>
        <v>Liabilities</v>
      </c>
      <c r="I1395" s="4">
        <f t="shared" si="63"/>
        <v>-10691.06</v>
      </c>
      <c r="J1395">
        <f t="shared" si="64"/>
        <v>2025</v>
      </c>
      <c r="K1395" s="5">
        <f t="shared" si="65"/>
        <v>45901</v>
      </c>
    </row>
    <row r="1396" spans="1:11" x14ac:dyDescent="0.25">
      <c r="A1396" t="s">
        <v>1890</v>
      </c>
      <c r="B1396" s="3">
        <v>45918</v>
      </c>
      <c r="C1396">
        <v>1200</v>
      </c>
      <c r="D1396" s="1">
        <v>13143.23</v>
      </c>
      <c r="E1396" s="1">
        <v>0</v>
      </c>
      <c r="F1396" t="s">
        <v>1891</v>
      </c>
      <c r="G1396" t="str">
        <f>_xlfn.XLOOKUP(C1396,tblCOA[AccountNo],tblCOA[AccountName],"Unmapped")</f>
        <v>Accounts Receivable</v>
      </c>
      <c r="H1396" t="str">
        <f>_xlfn.XLOOKUP(C1396,tblCOA[AccountNo],tblCOA[Category],"Unmapped")</f>
        <v>Assets</v>
      </c>
      <c r="I1396" s="4">
        <f t="shared" si="63"/>
        <v>13143.23</v>
      </c>
      <c r="J1396">
        <f t="shared" si="64"/>
        <v>2025</v>
      </c>
      <c r="K1396" s="5">
        <f t="shared" si="65"/>
        <v>45901</v>
      </c>
    </row>
    <row r="1397" spans="1:11" x14ac:dyDescent="0.25">
      <c r="A1397" t="s">
        <v>1892</v>
      </c>
      <c r="B1397" s="3">
        <v>45918</v>
      </c>
      <c r="C1397">
        <v>4010</v>
      </c>
      <c r="D1397" s="1">
        <v>0</v>
      </c>
      <c r="E1397" s="1">
        <v>13143.23</v>
      </c>
      <c r="F1397" t="s">
        <v>1893</v>
      </c>
      <c r="G1397" t="str">
        <f>_xlfn.XLOOKUP(C1397,tblCOA[AccountNo],tblCOA[AccountName],"Unmapped")</f>
        <v>Product Sales</v>
      </c>
      <c r="H1397" t="str">
        <f>_xlfn.XLOOKUP(C1397,tblCOA[AccountNo],tblCOA[Category],"Unmapped")</f>
        <v>Revenue</v>
      </c>
      <c r="I1397" s="4">
        <f t="shared" si="63"/>
        <v>-13143.23</v>
      </c>
      <c r="J1397">
        <f t="shared" si="64"/>
        <v>2025</v>
      </c>
      <c r="K1397" s="5">
        <f t="shared" si="65"/>
        <v>45901</v>
      </c>
    </row>
    <row r="1398" spans="1:11" x14ac:dyDescent="0.25">
      <c r="A1398" t="s">
        <v>2982</v>
      </c>
      <c r="B1398" s="3">
        <v>45919</v>
      </c>
      <c r="C1398">
        <v>5010</v>
      </c>
      <c r="D1398" s="1">
        <v>6322.37</v>
      </c>
      <c r="E1398" s="1">
        <v>0</v>
      </c>
      <c r="F1398" t="s">
        <v>2983</v>
      </c>
      <c r="G1398" t="str">
        <f>_xlfn.XLOOKUP(C1398,tblCOA[AccountNo],tblCOA[AccountName],"Unmapped")</f>
        <v>Cost of Goods Sold</v>
      </c>
      <c r="H1398" t="str">
        <f>_xlfn.XLOOKUP(C1398,tblCOA[AccountNo],tblCOA[Category],"Unmapped")</f>
        <v>Expenses</v>
      </c>
      <c r="I1398" s="4">
        <f t="shared" si="63"/>
        <v>6322.37</v>
      </c>
      <c r="J1398">
        <f t="shared" si="64"/>
        <v>2025</v>
      </c>
      <c r="K1398" s="5">
        <f t="shared" si="65"/>
        <v>45901</v>
      </c>
    </row>
    <row r="1399" spans="1:11" x14ac:dyDescent="0.25">
      <c r="A1399" t="s">
        <v>2984</v>
      </c>
      <c r="B1399" s="3">
        <v>45919</v>
      </c>
      <c r="C1399">
        <v>2010</v>
      </c>
      <c r="D1399" s="1">
        <v>0</v>
      </c>
      <c r="E1399" s="1">
        <v>6322.37</v>
      </c>
      <c r="F1399" t="s">
        <v>2985</v>
      </c>
      <c r="G1399" t="str">
        <f>_xlfn.XLOOKUP(C1399,tblCOA[AccountNo],tblCOA[AccountName],"Unmapped")</f>
        <v>Accounts Payable</v>
      </c>
      <c r="H1399" t="str">
        <f>_xlfn.XLOOKUP(C1399,tblCOA[AccountNo],tblCOA[Category],"Unmapped")</f>
        <v>Liabilities</v>
      </c>
      <c r="I1399" s="4">
        <f t="shared" si="63"/>
        <v>-6322.37</v>
      </c>
      <c r="J1399">
        <f t="shared" si="64"/>
        <v>2025</v>
      </c>
      <c r="K1399" s="5">
        <f t="shared" si="65"/>
        <v>45901</v>
      </c>
    </row>
    <row r="1400" spans="1:11" x14ac:dyDescent="0.25">
      <c r="A1400" t="s">
        <v>2062</v>
      </c>
      <c r="B1400" s="3">
        <v>45920</v>
      </c>
      <c r="C1400">
        <v>5010</v>
      </c>
      <c r="D1400" s="1">
        <v>14745.61</v>
      </c>
      <c r="E1400" s="1">
        <v>0</v>
      </c>
      <c r="F1400" t="s">
        <v>2063</v>
      </c>
      <c r="G1400" t="str">
        <f>_xlfn.XLOOKUP(C1400,tblCOA[AccountNo],tblCOA[AccountName],"Unmapped")</f>
        <v>Cost of Goods Sold</v>
      </c>
      <c r="H1400" t="str">
        <f>_xlfn.XLOOKUP(C1400,tblCOA[AccountNo],tblCOA[Category],"Unmapped")</f>
        <v>Expenses</v>
      </c>
      <c r="I1400" s="4">
        <f t="shared" si="63"/>
        <v>14745.61</v>
      </c>
      <c r="J1400">
        <f t="shared" si="64"/>
        <v>2025</v>
      </c>
      <c r="K1400" s="5">
        <f t="shared" si="65"/>
        <v>45901</v>
      </c>
    </row>
    <row r="1401" spans="1:11" x14ac:dyDescent="0.25">
      <c r="A1401" t="s">
        <v>2064</v>
      </c>
      <c r="B1401" s="3">
        <v>45920</v>
      </c>
      <c r="C1401">
        <v>2010</v>
      </c>
      <c r="D1401" s="1">
        <v>0</v>
      </c>
      <c r="E1401" s="1">
        <v>14745.61</v>
      </c>
      <c r="F1401" t="s">
        <v>2065</v>
      </c>
      <c r="G1401" t="str">
        <f>_xlfn.XLOOKUP(C1401,tblCOA[AccountNo],tblCOA[AccountName],"Unmapped")</f>
        <v>Accounts Payable</v>
      </c>
      <c r="H1401" t="str">
        <f>_xlfn.XLOOKUP(C1401,tblCOA[AccountNo],tblCOA[Category],"Unmapped")</f>
        <v>Liabilities</v>
      </c>
      <c r="I1401" s="4">
        <f t="shared" si="63"/>
        <v>-14745.61</v>
      </c>
      <c r="J1401">
        <f t="shared" si="64"/>
        <v>2025</v>
      </c>
      <c r="K1401" s="5">
        <f t="shared" si="65"/>
        <v>45901</v>
      </c>
    </row>
    <row r="1402" spans="1:11" x14ac:dyDescent="0.25">
      <c r="A1402" t="s">
        <v>2154</v>
      </c>
      <c r="B1402" s="3">
        <v>45920</v>
      </c>
      <c r="C1402">
        <v>1200</v>
      </c>
      <c r="D1402" s="1">
        <v>21573.56</v>
      </c>
      <c r="E1402" s="1">
        <v>0</v>
      </c>
      <c r="F1402" t="s">
        <v>2155</v>
      </c>
      <c r="G1402" t="str">
        <f>_xlfn.XLOOKUP(C1402,tblCOA[AccountNo],tblCOA[AccountName],"Unmapped")</f>
        <v>Accounts Receivable</v>
      </c>
      <c r="H1402" t="str">
        <f>_xlfn.XLOOKUP(C1402,tblCOA[AccountNo],tblCOA[Category],"Unmapped")</f>
        <v>Assets</v>
      </c>
      <c r="I1402" s="4">
        <f t="shared" si="63"/>
        <v>21573.56</v>
      </c>
      <c r="J1402">
        <f t="shared" si="64"/>
        <v>2025</v>
      </c>
      <c r="K1402" s="5">
        <f t="shared" si="65"/>
        <v>45901</v>
      </c>
    </row>
    <row r="1403" spans="1:11" x14ac:dyDescent="0.25">
      <c r="A1403" t="s">
        <v>2156</v>
      </c>
      <c r="B1403" s="3">
        <v>45920</v>
      </c>
      <c r="C1403">
        <v>4010</v>
      </c>
      <c r="D1403" s="1">
        <v>0</v>
      </c>
      <c r="E1403" s="1">
        <v>21573.56</v>
      </c>
      <c r="F1403" t="s">
        <v>2157</v>
      </c>
      <c r="G1403" t="str">
        <f>_xlfn.XLOOKUP(C1403,tblCOA[AccountNo],tblCOA[AccountName],"Unmapped")</f>
        <v>Product Sales</v>
      </c>
      <c r="H1403" t="str">
        <f>_xlfn.XLOOKUP(C1403,tblCOA[AccountNo],tblCOA[Category],"Unmapped")</f>
        <v>Revenue</v>
      </c>
      <c r="I1403" s="4">
        <f t="shared" si="63"/>
        <v>-21573.56</v>
      </c>
      <c r="J1403">
        <f t="shared" si="64"/>
        <v>2025</v>
      </c>
      <c r="K1403" s="5">
        <f t="shared" si="65"/>
        <v>45901</v>
      </c>
    </row>
    <row r="1404" spans="1:11" x14ac:dyDescent="0.25">
      <c r="A1404" t="s">
        <v>3962</v>
      </c>
      <c r="B1404" s="3">
        <v>45920</v>
      </c>
      <c r="C1404">
        <v>1200</v>
      </c>
      <c r="D1404" s="1">
        <v>42923.839999999997</v>
      </c>
      <c r="E1404" s="1">
        <v>0</v>
      </c>
      <c r="F1404" t="s">
        <v>3963</v>
      </c>
      <c r="G1404" t="str">
        <f>_xlfn.XLOOKUP(C1404,tblCOA[AccountNo],tblCOA[AccountName],"Unmapped")</f>
        <v>Accounts Receivable</v>
      </c>
      <c r="H1404" t="str">
        <f>_xlfn.XLOOKUP(C1404,tblCOA[AccountNo],tblCOA[Category],"Unmapped")</f>
        <v>Assets</v>
      </c>
      <c r="I1404" s="4">
        <f t="shared" si="63"/>
        <v>42923.839999999997</v>
      </c>
      <c r="J1404">
        <f t="shared" si="64"/>
        <v>2025</v>
      </c>
      <c r="K1404" s="5">
        <f t="shared" si="65"/>
        <v>45901</v>
      </c>
    </row>
    <row r="1405" spans="1:11" x14ac:dyDescent="0.25">
      <c r="A1405" t="s">
        <v>3964</v>
      </c>
      <c r="B1405" s="3">
        <v>45920</v>
      </c>
      <c r="C1405">
        <v>4010</v>
      </c>
      <c r="D1405" s="1">
        <v>0</v>
      </c>
      <c r="E1405" s="1">
        <v>42923.839999999997</v>
      </c>
      <c r="F1405" t="s">
        <v>3965</v>
      </c>
      <c r="G1405" t="str">
        <f>_xlfn.XLOOKUP(C1405,tblCOA[AccountNo],tblCOA[AccountName],"Unmapped")</f>
        <v>Product Sales</v>
      </c>
      <c r="H1405" t="str">
        <f>_xlfn.XLOOKUP(C1405,tblCOA[AccountNo],tblCOA[Category],"Unmapped")</f>
        <v>Revenue</v>
      </c>
      <c r="I1405" s="4">
        <f t="shared" si="63"/>
        <v>-42923.839999999997</v>
      </c>
      <c r="J1405">
        <f t="shared" si="64"/>
        <v>2025</v>
      </c>
      <c r="K1405" s="5">
        <f t="shared" si="65"/>
        <v>45901</v>
      </c>
    </row>
    <row r="1406" spans="1:11" x14ac:dyDescent="0.25">
      <c r="A1406" t="s">
        <v>1006</v>
      </c>
      <c r="B1406" s="3">
        <v>45920</v>
      </c>
      <c r="C1406">
        <v>5010</v>
      </c>
      <c r="D1406" s="1">
        <v>15412.52</v>
      </c>
      <c r="E1406" s="1">
        <v>0</v>
      </c>
      <c r="F1406" t="s">
        <v>1007</v>
      </c>
      <c r="G1406" t="str">
        <f>_xlfn.XLOOKUP(C1406,tblCOA[AccountNo],tblCOA[AccountName],"Unmapped")</f>
        <v>Cost of Goods Sold</v>
      </c>
      <c r="H1406" t="str">
        <f>_xlfn.XLOOKUP(C1406,tblCOA[AccountNo],tblCOA[Category],"Unmapped")</f>
        <v>Expenses</v>
      </c>
      <c r="I1406" s="4">
        <f t="shared" si="63"/>
        <v>15412.52</v>
      </c>
      <c r="J1406">
        <f t="shared" si="64"/>
        <v>2025</v>
      </c>
      <c r="K1406" s="5">
        <f t="shared" si="65"/>
        <v>45901</v>
      </c>
    </row>
    <row r="1407" spans="1:11" x14ac:dyDescent="0.25">
      <c r="A1407" t="s">
        <v>1008</v>
      </c>
      <c r="B1407" s="3">
        <v>45920</v>
      </c>
      <c r="C1407">
        <v>2010</v>
      </c>
      <c r="D1407" s="1">
        <v>0</v>
      </c>
      <c r="E1407" s="1">
        <v>15412.52</v>
      </c>
      <c r="F1407" t="s">
        <v>1009</v>
      </c>
      <c r="G1407" t="str">
        <f>_xlfn.XLOOKUP(C1407,tblCOA[AccountNo],tblCOA[AccountName],"Unmapped")</f>
        <v>Accounts Payable</v>
      </c>
      <c r="H1407" t="str">
        <f>_xlfn.XLOOKUP(C1407,tblCOA[AccountNo],tblCOA[Category],"Unmapped")</f>
        <v>Liabilities</v>
      </c>
      <c r="I1407" s="4">
        <f t="shared" si="63"/>
        <v>-15412.52</v>
      </c>
      <c r="J1407">
        <f t="shared" si="64"/>
        <v>2025</v>
      </c>
      <c r="K1407" s="5">
        <f t="shared" si="65"/>
        <v>45901</v>
      </c>
    </row>
    <row r="1408" spans="1:11" x14ac:dyDescent="0.25">
      <c r="A1408" t="s">
        <v>2102</v>
      </c>
      <c r="B1408" s="3">
        <v>45923</v>
      </c>
      <c r="C1408">
        <v>5010</v>
      </c>
      <c r="D1408" s="1">
        <v>19310.189999999999</v>
      </c>
      <c r="E1408" s="1">
        <v>0</v>
      </c>
      <c r="F1408" t="s">
        <v>2103</v>
      </c>
      <c r="G1408" t="str">
        <f>_xlfn.XLOOKUP(C1408,tblCOA[AccountNo],tblCOA[AccountName],"Unmapped")</f>
        <v>Cost of Goods Sold</v>
      </c>
      <c r="H1408" t="str">
        <f>_xlfn.XLOOKUP(C1408,tblCOA[AccountNo],tblCOA[Category],"Unmapped")</f>
        <v>Expenses</v>
      </c>
      <c r="I1408" s="4">
        <f t="shared" si="63"/>
        <v>19310.189999999999</v>
      </c>
      <c r="J1408">
        <f t="shared" si="64"/>
        <v>2025</v>
      </c>
      <c r="K1408" s="5">
        <f t="shared" si="65"/>
        <v>45901</v>
      </c>
    </row>
    <row r="1409" spans="1:11" x14ac:dyDescent="0.25">
      <c r="A1409" t="s">
        <v>2104</v>
      </c>
      <c r="B1409" s="3">
        <v>45923</v>
      </c>
      <c r="C1409">
        <v>2010</v>
      </c>
      <c r="D1409" s="1">
        <v>0</v>
      </c>
      <c r="E1409" s="1">
        <v>19310.189999999999</v>
      </c>
      <c r="F1409" t="s">
        <v>2105</v>
      </c>
      <c r="G1409" t="str">
        <f>_xlfn.XLOOKUP(C1409,tblCOA[AccountNo],tblCOA[AccountName],"Unmapped")</f>
        <v>Accounts Payable</v>
      </c>
      <c r="H1409" t="str">
        <f>_xlfn.XLOOKUP(C1409,tblCOA[AccountNo],tblCOA[Category],"Unmapped")</f>
        <v>Liabilities</v>
      </c>
      <c r="I1409" s="4">
        <f t="shared" si="63"/>
        <v>-19310.189999999999</v>
      </c>
      <c r="J1409">
        <f t="shared" si="64"/>
        <v>2025</v>
      </c>
      <c r="K1409" s="5">
        <f t="shared" si="65"/>
        <v>45901</v>
      </c>
    </row>
    <row r="1410" spans="1:11" x14ac:dyDescent="0.25">
      <c r="A1410" t="s">
        <v>1078</v>
      </c>
      <c r="B1410" s="3">
        <v>45926</v>
      </c>
      <c r="C1410">
        <v>5010</v>
      </c>
      <c r="D1410" s="1">
        <v>12571.65</v>
      </c>
      <c r="E1410" s="1">
        <v>0</v>
      </c>
      <c r="F1410" t="s">
        <v>1079</v>
      </c>
      <c r="G1410" t="str">
        <f>_xlfn.XLOOKUP(C1410,tblCOA[AccountNo],tblCOA[AccountName],"Unmapped")</f>
        <v>Cost of Goods Sold</v>
      </c>
      <c r="H1410" t="str">
        <f>_xlfn.XLOOKUP(C1410,tblCOA[AccountNo],tblCOA[Category],"Unmapped")</f>
        <v>Expenses</v>
      </c>
      <c r="I1410" s="4">
        <f t="shared" ref="I1410:I1473" si="66">D1410-E1410</f>
        <v>12571.65</v>
      </c>
      <c r="J1410">
        <f t="shared" ref="J1410:J1473" si="67">YEAR(B1410)</f>
        <v>2025</v>
      </c>
      <c r="K1410" s="5">
        <f t="shared" ref="K1410:K1473" si="68">DATE(YEAR(B1410),MONTH(B1410),1)</f>
        <v>45901</v>
      </c>
    </row>
    <row r="1411" spans="1:11" x14ac:dyDescent="0.25">
      <c r="A1411" t="s">
        <v>1080</v>
      </c>
      <c r="B1411" s="3">
        <v>45926</v>
      </c>
      <c r="C1411">
        <v>2010</v>
      </c>
      <c r="D1411" s="1">
        <v>0</v>
      </c>
      <c r="E1411" s="1">
        <v>12571.65</v>
      </c>
      <c r="F1411" t="s">
        <v>1081</v>
      </c>
      <c r="G1411" t="str">
        <f>_xlfn.XLOOKUP(C1411,tblCOA[AccountNo],tblCOA[AccountName],"Unmapped")</f>
        <v>Accounts Payable</v>
      </c>
      <c r="H1411" t="str">
        <f>_xlfn.XLOOKUP(C1411,tblCOA[AccountNo],tblCOA[Category],"Unmapped")</f>
        <v>Liabilities</v>
      </c>
      <c r="I1411" s="4">
        <f t="shared" si="66"/>
        <v>-12571.65</v>
      </c>
      <c r="J1411">
        <f t="shared" si="67"/>
        <v>2025</v>
      </c>
      <c r="K1411" s="5">
        <f t="shared" si="68"/>
        <v>45901</v>
      </c>
    </row>
    <row r="1412" spans="1:11" x14ac:dyDescent="0.25">
      <c r="A1412" t="s">
        <v>2410</v>
      </c>
      <c r="B1412" s="3">
        <v>45928</v>
      </c>
      <c r="C1412">
        <v>1200</v>
      </c>
      <c r="D1412" s="1">
        <v>4621.58</v>
      </c>
      <c r="E1412" s="1">
        <v>0</v>
      </c>
      <c r="F1412" t="s">
        <v>2411</v>
      </c>
      <c r="G1412" t="str">
        <f>_xlfn.XLOOKUP(C1412,tblCOA[AccountNo],tblCOA[AccountName],"Unmapped")</f>
        <v>Accounts Receivable</v>
      </c>
      <c r="H1412" t="str">
        <f>_xlfn.XLOOKUP(C1412,tblCOA[AccountNo],tblCOA[Category],"Unmapped")</f>
        <v>Assets</v>
      </c>
      <c r="I1412" s="4">
        <f t="shared" si="66"/>
        <v>4621.58</v>
      </c>
      <c r="J1412">
        <f t="shared" si="67"/>
        <v>2025</v>
      </c>
      <c r="K1412" s="5">
        <f t="shared" si="68"/>
        <v>45901</v>
      </c>
    </row>
    <row r="1413" spans="1:11" x14ac:dyDescent="0.25">
      <c r="A1413" t="s">
        <v>2412</v>
      </c>
      <c r="B1413" s="3">
        <v>45928</v>
      </c>
      <c r="C1413">
        <v>4010</v>
      </c>
      <c r="D1413" s="1">
        <v>0</v>
      </c>
      <c r="E1413" s="1">
        <v>4621.58</v>
      </c>
      <c r="F1413" t="s">
        <v>2413</v>
      </c>
      <c r="G1413" t="str">
        <f>_xlfn.XLOOKUP(C1413,tblCOA[AccountNo],tblCOA[AccountName],"Unmapped")</f>
        <v>Product Sales</v>
      </c>
      <c r="H1413" t="str">
        <f>_xlfn.XLOOKUP(C1413,tblCOA[AccountNo],tblCOA[Category],"Unmapped")</f>
        <v>Revenue</v>
      </c>
      <c r="I1413" s="4">
        <f t="shared" si="66"/>
        <v>-4621.58</v>
      </c>
      <c r="J1413">
        <f t="shared" si="67"/>
        <v>2025</v>
      </c>
      <c r="K1413" s="5">
        <f t="shared" si="68"/>
        <v>45901</v>
      </c>
    </row>
    <row r="1414" spans="1:11" x14ac:dyDescent="0.25">
      <c r="A1414" t="s">
        <v>30</v>
      </c>
      <c r="B1414" s="3">
        <v>45929</v>
      </c>
      <c r="C1414">
        <v>5010</v>
      </c>
      <c r="D1414" s="1">
        <v>11228.89</v>
      </c>
      <c r="E1414" s="1">
        <v>0</v>
      </c>
      <c r="F1414" t="s">
        <v>31</v>
      </c>
      <c r="G1414" t="str">
        <f>_xlfn.XLOOKUP(C1414,tblCOA[AccountNo],tblCOA[AccountName],"Unmapped")</f>
        <v>Cost of Goods Sold</v>
      </c>
      <c r="H1414" t="str">
        <f>_xlfn.XLOOKUP(C1414,tblCOA[AccountNo],tblCOA[Category],"Unmapped")</f>
        <v>Expenses</v>
      </c>
      <c r="I1414" s="4">
        <f t="shared" si="66"/>
        <v>11228.89</v>
      </c>
      <c r="J1414">
        <f t="shared" si="67"/>
        <v>2025</v>
      </c>
      <c r="K1414" s="5">
        <f t="shared" si="68"/>
        <v>45901</v>
      </c>
    </row>
    <row r="1415" spans="1:11" x14ac:dyDescent="0.25">
      <c r="A1415" t="s">
        <v>32</v>
      </c>
      <c r="B1415" s="3">
        <v>45929</v>
      </c>
      <c r="C1415">
        <v>2010</v>
      </c>
      <c r="D1415" s="1">
        <v>0</v>
      </c>
      <c r="E1415" s="1">
        <v>11228.89</v>
      </c>
      <c r="F1415" t="s">
        <v>33</v>
      </c>
      <c r="G1415" t="str">
        <f>_xlfn.XLOOKUP(C1415,tblCOA[AccountNo],tblCOA[AccountName],"Unmapped")</f>
        <v>Accounts Payable</v>
      </c>
      <c r="H1415" t="str">
        <f>_xlfn.XLOOKUP(C1415,tblCOA[AccountNo],tblCOA[Category],"Unmapped")</f>
        <v>Liabilities</v>
      </c>
      <c r="I1415" s="4">
        <f t="shared" si="66"/>
        <v>-11228.89</v>
      </c>
      <c r="J1415">
        <f t="shared" si="67"/>
        <v>2025</v>
      </c>
      <c r="K1415" s="5">
        <f t="shared" si="68"/>
        <v>45901</v>
      </c>
    </row>
    <row r="1416" spans="1:11" x14ac:dyDescent="0.25">
      <c r="A1416" t="s">
        <v>3762</v>
      </c>
      <c r="B1416" s="3">
        <v>45929</v>
      </c>
      <c r="C1416">
        <v>1200</v>
      </c>
      <c r="D1416" s="1">
        <v>28677.61</v>
      </c>
      <c r="E1416" s="1">
        <v>0</v>
      </c>
      <c r="F1416" t="s">
        <v>3763</v>
      </c>
      <c r="G1416" t="str">
        <f>_xlfn.XLOOKUP(C1416,tblCOA[AccountNo],tblCOA[AccountName],"Unmapped")</f>
        <v>Accounts Receivable</v>
      </c>
      <c r="H1416" t="str">
        <f>_xlfn.XLOOKUP(C1416,tblCOA[AccountNo],tblCOA[Category],"Unmapped")</f>
        <v>Assets</v>
      </c>
      <c r="I1416" s="4">
        <f t="shared" si="66"/>
        <v>28677.61</v>
      </c>
      <c r="J1416">
        <f t="shared" si="67"/>
        <v>2025</v>
      </c>
      <c r="K1416" s="5">
        <f t="shared" si="68"/>
        <v>45901</v>
      </c>
    </row>
    <row r="1417" spans="1:11" x14ac:dyDescent="0.25">
      <c r="A1417" t="s">
        <v>3764</v>
      </c>
      <c r="B1417" s="3">
        <v>45929</v>
      </c>
      <c r="C1417">
        <v>4010</v>
      </c>
      <c r="D1417" s="1">
        <v>0</v>
      </c>
      <c r="E1417" s="1">
        <v>28677.61</v>
      </c>
      <c r="F1417" t="s">
        <v>3765</v>
      </c>
      <c r="G1417" t="str">
        <f>_xlfn.XLOOKUP(C1417,tblCOA[AccountNo],tblCOA[AccountName],"Unmapped")</f>
        <v>Product Sales</v>
      </c>
      <c r="H1417" t="str">
        <f>_xlfn.XLOOKUP(C1417,tblCOA[AccountNo],tblCOA[Category],"Unmapped")</f>
        <v>Revenue</v>
      </c>
      <c r="I1417" s="4">
        <f t="shared" si="66"/>
        <v>-28677.61</v>
      </c>
      <c r="J1417">
        <f t="shared" si="67"/>
        <v>2025</v>
      </c>
      <c r="K1417" s="5">
        <f t="shared" si="68"/>
        <v>45901</v>
      </c>
    </row>
    <row r="1418" spans="1:11" x14ac:dyDescent="0.25">
      <c r="A1418" t="s">
        <v>3082</v>
      </c>
      <c r="B1418" s="3">
        <v>45931</v>
      </c>
      <c r="C1418">
        <v>1200</v>
      </c>
      <c r="D1418" s="1">
        <v>9822.0499999999993</v>
      </c>
      <c r="E1418" s="1">
        <v>0</v>
      </c>
      <c r="F1418" t="s">
        <v>3083</v>
      </c>
      <c r="G1418" t="str">
        <f>_xlfn.XLOOKUP(C1418,tblCOA[AccountNo],tblCOA[AccountName],"Unmapped")</f>
        <v>Accounts Receivable</v>
      </c>
      <c r="H1418" t="str">
        <f>_xlfn.XLOOKUP(C1418,tblCOA[AccountNo],tblCOA[Category],"Unmapped")</f>
        <v>Assets</v>
      </c>
      <c r="I1418" s="4">
        <f t="shared" si="66"/>
        <v>9822.0499999999993</v>
      </c>
      <c r="J1418">
        <f t="shared" si="67"/>
        <v>2025</v>
      </c>
      <c r="K1418" s="5">
        <f t="shared" si="68"/>
        <v>45931</v>
      </c>
    </row>
    <row r="1419" spans="1:11" x14ac:dyDescent="0.25">
      <c r="A1419" t="s">
        <v>3084</v>
      </c>
      <c r="B1419" s="3">
        <v>45931</v>
      </c>
      <c r="C1419">
        <v>4010</v>
      </c>
      <c r="D1419" s="1">
        <v>0</v>
      </c>
      <c r="E1419" s="1">
        <v>9822.0499999999993</v>
      </c>
      <c r="F1419" t="s">
        <v>3085</v>
      </c>
      <c r="G1419" t="str">
        <f>_xlfn.XLOOKUP(C1419,tblCOA[AccountNo],tblCOA[AccountName],"Unmapped")</f>
        <v>Product Sales</v>
      </c>
      <c r="H1419" t="str">
        <f>_xlfn.XLOOKUP(C1419,tblCOA[AccountNo],tblCOA[Category],"Unmapped")</f>
        <v>Revenue</v>
      </c>
      <c r="I1419" s="4">
        <f t="shared" si="66"/>
        <v>-9822.0499999999993</v>
      </c>
      <c r="J1419">
        <f t="shared" si="67"/>
        <v>2025</v>
      </c>
      <c r="K1419" s="5">
        <f t="shared" si="68"/>
        <v>45931</v>
      </c>
    </row>
    <row r="1420" spans="1:11" x14ac:dyDescent="0.25">
      <c r="A1420" t="s">
        <v>2402</v>
      </c>
      <c r="B1420" s="3">
        <v>45934</v>
      </c>
      <c r="C1420">
        <v>1200</v>
      </c>
      <c r="D1420" s="1">
        <v>21070.59</v>
      </c>
      <c r="E1420" s="1">
        <v>0</v>
      </c>
      <c r="F1420" t="s">
        <v>2403</v>
      </c>
      <c r="G1420" t="str">
        <f>_xlfn.XLOOKUP(C1420,tblCOA[AccountNo],tblCOA[AccountName],"Unmapped")</f>
        <v>Accounts Receivable</v>
      </c>
      <c r="H1420" t="str">
        <f>_xlfn.XLOOKUP(C1420,tblCOA[AccountNo],tblCOA[Category],"Unmapped")</f>
        <v>Assets</v>
      </c>
      <c r="I1420" s="4">
        <f t="shared" si="66"/>
        <v>21070.59</v>
      </c>
      <c r="J1420">
        <f t="shared" si="67"/>
        <v>2025</v>
      </c>
      <c r="K1420" s="5">
        <f t="shared" si="68"/>
        <v>45931</v>
      </c>
    </row>
    <row r="1421" spans="1:11" x14ac:dyDescent="0.25">
      <c r="A1421" t="s">
        <v>2404</v>
      </c>
      <c r="B1421" s="3">
        <v>45934</v>
      </c>
      <c r="C1421">
        <v>4010</v>
      </c>
      <c r="D1421" s="1">
        <v>0</v>
      </c>
      <c r="E1421" s="1">
        <v>21070.59</v>
      </c>
      <c r="F1421" t="s">
        <v>2405</v>
      </c>
      <c r="G1421" t="str">
        <f>_xlfn.XLOOKUP(C1421,tblCOA[AccountNo],tblCOA[AccountName],"Unmapped")</f>
        <v>Product Sales</v>
      </c>
      <c r="H1421" t="str">
        <f>_xlfn.XLOOKUP(C1421,tblCOA[AccountNo],tblCOA[Category],"Unmapped")</f>
        <v>Revenue</v>
      </c>
      <c r="I1421" s="4">
        <f t="shared" si="66"/>
        <v>-21070.59</v>
      </c>
      <c r="J1421">
        <f t="shared" si="67"/>
        <v>2025</v>
      </c>
      <c r="K1421" s="5">
        <f t="shared" si="68"/>
        <v>45931</v>
      </c>
    </row>
    <row r="1422" spans="1:11" x14ac:dyDescent="0.25">
      <c r="A1422" t="s">
        <v>674</v>
      </c>
      <c r="B1422" s="3">
        <v>45935</v>
      </c>
      <c r="C1422">
        <v>1200</v>
      </c>
      <c r="D1422" s="1">
        <v>35476.11</v>
      </c>
      <c r="E1422" s="1">
        <v>0</v>
      </c>
      <c r="F1422" t="s">
        <v>675</v>
      </c>
      <c r="G1422" t="str">
        <f>_xlfn.XLOOKUP(C1422,tblCOA[AccountNo],tblCOA[AccountName],"Unmapped")</f>
        <v>Accounts Receivable</v>
      </c>
      <c r="H1422" t="str">
        <f>_xlfn.XLOOKUP(C1422,tblCOA[AccountNo],tblCOA[Category],"Unmapped")</f>
        <v>Assets</v>
      </c>
      <c r="I1422" s="4">
        <f t="shared" si="66"/>
        <v>35476.11</v>
      </c>
      <c r="J1422">
        <f t="shared" si="67"/>
        <v>2025</v>
      </c>
      <c r="K1422" s="5">
        <f t="shared" si="68"/>
        <v>45931</v>
      </c>
    </row>
    <row r="1423" spans="1:11" x14ac:dyDescent="0.25">
      <c r="A1423" t="s">
        <v>676</v>
      </c>
      <c r="B1423" s="3">
        <v>45935</v>
      </c>
      <c r="C1423">
        <v>4010</v>
      </c>
      <c r="D1423" s="1">
        <v>0</v>
      </c>
      <c r="E1423" s="1">
        <v>35476.11</v>
      </c>
      <c r="F1423" t="s">
        <v>677</v>
      </c>
      <c r="G1423" t="str">
        <f>_xlfn.XLOOKUP(C1423,tblCOA[AccountNo],tblCOA[AccountName],"Unmapped")</f>
        <v>Product Sales</v>
      </c>
      <c r="H1423" t="str">
        <f>_xlfn.XLOOKUP(C1423,tblCOA[AccountNo],tblCOA[Category],"Unmapped")</f>
        <v>Revenue</v>
      </c>
      <c r="I1423" s="4">
        <f t="shared" si="66"/>
        <v>-35476.11</v>
      </c>
      <c r="J1423">
        <f t="shared" si="67"/>
        <v>2025</v>
      </c>
      <c r="K1423" s="5">
        <f t="shared" si="68"/>
        <v>45931</v>
      </c>
    </row>
    <row r="1424" spans="1:11" x14ac:dyDescent="0.25">
      <c r="A1424" t="s">
        <v>2818</v>
      </c>
      <c r="B1424" s="3">
        <v>45936</v>
      </c>
      <c r="C1424">
        <v>1200</v>
      </c>
      <c r="D1424" s="1">
        <v>18482.64</v>
      </c>
      <c r="E1424" s="1">
        <v>0</v>
      </c>
      <c r="F1424" t="s">
        <v>2819</v>
      </c>
      <c r="G1424" t="str">
        <f>_xlfn.XLOOKUP(C1424,tblCOA[AccountNo],tblCOA[AccountName],"Unmapped")</f>
        <v>Accounts Receivable</v>
      </c>
      <c r="H1424" t="str">
        <f>_xlfn.XLOOKUP(C1424,tblCOA[AccountNo],tblCOA[Category],"Unmapped")</f>
        <v>Assets</v>
      </c>
      <c r="I1424" s="4">
        <f t="shared" si="66"/>
        <v>18482.64</v>
      </c>
      <c r="J1424">
        <f t="shared" si="67"/>
        <v>2025</v>
      </c>
      <c r="K1424" s="5">
        <f t="shared" si="68"/>
        <v>45931</v>
      </c>
    </row>
    <row r="1425" spans="1:11" x14ac:dyDescent="0.25">
      <c r="A1425" t="s">
        <v>2820</v>
      </c>
      <c r="B1425" s="3">
        <v>45936</v>
      </c>
      <c r="C1425">
        <v>4010</v>
      </c>
      <c r="D1425" s="1">
        <v>0</v>
      </c>
      <c r="E1425" s="1">
        <v>18482.64</v>
      </c>
      <c r="F1425" t="s">
        <v>2821</v>
      </c>
      <c r="G1425" t="str">
        <f>_xlfn.XLOOKUP(C1425,tblCOA[AccountNo],tblCOA[AccountName],"Unmapped")</f>
        <v>Product Sales</v>
      </c>
      <c r="H1425" t="str">
        <f>_xlfn.XLOOKUP(C1425,tblCOA[AccountNo],tblCOA[Category],"Unmapped")</f>
        <v>Revenue</v>
      </c>
      <c r="I1425" s="4">
        <f t="shared" si="66"/>
        <v>-18482.64</v>
      </c>
      <c r="J1425">
        <f t="shared" si="67"/>
        <v>2025</v>
      </c>
      <c r="K1425" s="5">
        <f t="shared" si="68"/>
        <v>45931</v>
      </c>
    </row>
    <row r="1426" spans="1:11" x14ac:dyDescent="0.25">
      <c r="A1426" t="s">
        <v>3586</v>
      </c>
      <c r="B1426" s="3">
        <v>45936</v>
      </c>
      <c r="C1426">
        <v>1200</v>
      </c>
      <c r="D1426" s="1">
        <v>4179.9399999999996</v>
      </c>
      <c r="E1426" s="1">
        <v>0</v>
      </c>
      <c r="F1426" t="s">
        <v>3587</v>
      </c>
      <c r="G1426" t="str">
        <f>_xlfn.XLOOKUP(C1426,tblCOA[AccountNo],tblCOA[AccountName],"Unmapped")</f>
        <v>Accounts Receivable</v>
      </c>
      <c r="H1426" t="str">
        <f>_xlfn.XLOOKUP(C1426,tblCOA[AccountNo],tblCOA[Category],"Unmapped")</f>
        <v>Assets</v>
      </c>
      <c r="I1426" s="4">
        <f t="shared" si="66"/>
        <v>4179.9399999999996</v>
      </c>
      <c r="J1426">
        <f t="shared" si="67"/>
        <v>2025</v>
      </c>
      <c r="K1426" s="5">
        <f t="shared" si="68"/>
        <v>45931</v>
      </c>
    </row>
    <row r="1427" spans="1:11" x14ac:dyDescent="0.25">
      <c r="A1427" t="s">
        <v>3588</v>
      </c>
      <c r="B1427" s="3">
        <v>45936</v>
      </c>
      <c r="C1427">
        <v>4010</v>
      </c>
      <c r="D1427" s="1">
        <v>0</v>
      </c>
      <c r="E1427" s="1">
        <v>4179.9399999999996</v>
      </c>
      <c r="F1427" t="s">
        <v>3589</v>
      </c>
      <c r="G1427" t="str">
        <f>_xlfn.XLOOKUP(C1427,tblCOA[AccountNo],tblCOA[AccountName],"Unmapped")</f>
        <v>Product Sales</v>
      </c>
      <c r="H1427" t="str">
        <f>_xlfn.XLOOKUP(C1427,tblCOA[AccountNo],tblCOA[Category],"Unmapped")</f>
        <v>Revenue</v>
      </c>
      <c r="I1427" s="4">
        <f t="shared" si="66"/>
        <v>-4179.9399999999996</v>
      </c>
      <c r="J1427">
        <f t="shared" si="67"/>
        <v>2025</v>
      </c>
      <c r="K1427" s="5">
        <f t="shared" si="68"/>
        <v>45931</v>
      </c>
    </row>
    <row r="1428" spans="1:11" x14ac:dyDescent="0.25">
      <c r="A1428" t="s">
        <v>3826</v>
      </c>
      <c r="B1428" s="3">
        <v>45936</v>
      </c>
      <c r="C1428">
        <v>1200</v>
      </c>
      <c r="D1428" s="1">
        <v>6433.96</v>
      </c>
      <c r="E1428" s="1">
        <v>0</v>
      </c>
      <c r="F1428" t="s">
        <v>3827</v>
      </c>
      <c r="G1428" t="str">
        <f>_xlfn.XLOOKUP(C1428,tblCOA[AccountNo],tblCOA[AccountName],"Unmapped")</f>
        <v>Accounts Receivable</v>
      </c>
      <c r="H1428" t="str">
        <f>_xlfn.XLOOKUP(C1428,tblCOA[AccountNo],tblCOA[Category],"Unmapped")</f>
        <v>Assets</v>
      </c>
      <c r="I1428" s="4">
        <f t="shared" si="66"/>
        <v>6433.96</v>
      </c>
      <c r="J1428">
        <f t="shared" si="67"/>
        <v>2025</v>
      </c>
      <c r="K1428" s="5">
        <f t="shared" si="68"/>
        <v>45931</v>
      </c>
    </row>
    <row r="1429" spans="1:11" x14ac:dyDescent="0.25">
      <c r="A1429" t="s">
        <v>3828</v>
      </c>
      <c r="B1429" s="3">
        <v>45936</v>
      </c>
      <c r="C1429">
        <v>4010</v>
      </c>
      <c r="D1429" s="1">
        <v>0</v>
      </c>
      <c r="E1429" s="1">
        <v>6433.96</v>
      </c>
      <c r="F1429" t="s">
        <v>3829</v>
      </c>
      <c r="G1429" t="str">
        <f>_xlfn.XLOOKUP(C1429,tblCOA[AccountNo],tblCOA[AccountName],"Unmapped")</f>
        <v>Product Sales</v>
      </c>
      <c r="H1429" t="str">
        <f>_xlfn.XLOOKUP(C1429,tblCOA[AccountNo],tblCOA[Category],"Unmapped")</f>
        <v>Revenue</v>
      </c>
      <c r="I1429" s="4">
        <f t="shared" si="66"/>
        <v>-6433.96</v>
      </c>
      <c r="J1429">
        <f t="shared" si="67"/>
        <v>2025</v>
      </c>
      <c r="K1429" s="5">
        <f t="shared" si="68"/>
        <v>45931</v>
      </c>
    </row>
    <row r="1430" spans="1:11" x14ac:dyDescent="0.25">
      <c r="A1430" t="s">
        <v>1322</v>
      </c>
      <c r="B1430" s="3">
        <v>45936</v>
      </c>
      <c r="C1430">
        <v>1200</v>
      </c>
      <c r="D1430" s="1">
        <v>11740.73</v>
      </c>
      <c r="E1430" s="1">
        <v>0</v>
      </c>
      <c r="F1430" t="s">
        <v>1323</v>
      </c>
      <c r="G1430" t="str">
        <f>_xlfn.XLOOKUP(C1430,tblCOA[AccountNo],tblCOA[AccountName],"Unmapped")</f>
        <v>Accounts Receivable</v>
      </c>
      <c r="H1430" t="str">
        <f>_xlfn.XLOOKUP(C1430,tblCOA[AccountNo],tblCOA[Category],"Unmapped")</f>
        <v>Assets</v>
      </c>
      <c r="I1430" s="4">
        <f t="shared" si="66"/>
        <v>11740.73</v>
      </c>
      <c r="J1430">
        <f t="shared" si="67"/>
        <v>2025</v>
      </c>
      <c r="K1430" s="5">
        <f t="shared" si="68"/>
        <v>45931</v>
      </c>
    </row>
    <row r="1431" spans="1:11" x14ac:dyDescent="0.25">
      <c r="A1431" t="s">
        <v>1324</v>
      </c>
      <c r="B1431" s="3">
        <v>45936</v>
      </c>
      <c r="C1431">
        <v>4010</v>
      </c>
      <c r="D1431" s="1">
        <v>0</v>
      </c>
      <c r="E1431" s="1">
        <v>11740.73</v>
      </c>
      <c r="F1431" t="s">
        <v>1325</v>
      </c>
      <c r="G1431" t="str">
        <f>_xlfn.XLOOKUP(C1431,tblCOA[AccountNo],tblCOA[AccountName],"Unmapped")</f>
        <v>Product Sales</v>
      </c>
      <c r="H1431" t="str">
        <f>_xlfn.XLOOKUP(C1431,tblCOA[AccountNo],tblCOA[Category],"Unmapped")</f>
        <v>Revenue</v>
      </c>
      <c r="I1431" s="4">
        <f t="shared" si="66"/>
        <v>-11740.73</v>
      </c>
      <c r="J1431">
        <f t="shared" si="67"/>
        <v>2025</v>
      </c>
      <c r="K1431" s="5">
        <f t="shared" si="68"/>
        <v>45931</v>
      </c>
    </row>
    <row r="1432" spans="1:11" x14ac:dyDescent="0.25">
      <c r="A1432" t="s">
        <v>3006</v>
      </c>
      <c r="B1432" s="3">
        <v>45937</v>
      </c>
      <c r="C1432">
        <v>5010</v>
      </c>
      <c r="D1432" s="1">
        <v>2946.72</v>
      </c>
      <c r="E1432" s="1">
        <v>0</v>
      </c>
      <c r="F1432" t="s">
        <v>3007</v>
      </c>
      <c r="G1432" t="str">
        <f>_xlfn.XLOOKUP(C1432,tblCOA[AccountNo],tblCOA[AccountName],"Unmapped")</f>
        <v>Cost of Goods Sold</v>
      </c>
      <c r="H1432" t="str">
        <f>_xlfn.XLOOKUP(C1432,tblCOA[AccountNo],tblCOA[Category],"Unmapped")</f>
        <v>Expenses</v>
      </c>
      <c r="I1432" s="4">
        <f t="shared" si="66"/>
        <v>2946.72</v>
      </c>
      <c r="J1432">
        <f t="shared" si="67"/>
        <v>2025</v>
      </c>
      <c r="K1432" s="5">
        <f t="shared" si="68"/>
        <v>45931</v>
      </c>
    </row>
    <row r="1433" spans="1:11" x14ac:dyDescent="0.25">
      <c r="A1433" t="s">
        <v>3008</v>
      </c>
      <c r="B1433" s="3">
        <v>45937</v>
      </c>
      <c r="C1433">
        <v>2010</v>
      </c>
      <c r="D1433" s="1">
        <v>0</v>
      </c>
      <c r="E1433" s="1">
        <v>2946.72</v>
      </c>
      <c r="F1433" t="s">
        <v>3009</v>
      </c>
      <c r="G1433" t="str">
        <f>_xlfn.XLOOKUP(C1433,tblCOA[AccountNo],tblCOA[AccountName],"Unmapped")</f>
        <v>Accounts Payable</v>
      </c>
      <c r="H1433" t="str">
        <f>_xlfn.XLOOKUP(C1433,tblCOA[AccountNo],tblCOA[Category],"Unmapped")</f>
        <v>Liabilities</v>
      </c>
      <c r="I1433" s="4">
        <f t="shared" si="66"/>
        <v>-2946.72</v>
      </c>
      <c r="J1433">
        <f t="shared" si="67"/>
        <v>2025</v>
      </c>
      <c r="K1433" s="5">
        <f t="shared" si="68"/>
        <v>45931</v>
      </c>
    </row>
    <row r="1434" spans="1:11" x14ac:dyDescent="0.25">
      <c r="A1434" t="s">
        <v>606</v>
      </c>
      <c r="B1434" s="3">
        <v>45940</v>
      </c>
      <c r="C1434">
        <v>5010</v>
      </c>
      <c r="D1434" s="1">
        <v>2970.46</v>
      </c>
      <c r="E1434" s="1">
        <v>0</v>
      </c>
      <c r="F1434" t="s">
        <v>607</v>
      </c>
      <c r="G1434" t="str">
        <f>_xlfn.XLOOKUP(C1434,tblCOA[AccountNo],tblCOA[AccountName],"Unmapped")</f>
        <v>Cost of Goods Sold</v>
      </c>
      <c r="H1434" t="str">
        <f>_xlfn.XLOOKUP(C1434,tblCOA[AccountNo],tblCOA[Category],"Unmapped")</f>
        <v>Expenses</v>
      </c>
      <c r="I1434" s="4">
        <f t="shared" si="66"/>
        <v>2970.46</v>
      </c>
      <c r="J1434">
        <f t="shared" si="67"/>
        <v>2025</v>
      </c>
      <c r="K1434" s="5">
        <f t="shared" si="68"/>
        <v>45931</v>
      </c>
    </row>
    <row r="1435" spans="1:11" x14ac:dyDescent="0.25">
      <c r="A1435" t="s">
        <v>608</v>
      </c>
      <c r="B1435" s="3">
        <v>45940</v>
      </c>
      <c r="C1435">
        <v>2010</v>
      </c>
      <c r="D1435" s="1">
        <v>0</v>
      </c>
      <c r="E1435" s="1">
        <v>2970.46</v>
      </c>
      <c r="F1435" t="s">
        <v>609</v>
      </c>
      <c r="G1435" t="str">
        <f>_xlfn.XLOOKUP(C1435,tblCOA[AccountNo],tblCOA[AccountName],"Unmapped")</f>
        <v>Accounts Payable</v>
      </c>
      <c r="H1435" t="str">
        <f>_xlfn.XLOOKUP(C1435,tblCOA[AccountNo],tblCOA[Category],"Unmapped")</f>
        <v>Liabilities</v>
      </c>
      <c r="I1435" s="4">
        <f t="shared" si="66"/>
        <v>-2970.46</v>
      </c>
      <c r="J1435">
        <f t="shared" si="67"/>
        <v>2025</v>
      </c>
      <c r="K1435" s="5">
        <f t="shared" si="68"/>
        <v>45931</v>
      </c>
    </row>
    <row r="1436" spans="1:11" x14ac:dyDescent="0.25">
      <c r="A1436" t="s">
        <v>1706</v>
      </c>
      <c r="B1436" s="3">
        <v>45943</v>
      </c>
      <c r="C1436">
        <v>1200</v>
      </c>
      <c r="D1436" s="1">
        <v>43932.160000000003</v>
      </c>
      <c r="E1436" s="1">
        <v>0</v>
      </c>
      <c r="F1436" t="s">
        <v>1707</v>
      </c>
      <c r="G1436" t="str">
        <f>_xlfn.XLOOKUP(C1436,tblCOA[AccountNo],tblCOA[AccountName],"Unmapped")</f>
        <v>Accounts Receivable</v>
      </c>
      <c r="H1436" t="str">
        <f>_xlfn.XLOOKUP(C1436,tblCOA[AccountNo],tblCOA[Category],"Unmapped")</f>
        <v>Assets</v>
      </c>
      <c r="I1436" s="4">
        <f t="shared" si="66"/>
        <v>43932.160000000003</v>
      </c>
      <c r="J1436">
        <f t="shared" si="67"/>
        <v>2025</v>
      </c>
      <c r="K1436" s="5">
        <f t="shared" si="68"/>
        <v>45931</v>
      </c>
    </row>
    <row r="1437" spans="1:11" x14ac:dyDescent="0.25">
      <c r="A1437" t="s">
        <v>1708</v>
      </c>
      <c r="B1437" s="3">
        <v>45943</v>
      </c>
      <c r="C1437">
        <v>4010</v>
      </c>
      <c r="D1437" s="1">
        <v>0</v>
      </c>
      <c r="E1437" s="1">
        <v>43932.160000000003</v>
      </c>
      <c r="F1437" t="s">
        <v>1709</v>
      </c>
      <c r="G1437" t="str">
        <f>_xlfn.XLOOKUP(C1437,tblCOA[AccountNo],tblCOA[AccountName],"Unmapped")</f>
        <v>Product Sales</v>
      </c>
      <c r="H1437" t="str">
        <f>_xlfn.XLOOKUP(C1437,tblCOA[AccountNo],tblCOA[Category],"Unmapped")</f>
        <v>Revenue</v>
      </c>
      <c r="I1437" s="4">
        <f t="shared" si="66"/>
        <v>-43932.160000000003</v>
      </c>
      <c r="J1437">
        <f t="shared" si="67"/>
        <v>2025</v>
      </c>
      <c r="K1437" s="5">
        <f t="shared" si="68"/>
        <v>45931</v>
      </c>
    </row>
    <row r="1438" spans="1:11" x14ac:dyDescent="0.25">
      <c r="A1438" t="s">
        <v>3054</v>
      </c>
      <c r="B1438" s="3">
        <v>45944</v>
      </c>
      <c r="C1438">
        <v>5010</v>
      </c>
      <c r="D1438" s="1">
        <v>8299.7800000000007</v>
      </c>
      <c r="E1438" s="1">
        <v>0</v>
      </c>
      <c r="F1438" t="s">
        <v>3055</v>
      </c>
      <c r="G1438" t="str">
        <f>_xlfn.XLOOKUP(C1438,tblCOA[AccountNo],tblCOA[AccountName],"Unmapped")</f>
        <v>Cost of Goods Sold</v>
      </c>
      <c r="H1438" t="str">
        <f>_xlfn.XLOOKUP(C1438,tblCOA[AccountNo],tblCOA[Category],"Unmapped")</f>
        <v>Expenses</v>
      </c>
      <c r="I1438" s="4">
        <f t="shared" si="66"/>
        <v>8299.7800000000007</v>
      </c>
      <c r="J1438">
        <f t="shared" si="67"/>
        <v>2025</v>
      </c>
      <c r="K1438" s="5">
        <f t="shared" si="68"/>
        <v>45931</v>
      </c>
    </row>
    <row r="1439" spans="1:11" x14ac:dyDescent="0.25">
      <c r="A1439" t="s">
        <v>3056</v>
      </c>
      <c r="B1439" s="3">
        <v>45944</v>
      </c>
      <c r="C1439">
        <v>2010</v>
      </c>
      <c r="D1439" s="1">
        <v>0</v>
      </c>
      <c r="E1439" s="1">
        <v>8299.7800000000007</v>
      </c>
      <c r="F1439" t="s">
        <v>3057</v>
      </c>
      <c r="G1439" t="str">
        <f>_xlfn.XLOOKUP(C1439,tblCOA[AccountNo],tblCOA[AccountName],"Unmapped")</f>
        <v>Accounts Payable</v>
      </c>
      <c r="H1439" t="str">
        <f>_xlfn.XLOOKUP(C1439,tblCOA[AccountNo],tblCOA[Category],"Unmapped")</f>
        <v>Liabilities</v>
      </c>
      <c r="I1439" s="4">
        <f t="shared" si="66"/>
        <v>-8299.7800000000007</v>
      </c>
      <c r="J1439">
        <f t="shared" si="67"/>
        <v>2025</v>
      </c>
      <c r="K1439" s="5">
        <f t="shared" si="68"/>
        <v>45931</v>
      </c>
    </row>
    <row r="1440" spans="1:11" x14ac:dyDescent="0.25">
      <c r="A1440" t="s">
        <v>1162</v>
      </c>
      <c r="B1440" s="3">
        <v>45945</v>
      </c>
      <c r="C1440">
        <v>1200</v>
      </c>
      <c r="D1440" s="1">
        <v>3294.16</v>
      </c>
      <c r="E1440" s="1">
        <v>0</v>
      </c>
      <c r="F1440" t="s">
        <v>1163</v>
      </c>
      <c r="G1440" t="str">
        <f>_xlfn.XLOOKUP(C1440,tblCOA[AccountNo],tblCOA[AccountName],"Unmapped")</f>
        <v>Accounts Receivable</v>
      </c>
      <c r="H1440" t="str">
        <f>_xlfn.XLOOKUP(C1440,tblCOA[AccountNo],tblCOA[Category],"Unmapped")</f>
        <v>Assets</v>
      </c>
      <c r="I1440" s="4">
        <f t="shared" si="66"/>
        <v>3294.16</v>
      </c>
      <c r="J1440">
        <f t="shared" si="67"/>
        <v>2025</v>
      </c>
      <c r="K1440" s="5">
        <f t="shared" si="68"/>
        <v>45931</v>
      </c>
    </row>
    <row r="1441" spans="1:11" x14ac:dyDescent="0.25">
      <c r="A1441" t="s">
        <v>1164</v>
      </c>
      <c r="B1441" s="3">
        <v>45945</v>
      </c>
      <c r="C1441">
        <v>4010</v>
      </c>
      <c r="D1441" s="1">
        <v>0</v>
      </c>
      <c r="E1441" s="1">
        <v>3294.16</v>
      </c>
      <c r="F1441" t="s">
        <v>1165</v>
      </c>
      <c r="G1441" t="str">
        <f>_xlfn.XLOOKUP(C1441,tblCOA[AccountNo],tblCOA[AccountName],"Unmapped")</f>
        <v>Product Sales</v>
      </c>
      <c r="H1441" t="str">
        <f>_xlfn.XLOOKUP(C1441,tblCOA[AccountNo],tblCOA[Category],"Unmapped")</f>
        <v>Revenue</v>
      </c>
      <c r="I1441" s="4">
        <f t="shared" si="66"/>
        <v>-3294.16</v>
      </c>
      <c r="J1441">
        <f t="shared" si="67"/>
        <v>2025</v>
      </c>
      <c r="K1441" s="5">
        <f t="shared" si="68"/>
        <v>45931</v>
      </c>
    </row>
    <row r="1442" spans="1:11" x14ac:dyDescent="0.25">
      <c r="A1442" t="s">
        <v>2194</v>
      </c>
      <c r="B1442" s="3">
        <v>45946</v>
      </c>
      <c r="C1442">
        <v>1200</v>
      </c>
      <c r="D1442" s="1">
        <v>6776.9</v>
      </c>
      <c r="E1442" s="1">
        <v>0</v>
      </c>
      <c r="F1442" t="s">
        <v>2195</v>
      </c>
      <c r="G1442" t="str">
        <f>_xlfn.XLOOKUP(C1442,tblCOA[AccountNo],tblCOA[AccountName],"Unmapped")</f>
        <v>Accounts Receivable</v>
      </c>
      <c r="H1442" t="str">
        <f>_xlfn.XLOOKUP(C1442,tblCOA[AccountNo],tblCOA[Category],"Unmapped")</f>
        <v>Assets</v>
      </c>
      <c r="I1442" s="4">
        <f t="shared" si="66"/>
        <v>6776.9</v>
      </c>
      <c r="J1442">
        <f t="shared" si="67"/>
        <v>2025</v>
      </c>
      <c r="K1442" s="5">
        <f t="shared" si="68"/>
        <v>45931</v>
      </c>
    </row>
    <row r="1443" spans="1:11" x14ac:dyDescent="0.25">
      <c r="A1443" t="s">
        <v>2196</v>
      </c>
      <c r="B1443" s="3">
        <v>45946</v>
      </c>
      <c r="C1443">
        <v>4010</v>
      </c>
      <c r="D1443" s="1">
        <v>0</v>
      </c>
      <c r="E1443" s="1">
        <v>6776.9</v>
      </c>
      <c r="F1443" t="s">
        <v>2197</v>
      </c>
      <c r="G1443" t="str">
        <f>_xlfn.XLOOKUP(C1443,tblCOA[AccountNo],tblCOA[AccountName],"Unmapped")</f>
        <v>Product Sales</v>
      </c>
      <c r="H1443" t="str">
        <f>_xlfn.XLOOKUP(C1443,tblCOA[AccountNo],tblCOA[Category],"Unmapped")</f>
        <v>Revenue</v>
      </c>
      <c r="I1443" s="4">
        <f t="shared" si="66"/>
        <v>-6776.9</v>
      </c>
      <c r="J1443">
        <f t="shared" si="67"/>
        <v>2025</v>
      </c>
      <c r="K1443" s="5">
        <f t="shared" si="68"/>
        <v>45931</v>
      </c>
    </row>
    <row r="1444" spans="1:11" x14ac:dyDescent="0.25">
      <c r="A1444" t="s">
        <v>1094</v>
      </c>
      <c r="B1444" s="3">
        <v>45947</v>
      </c>
      <c r="C1444">
        <v>5010</v>
      </c>
      <c r="D1444" s="1">
        <v>8698.6200000000008</v>
      </c>
      <c r="E1444" s="1">
        <v>0</v>
      </c>
      <c r="F1444" t="s">
        <v>1095</v>
      </c>
      <c r="G1444" t="str">
        <f>_xlfn.XLOOKUP(C1444,tblCOA[AccountNo],tblCOA[AccountName],"Unmapped")</f>
        <v>Cost of Goods Sold</v>
      </c>
      <c r="H1444" t="str">
        <f>_xlfn.XLOOKUP(C1444,tblCOA[AccountNo],tblCOA[Category],"Unmapped")</f>
        <v>Expenses</v>
      </c>
      <c r="I1444" s="4">
        <f t="shared" si="66"/>
        <v>8698.6200000000008</v>
      </c>
      <c r="J1444">
        <f t="shared" si="67"/>
        <v>2025</v>
      </c>
      <c r="K1444" s="5">
        <f t="shared" si="68"/>
        <v>45931</v>
      </c>
    </row>
    <row r="1445" spans="1:11" x14ac:dyDescent="0.25">
      <c r="A1445" t="s">
        <v>1096</v>
      </c>
      <c r="B1445" s="3">
        <v>45947</v>
      </c>
      <c r="C1445">
        <v>2010</v>
      </c>
      <c r="D1445" s="1">
        <v>0</v>
      </c>
      <c r="E1445" s="1">
        <v>8698.6200000000008</v>
      </c>
      <c r="F1445" t="s">
        <v>1097</v>
      </c>
      <c r="G1445" t="str">
        <f>_xlfn.XLOOKUP(C1445,tblCOA[AccountNo],tblCOA[AccountName],"Unmapped")</f>
        <v>Accounts Payable</v>
      </c>
      <c r="H1445" t="str">
        <f>_xlfn.XLOOKUP(C1445,tblCOA[AccountNo],tblCOA[Category],"Unmapped")</f>
        <v>Liabilities</v>
      </c>
      <c r="I1445" s="4">
        <f t="shared" si="66"/>
        <v>-8698.6200000000008</v>
      </c>
      <c r="J1445">
        <f t="shared" si="67"/>
        <v>2025</v>
      </c>
      <c r="K1445" s="5">
        <f t="shared" si="68"/>
        <v>45931</v>
      </c>
    </row>
    <row r="1446" spans="1:11" x14ac:dyDescent="0.25">
      <c r="A1446" t="s">
        <v>418</v>
      </c>
      <c r="B1446" s="3">
        <v>45948</v>
      </c>
      <c r="C1446">
        <v>1200</v>
      </c>
      <c r="D1446" s="1">
        <v>29305.85</v>
      </c>
      <c r="E1446" s="1">
        <v>0</v>
      </c>
      <c r="F1446" t="s">
        <v>419</v>
      </c>
      <c r="G1446" t="str">
        <f>_xlfn.XLOOKUP(C1446,tblCOA[AccountNo],tblCOA[AccountName],"Unmapped")</f>
        <v>Accounts Receivable</v>
      </c>
      <c r="H1446" t="str">
        <f>_xlfn.XLOOKUP(C1446,tblCOA[AccountNo],tblCOA[Category],"Unmapped")</f>
        <v>Assets</v>
      </c>
      <c r="I1446" s="4">
        <f t="shared" si="66"/>
        <v>29305.85</v>
      </c>
      <c r="J1446">
        <f t="shared" si="67"/>
        <v>2025</v>
      </c>
      <c r="K1446" s="5">
        <f t="shared" si="68"/>
        <v>45931</v>
      </c>
    </row>
    <row r="1447" spans="1:11" x14ac:dyDescent="0.25">
      <c r="A1447" t="s">
        <v>420</v>
      </c>
      <c r="B1447" s="3">
        <v>45948</v>
      </c>
      <c r="C1447">
        <v>4010</v>
      </c>
      <c r="D1447" s="1">
        <v>0</v>
      </c>
      <c r="E1447" s="1">
        <v>29305.85</v>
      </c>
      <c r="F1447" t="s">
        <v>421</v>
      </c>
      <c r="G1447" t="str">
        <f>_xlfn.XLOOKUP(C1447,tblCOA[AccountNo],tblCOA[AccountName],"Unmapped")</f>
        <v>Product Sales</v>
      </c>
      <c r="H1447" t="str">
        <f>_xlfn.XLOOKUP(C1447,tblCOA[AccountNo],tblCOA[Category],"Unmapped")</f>
        <v>Revenue</v>
      </c>
      <c r="I1447" s="4">
        <f t="shared" si="66"/>
        <v>-29305.85</v>
      </c>
      <c r="J1447">
        <f t="shared" si="67"/>
        <v>2025</v>
      </c>
      <c r="K1447" s="5">
        <f t="shared" si="68"/>
        <v>45931</v>
      </c>
    </row>
    <row r="1448" spans="1:11" x14ac:dyDescent="0.25">
      <c r="A1448" t="s">
        <v>2170</v>
      </c>
      <c r="B1448" s="3">
        <v>45950</v>
      </c>
      <c r="C1448">
        <v>1200</v>
      </c>
      <c r="D1448" s="1">
        <v>42957.4</v>
      </c>
      <c r="E1448" s="1">
        <v>0</v>
      </c>
      <c r="F1448" t="s">
        <v>2171</v>
      </c>
      <c r="G1448" t="str">
        <f>_xlfn.XLOOKUP(C1448,tblCOA[AccountNo],tblCOA[AccountName],"Unmapped")</f>
        <v>Accounts Receivable</v>
      </c>
      <c r="H1448" t="str">
        <f>_xlfn.XLOOKUP(C1448,tblCOA[AccountNo],tblCOA[Category],"Unmapped")</f>
        <v>Assets</v>
      </c>
      <c r="I1448" s="4">
        <f t="shared" si="66"/>
        <v>42957.4</v>
      </c>
      <c r="J1448">
        <f t="shared" si="67"/>
        <v>2025</v>
      </c>
      <c r="K1448" s="5">
        <f t="shared" si="68"/>
        <v>45931</v>
      </c>
    </row>
    <row r="1449" spans="1:11" x14ac:dyDescent="0.25">
      <c r="A1449" t="s">
        <v>2172</v>
      </c>
      <c r="B1449" s="3">
        <v>45950</v>
      </c>
      <c r="C1449">
        <v>4010</v>
      </c>
      <c r="D1449" s="1">
        <v>0</v>
      </c>
      <c r="E1449" s="1">
        <v>42957.4</v>
      </c>
      <c r="F1449" t="s">
        <v>2173</v>
      </c>
      <c r="G1449" t="str">
        <f>_xlfn.XLOOKUP(C1449,tblCOA[AccountNo],tblCOA[AccountName],"Unmapped")</f>
        <v>Product Sales</v>
      </c>
      <c r="H1449" t="str">
        <f>_xlfn.XLOOKUP(C1449,tblCOA[AccountNo],tblCOA[Category],"Unmapped")</f>
        <v>Revenue</v>
      </c>
      <c r="I1449" s="4">
        <f t="shared" si="66"/>
        <v>-42957.4</v>
      </c>
      <c r="J1449">
        <f t="shared" si="67"/>
        <v>2025</v>
      </c>
      <c r="K1449" s="5">
        <f t="shared" si="68"/>
        <v>45931</v>
      </c>
    </row>
    <row r="1450" spans="1:11" x14ac:dyDescent="0.25">
      <c r="A1450" t="s">
        <v>2766</v>
      </c>
      <c r="B1450" s="3">
        <v>45951</v>
      </c>
      <c r="C1450">
        <v>5010</v>
      </c>
      <c r="D1450" s="1">
        <v>1256.4000000000001</v>
      </c>
      <c r="E1450" s="1">
        <v>0</v>
      </c>
      <c r="F1450" t="s">
        <v>2767</v>
      </c>
      <c r="G1450" t="str">
        <f>_xlfn.XLOOKUP(C1450,tblCOA[AccountNo],tblCOA[AccountName],"Unmapped")</f>
        <v>Cost of Goods Sold</v>
      </c>
      <c r="H1450" t="str">
        <f>_xlfn.XLOOKUP(C1450,tblCOA[AccountNo],tblCOA[Category],"Unmapped")</f>
        <v>Expenses</v>
      </c>
      <c r="I1450" s="4">
        <f t="shared" si="66"/>
        <v>1256.4000000000001</v>
      </c>
      <c r="J1450">
        <f t="shared" si="67"/>
        <v>2025</v>
      </c>
      <c r="K1450" s="5">
        <f t="shared" si="68"/>
        <v>45931</v>
      </c>
    </row>
    <row r="1451" spans="1:11" x14ac:dyDescent="0.25">
      <c r="A1451" t="s">
        <v>2768</v>
      </c>
      <c r="B1451" s="3">
        <v>45951</v>
      </c>
      <c r="C1451">
        <v>2010</v>
      </c>
      <c r="D1451" s="1">
        <v>0</v>
      </c>
      <c r="E1451" s="1">
        <v>1256.4000000000001</v>
      </c>
      <c r="F1451" t="s">
        <v>2769</v>
      </c>
      <c r="G1451" t="str">
        <f>_xlfn.XLOOKUP(C1451,tblCOA[AccountNo],tblCOA[AccountName],"Unmapped")</f>
        <v>Accounts Payable</v>
      </c>
      <c r="H1451" t="str">
        <f>_xlfn.XLOOKUP(C1451,tblCOA[AccountNo],tblCOA[Category],"Unmapped")</f>
        <v>Liabilities</v>
      </c>
      <c r="I1451" s="4">
        <f t="shared" si="66"/>
        <v>-1256.4000000000001</v>
      </c>
      <c r="J1451">
        <f t="shared" si="67"/>
        <v>2025</v>
      </c>
      <c r="K1451" s="5">
        <f t="shared" si="68"/>
        <v>45931</v>
      </c>
    </row>
    <row r="1452" spans="1:11" x14ac:dyDescent="0.25">
      <c r="A1452" t="s">
        <v>1274</v>
      </c>
      <c r="B1452" s="3">
        <v>45951</v>
      </c>
      <c r="C1452">
        <v>1200</v>
      </c>
      <c r="D1452" s="1">
        <v>10267.58</v>
      </c>
      <c r="E1452" s="1">
        <v>0</v>
      </c>
      <c r="F1452" t="s">
        <v>1275</v>
      </c>
      <c r="G1452" t="str">
        <f>_xlfn.XLOOKUP(C1452,tblCOA[AccountNo],tblCOA[AccountName],"Unmapped")</f>
        <v>Accounts Receivable</v>
      </c>
      <c r="H1452" t="str">
        <f>_xlfn.XLOOKUP(C1452,tblCOA[AccountNo],tblCOA[Category],"Unmapped")</f>
        <v>Assets</v>
      </c>
      <c r="I1452" s="4">
        <f t="shared" si="66"/>
        <v>10267.58</v>
      </c>
      <c r="J1452">
        <f t="shared" si="67"/>
        <v>2025</v>
      </c>
      <c r="K1452" s="5">
        <f t="shared" si="68"/>
        <v>45931</v>
      </c>
    </row>
    <row r="1453" spans="1:11" x14ac:dyDescent="0.25">
      <c r="A1453" t="s">
        <v>1276</v>
      </c>
      <c r="B1453" s="3">
        <v>45951</v>
      </c>
      <c r="C1453">
        <v>4010</v>
      </c>
      <c r="D1453" s="1">
        <v>0</v>
      </c>
      <c r="E1453" s="1">
        <v>10267.58</v>
      </c>
      <c r="F1453" t="s">
        <v>1277</v>
      </c>
      <c r="G1453" t="str">
        <f>_xlfn.XLOOKUP(C1453,tblCOA[AccountNo],tblCOA[AccountName],"Unmapped")</f>
        <v>Product Sales</v>
      </c>
      <c r="H1453" t="str">
        <f>_xlfn.XLOOKUP(C1453,tblCOA[AccountNo],tblCOA[Category],"Unmapped")</f>
        <v>Revenue</v>
      </c>
      <c r="I1453" s="4">
        <f t="shared" si="66"/>
        <v>-10267.58</v>
      </c>
      <c r="J1453">
        <f t="shared" si="67"/>
        <v>2025</v>
      </c>
      <c r="K1453" s="5">
        <f t="shared" si="68"/>
        <v>45931</v>
      </c>
    </row>
    <row r="1454" spans="1:11" x14ac:dyDescent="0.25">
      <c r="A1454" t="s">
        <v>162</v>
      </c>
      <c r="B1454" s="3">
        <v>45951</v>
      </c>
      <c r="C1454">
        <v>1200</v>
      </c>
      <c r="D1454" s="1">
        <v>29953.19</v>
      </c>
      <c r="E1454" s="1">
        <v>0</v>
      </c>
      <c r="F1454" t="s">
        <v>163</v>
      </c>
      <c r="G1454" t="str">
        <f>_xlfn.XLOOKUP(C1454,tblCOA[AccountNo],tblCOA[AccountName],"Unmapped")</f>
        <v>Accounts Receivable</v>
      </c>
      <c r="H1454" t="str">
        <f>_xlfn.XLOOKUP(C1454,tblCOA[AccountNo],tblCOA[Category],"Unmapped")</f>
        <v>Assets</v>
      </c>
      <c r="I1454" s="4">
        <f t="shared" si="66"/>
        <v>29953.19</v>
      </c>
      <c r="J1454">
        <f t="shared" si="67"/>
        <v>2025</v>
      </c>
      <c r="K1454" s="5">
        <f t="shared" si="68"/>
        <v>45931</v>
      </c>
    </row>
    <row r="1455" spans="1:11" x14ac:dyDescent="0.25">
      <c r="A1455" t="s">
        <v>164</v>
      </c>
      <c r="B1455" s="3">
        <v>45951</v>
      </c>
      <c r="C1455">
        <v>4010</v>
      </c>
      <c r="D1455" s="1">
        <v>0</v>
      </c>
      <c r="E1455" s="1">
        <v>29953.19</v>
      </c>
      <c r="F1455" t="s">
        <v>165</v>
      </c>
      <c r="G1455" t="str">
        <f>_xlfn.XLOOKUP(C1455,tblCOA[AccountNo],tblCOA[AccountName],"Unmapped")</f>
        <v>Product Sales</v>
      </c>
      <c r="H1455" t="str">
        <f>_xlfn.XLOOKUP(C1455,tblCOA[AccountNo],tblCOA[Category],"Unmapped")</f>
        <v>Revenue</v>
      </c>
      <c r="I1455" s="4">
        <f t="shared" si="66"/>
        <v>-29953.19</v>
      </c>
      <c r="J1455">
        <f t="shared" si="67"/>
        <v>2025</v>
      </c>
      <c r="K1455" s="5">
        <f t="shared" si="68"/>
        <v>45931</v>
      </c>
    </row>
    <row r="1456" spans="1:11" x14ac:dyDescent="0.25">
      <c r="A1456" t="s">
        <v>118</v>
      </c>
      <c r="B1456" s="3">
        <v>45953</v>
      </c>
      <c r="C1456">
        <v>5010</v>
      </c>
      <c r="D1456" s="1">
        <v>7058.2</v>
      </c>
      <c r="E1456" s="1">
        <v>0</v>
      </c>
      <c r="F1456" t="s">
        <v>119</v>
      </c>
      <c r="G1456" t="str">
        <f>_xlfn.XLOOKUP(C1456,tblCOA[AccountNo],tblCOA[AccountName],"Unmapped")</f>
        <v>Cost of Goods Sold</v>
      </c>
      <c r="H1456" t="str">
        <f>_xlfn.XLOOKUP(C1456,tblCOA[AccountNo],tblCOA[Category],"Unmapped")</f>
        <v>Expenses</v>
      </c>
      <c r="I1456" s="4">
        <f t="shared" si="66"/>
        <v>7058.2</v>
      </c>
      <c r="J1456">
        <f t="shared" si="67"/>
        <v>2025</v>
      </c>
      <c r="K1456" s="5">
        <f t="shared" si="68"/>
        <v>45931</v>
      </c>
    </row>
    <row r="1457" spans="1:11" x14ac:dyDescent="0.25">
      <c r="A1457" t="s">
        <v>120</v>
      </c>
      <c r="B1457" s="3">
        <v>45953</v>
      </c>
      <c r="C1457">
        <v>2010</v>
      </c>
      <c r="D1457" s="1">
        <v>0</v>
      </c>
      <c r="E1457" s="1">
        <v>7058.2</v>
      </c>
      <c r="F1457" t="s">
        <v>121</v>
      </c>
      <c r="G1457" t="str">
        <f>_xlfn.XLOOKUP(C1457,tblCOA[AccountNo],tblCOA[AccountName],"Unmapped")</f>
        <v>Accounts Payable</v>
      </c>
      <c r="H1457" t="str">
        <f>_xlfn.XLOOKUP(C1457,tblCOA[AccountNo],tblCOA[Category],"Unmapped")</f>
        <v>Liabilities</v>
      </c>
      <c r="I1457" s="4">
        <f t="shared" si="66"/>
        <v>-7058.2</v>
      </c>
      <c r="J1457">
        <f t="shared" si="67"/>
        <v>2025</v>
      </c>
      <c r="K1457" s="5">
        <f t="shared" si="68"/>
        <v>45931</v>
      </c>
    </row>
    <row r="1458" spans="1:11" x14ac:dyDescent="0.25">
      <c r="A1458" t="s">
        <v>1698</v>
      </c>
      <c r="B1458" s="3">
        <v>45955</v>
      </c>
      <c r="C1458">
        <v>1200</v>
      </c>
      <c r="D1458" s="1">
        <v>10556.96</v>
      </c>
      <c r="E1458" s="1">
        <v>0</v>
      </c>
      <c r="F1458" t="s">
        <v>1699</v>
      </c>
      <c r="G1458" t="str">
        <f>_xlfn.XLOOKUP(C1458,tblCOA[AccountNo],tblCOA[AccountName],"Unmapped")</f>
        <v>Accounts Receivable</v>
      </c>
      <c r="H1458" t="str">
        <f>_xlfn.XLOOKUP(C1458,tblCOA[AccountNo],tblCOA[Category],"Unmapped")</f>
        <v>Assets</v>
      </c>
      <c r="I1458" s="4">
        <f t="shared" si="66"/>
        <v>10556.96</v>
      </c>
      <c r="J1458">
        <f t="shared" si="67"/>
        <v>2025</v>
      </c>
      <c r="K1458" s="5">
        <f t="shared" si="68"/>
        <v>45931</v>
      </c>
    </row>
    <row r="1459" spans="1:11" x14ac:dyDescent="0.25">
      <c r="A1459" t="s">
        <v>1700</v>
      </c>
      <c r="B1459" s="3">
        <v>45955</v>
      </c>
      <c r="C1459">
        <v>4010</v>
      </c>
      <c r="D1459" s="1">
        <v>0</v>
      </c>
      <c r="E1459" s="1">
        <v>10556.96</v>
      </c>
      <c r="F1459" t="s">
        <v>1701</v>
      </c>
      <c r="G1459" t="str">
        <f>_xlfn.XLOOKUP(C1459,tblCOA[AccountNo],tblCOA[AccountName],"Unmapped")</f>
        <v>Product Sales</v>
      </c>
      <c r="H1459" t="str">
        <f>_xlfn.XLOOKUP(C1459,tblCOA[AccountNo],tblCOA[Category],"Unmapped")</f>
        <v>Revenue</v>
      </c>
      <c r="I1459" s="4">
        <f t="shared" si="66"/>
        <v>-10556.96</v>
      </c>
      <c r="J1459">
        <f t="shared" si="67"/>
        <v>2025</v>
      </c>
      <c r="K1459" s="5">
        <f t="shared" si="68"/>
        <v>45931</v>
      </c>
    </row>
    <row r="1460" spans="1:11" x14ac:dyDescent="0.25">
      <c r="A1460" t="s">
        <v>2406</v>
      </c>
      <c r="B1460" s="3">
        <v>45956</v>
      </c>
      <c r="C1460">
        <v>5010</v>
      </c>
      <c r="D1460" s="1">
        <v>5664.06</v>
      </c>
      <c r="E1460" s="1">
        <v>0</v>
      </c>
      <c r="F1460" t="s">
        <v>2407</v>
      </c>
      <c r="G1460" t="str">
        <f>_xlfn.XLOOKUP(C1460,tblCOA[AccountNo],tblCOA[AccountName],"Unmapped")</f>
        <v>Cost of Goods Sold</v>
      </c>
      <c r="H1460" t="str">
        <f>_xlfn.XLOOKUP(C1460,tblCOA[AccountNo],tblCOA[Category],"Unmapped")</f>
        <v>Expenses</v>
      </c>
      <c r="I1460" s="4">
        <f t="shared" si="66"/>
        <v>5664.06</v>
      </c>
      <c r="J1460">
        <f t="shared" si="67"/>
        <v>2025</v>
      </c>
      <c r="K1460" s="5">
        <f t="shared" si="68"/>
        <v>45931</v>
      </c>
    </row>
    <row r="1461" spans="1:11" x14ac:dyDescent="0.25">
      <c r="A1461" t="s">
        <v>2408</v>
      </c>
      <c r="B1461" s="3">
        <v>45956</v>
      </c>
      <c r="C1461">
        <v>2010</v>
      </c>
      <c r="D1461" s="1">
        <v>0</v>
      </c>
      <c r="E1461" s="1">
        <v>5664.06</v>
      </c>
      <c r="F1461" t="s">
        <v>2409</v>
      </c>
      <c r="G1461" t="str">
        <f>_xlfn.XLOOKUP(C1461,tblCOA[AccountNo],tblCOA[AccountName],"Unmapped")</f>
        <v>Accounts Payable</v>
      </c>
      <c r="H1461" t="str">
        <f>_xlfn.XLOOKUP(C1461,tblCOA[AccountNo],tblCOA[Category],"Unmapped")</f>
        <v>Liabilities</v>
      </c>
      <c r="I1461" s="4">
        <f t="shared" si="66"/>
        <v>-5664.06</v>
      </c>
      <c r="J1461">
        <f t="shared" si="67"/>
        <v>2025</v>
      </c>
      <c r="K1461" s="5">
        <f t="shared" si="68"/>
        <v>45931</v>
      </c>
    </row>
    <row r="1462" spans="1:11" x14ac:dyDescent="0.25">
      <c r="A1462" t="s">
        <v>1882</v>
      </c>
      <c r="B1462" s="3">
        <v>45958</v>
      </c>
      <c r="C1462">
        <v>1200</v>
      </c>
      <c r="D1462" s="1">
        <v>34562.06</v>
      </c>
      <c r="E1462" s="1">
        <v>0</v>
      </c>
      <c r="F1462" t="s">
        <v>1883</v>
      </c>
      <c r="G1462" t="str">
        <f>_xlfn.XLOOKUP(C1462,tblCOA[AccountNo],tblCOA[AccountName],"Unmapped")</f>
        <v>Accounts Receivable</v>
      </c>
      <c r="H1462" t="str">
        <f>_xlfn.XLOOKUP(C1462,tblCOA[AccountNo],tblCOA[Category],"Unmapped")</f>
        <v>Assets</v>
      </c>
      <c r="I1462" s="4">
        <f t="shared" si="66"/>
        <v>34562.06</v>
      </c>
      <c r="J1462">
        <f t="shared" si="67"/>
        <v>2025</v>
      </c>
      <c r="K1462" s="5">
        <f t="shared" si="68"/>
        <v>45931</v>
      </c>
    </row>
    <row r="1463" spans="1:11" x14ac:dyDescent="0.25">
      <c r="A1463" t="s">
        <v>1884</v>
      </c>
      <c r="B1463" s="3">
        <v>45958</v>
      </c>
      <c r="C1463">
        <v>4010</v>
      </c>
      <c r="D1463" s="1">
        <v>0</v>
      </c>
      <c r="E1463" s="1">
        <v>34562.06</v>
      </c>
      <c r="F1463" t="s">
        <v>1885</v>
      </c>
      <c r="G1463" t="str">
        <f>_xlfn.XLOOKUP(C1463,tblCOA[AccountNo],tblCOA[AccountName],"Unmapped")</f>
        <v>Product Sales</v>
      </c>
      <c r="H1463" t="str">
        <f>_xlfn.XLOOKUP(C1463,tblCOA[AccountNo],tblCOA[Category],"Unmapped")</f>
        <v>Revenue</v>
      </c>
      <c r="I1463" s="4">
        <f t="shared" si="66"/>
        <v>-34562.06</v>
      </c>
      <c r="J1463">
        <f t="shared" si="67"/>
        <v>2025</v>
      </c>
      <c r="K1463" s="5">
        <f t="shared" si="68"/>
        <v>45931</v>
      </c>
    </row>
    <row r="1464" spans="1:11" x14ac:dyDescent="0.25">
      <c r="A1464" t="s">
        <v>1334</v>
      </c>
      <c r="B1464" s="3">
        <v>45960</v>
      </c>
      <c r="C1464">
        <v>5010</v>
      </c>
      <c r="D1464" s="1">
        <v>12742.54</v>
      </c>
      <c r="E1464" s="1">
        <v>0</v>
      </c>
      <c r="F1464" t="s">
        <v>1335</v>
      </c>
      <c r="G1464" t="str">
        <f>_xlfn.XLOOKUP(C1464,tblCOA[AccountNo],tblCOA[AccountName],"Unmapped")</f>
        <v>Cost of Goods Sold</v>
      </c>
      <c r="H1464" t="str">
        <f>_xlfn.XLOOKUP(C1464,tblCOA[AccountNo],tblCOA[Category],"Unmapped")</f>
        <v>Expenses</v>
      </c>
      <c r="I1464" s="4">
        <f t="shared" si="66"/>
        <v>12742.54</v>
      </c>
      <c r="J1464">
        <f t="shared" si="67"/>
        <v>2025</v>
      </c>
      <c r="K1464" s="5">
        <f t="shared" si="68"/>
        <v>45931</v>
      </c>
    </row>
    <row r="1465" spans="1:11" x14ac:dyDescent="0.25">
      <c r="A1465" t="s">
        <v>1336</v>
      </c>
      <c r="B1465" s="3">
        <v>45960</v>
      </c>
      <c r="C1465">
        <v>2010</v>
      </c>
      <c r="D1465" s="1">
        <v>0</v>
      </c>
      <c r="E1465" s="1">
        <v>12742.54</v>
      </c>
      <c r="F1465" t="s">
        <v>1337</v>
      </c>
      <c r="G1465" t="str">
        <f>_xlfn.XLOOKUP(C1465,tblCOA[AccountNo],tblCOA[AccountName],"Unmapped")</f>
        <v>Accounts Payable</v>
      </c>
      <c r="H1465" t="str">
        <f>_xlfn.XLOOKUP(C1465,tblCOA[AccountNo],tblCOA[Category],"Unmapped")</f>
        <v>Liabilities</v>
      </c>
      <c r="I1465" s="4">
        <f t="shared" si="66"/>
        <v>-12742.54</v>
      </c>
      <c r="J1465">
        <f t="shared" si="67"/>
        <v>2025</v>
      </c>
      <c r="K1465" s="5">
        <f t="shared" si="68"/>
        <v>45931</v>
      </c>
    </row>
    <row r="1466" spans="1:11" x14ac:dyDescent="0.25">
      <c r="A1466" t="s">
        <v>2166</v>
      </c>
      <c r="B1466" s="3">
        <v>45961</v>
      </c>
      <c r="C1466">
        <v>5010</v>
      </c>
      <c r="D1466" s="1">
        <v>15268.01</v>
      </c>
      <c r="E1466" s="1">
        <v>0</v>
      </c>
      <c r="F1466" t="s">
        <v>2167</v>
      </c>
      <c r="G1466" t="str">
        <f>_xlfn.XLOOKUP(C1466,tblCOA[AccountNo],tblCOA[AccountName],"Unmapped")</f>
        <v>Cost of Goods Sold</v>
      </c>
      <c r="H1466" t="str">
        <f>_xlfn.XLOOKUP(C1466,tblCOA[AccountNo],tblCOA[Category],"Unmapped")</f>
        <v>Expenses</v>
      </c>
      <c r="I1466" s="4">
        <f t="shared" si="66"/>
        <v>15268.01</v>
      </c>
      <c r="J1466">
        <f t="shared" si="67"/>
        <v>2025</v>
      </c>
      <c r="K1466" s="5">
        <f t="shared" si="68"/>
        <v>45931</v>
      </c>
    </row>
    <row r="1467" spans="1:11" x14ac:dyDescent="0.25">
      <c r="A1467" t="s">
        <v>2168</v>
      </c>
      <c r="B1467" s="3">
        <v>45961</v>
      </c>
      <c r="C1467">
        <v>2010</v>
      </c>
      <c r="D1467" s="1">
        <v>0</v>
      </c>
      <c r="E1467" s="1">
        <v>15268.01</v>
      </c>
      <c r="F1467" t="s">
        <v>2169</v>
      </c>
      <c r="G1467" t="str">
        <f>_xlfn.XLOOKUP(C1467,tblCOA[AccountNo],tblCOA[AccountName],"Unmapped")</f>
        <v>Accounts Payable</v>
      </c>
      <c r="H1467" t="str">
        <f>_xlfn.XLOOKUP(C1467,tblCOA[AccountNo],tblCOA[Category],"Unmapped")</f>
        <v>Liabilities</v>
      </c>
      <c r="I1467" s="4">
        <f t="shared" si="66"/>
        <v>-15268.01</v>
      </c>
      <c r="J1467">
        <f t="shared" si="67"/>
        <v>2025</v>
      </c>
      <c r="K1467" s="5">
        <f t="shared" si="68"/>
        <v>45931</v>
      </c>
    </row>
    <row r="1468" spans="1:11" x14ac:dyDescent="0.25">
      <c r="A1468" t="s">
        <v>2666</v>
      </c>
      <c r="B1468" s="3">
        <v>45961</v>
      </c>
      <c r="C1468">
        <v>1200</v>
      </c>
      <c r="D1468" s="1">
        <v>33929.74</v>
      </c>
      <c r="E1468" s="1">
        <v>0</v>
      </c>
      <c r="F1468" t="s">
        <v>2667</v>
      </c>
      <c r="G1468" t="str">
        <f>_xlfn.XLOOKUP(C1468,tblCOA[AccountNo],tblCOA[AccountName],"Unmapped")</f>
        <v>Accounts Receivable</v>
      </c>
      <c r="H1468" t="str">
        <f>_xlfn.XLOOKUP(C1468,tblCOA[AccountNo],tblCOA[Category],"Unmapped")</f>
        <v>Assets</v>
      </c>
      <c r="I1468" s="4">
        <f t="shared" si="66"/>
        <v>33929.74</v>
      </c>
      <c r="J1468">
        <f t="shared" si="67"/>
        <v>2025</v>
      </c>
      <c r="K1468" s="5">
        <f t="shared" si="68"/>
        <v>45931</v>
      </c>
    </row>
    <row r="1469" spans="1:11" x14ac:dyDescent="0.25">
      <c r="A1469" t="s">
        <v>2668</v>
      </c>
      <c r="B1469" s="3">
        <v>45961</v>
      </c>
      <c r="C1469">
        <v>4010</v>
      </c>
      <c r="D1469" s="1">
        <v>0</v>
      </c>
      <c r="E1469" s="1">
        <v>33929.74</v>
      </c>
      <c r="F1469" t="s">
        <v>2669</v>
      </c>
      <c r="G1469" t="str">
        <f>_xlfn.XLOOKUP(C1469,tblCOA[AccountNo],tblCOA[AccountName],"Unmapped")</f>
        <v>Product Sales</v>
      </c>
      <c r="H1469" t="str">
        <f>_xlfn.XLOOKUP(C1469,tblCOA[AccountNo],tblCOA[Category],"Unmapped")</f>
        <v>Revenue</v>
      </c>
      <c r="I1469" s="4">
        <f t="shared" si="66"/>
        <v>-33929.74</v>
      </c>
      <c r="J1469">
        <f t="shared" si="67"/>
        <v>2025</v>
      </c>
      <c r="K1469" s="5">
        <f t="shared" si="68"/>
        <v>45931</v>
      </c>
    </row>
    <row r="1470" spans="1:11" x14ac:dyDescent="0.25">
      <c r="A1470" t="s">
        <v>2674</v>
      </c>
      <c r="B1470" s="3">
        <v>45962</v>
      </c>
      <c r="C1470">
        <v>1200</v>
      </c>
      <c r="D1470" s="1">
        <v>27032.53</v>
      </c>
      <c r="E1470" s="1">
        <v>0</v>
      </c>
      <c r="F1470" t="s">
        <v>2675</v>
      </c>
      <c r="G1470" t="str">
        <f>_xlfn.XLOOKUP(C1470,tblCOA[AccountNo],tblCOA[AccountName],"Unmapped")</f>
        <v>Accounts Receivable</v>
      </c>
      <c r="H1470" t="str">
        <f>_xlfn.XLOOKUP(C1470,tblCOA[AccountNo],tblCOA[Category],"Unmapped")</f>
        <v>Assets</v>
      </c>
      <c r="I1470" s="4">
        <f t="shared" si="66"/>
        <v>27032.53</v>
      </c>
      <c r="J1470">
        <f t="shared" si="67"/>
        <v>2025</v>
      </c>
      <c r="K1470" s="5">
        <f t="shared" si="68"/>
        <v>45962</v>
      </c>
    </row>
    <row r="1471" spans="1:11" x14ac:dyDescent="0.25">
      <c r="A1471" t="s">
        <v>2676</v>
      </c>
      <c r="B1471" s="3">
        <v>45962</v>
      </c>
      <c r="C1471">
        <v>4010</v>
      </c>
      <c r="D1471" s="1">
        <v>0</v>
      </c>
      <c r="E1471" s="1">
        <v>27032.53</v>
      </c>
      <c r="F1471" t="s">
        <v>2677</v>
      </c>
      <c r="G1471" t="str">
        <f>_xlfn.XLOOKUP(C1471,tblCOA[AccountNo],tblCOA[AccountName],"Unmapped")</f>
        <v>Product Sales</v>
      </c>
      <c r="H1471" t="str">
        <f>_xlfn.XLOOKUP(C1471,tblCOA[AccountNo],tblCOA[Category],"Unmapped")</f>
        <v>Revenue</v>
      </c>
      <c r="I1471" s="4">
        <f t="shared" si="66"/>
        <v>-27032.53</v>
      </c>
      <c r="J1471">
        <f t="shared" si="67"/>
        <v>2025</v>
      </c>
      <c r="K1471" s="5">
        <f t="shared" si="68"/>
        <v>45962</v>
      </c>
    </row>
    <row r="1472" spans="1:11" x14ac:dyDescent="0.25">
      <c r="A1472" t="s">
        <v>154</v>
      </c>
      <c r="B1472" s="3">
        <v>45962</v>
      </c>
      <c r="C1472">
        <v>1200</v>
      </c>
      <c r="D1472" s="1">
        <v>21444.98</v>
      </c>
      <c r="E1472" s="1">
        <v>0</v>
      </c>
      <c r="F1472" t="s">
        <v>155</v>
      </c>
      <c r="G1472" t="str">
        <f>_xlfn.XLOOKUP(C1472,tblCOA[AccountNo],tblCOA[AccountName],"Unmapped")</f>
        <v>Accounts Receivable</v>
      </c>
      <c r="H1472" t="str">
        <f>_xlfn.XLOOKUP(C1472,tblCOA[AccountNo],tblCOA[Category],"Unmapped")</f>
        <v>Assets</v>
      </c>
      <c r="I1472" s="4">
        <f t="shared" si="66"/>
        <v>21444.98</v>
      </c>
      <c r="J1472">
        <f t="shared" si="67"/>
        <v>2025</v>
      </c>
      <c r="K1472" s="5">
        <f t="shared" si="68"/>
        <v>45962</v>
      </c>
    </row>
    <row r="1473" spans="1:11" x14ac:dyDescent="0.25">
      <c r="A1473" t="s">
        <v>156</v>
      </c>
      <c r="B1473" s="3">
        <v>45962</v>
      </c>
      <c r="C1473">
        <v>4010</v>
      </c>
      <c r="D1473" s="1">
        <v>0</v>
      </c>
      <c r="E1473" s="1">
        <v>21444.98</v>
      </c>
      <c r="F1473" t="s">
        <v>157</v>
      </c>
      <c r="G1473" t="str">
        <f>_xlfn.XLOOKUP(C1473,tblCOA[AccountNo],tblCOA[AccountName],"Unmapped")</f>
        <v>Product Sales</v>
      </c>
      <c r="H1473" t="str">
        <f>_xlfn.XLOOKUP(C1473,tblCOA[AccountNo],tblCOA[Category],"Unmapped")</f>
        <v>Revenue</v>
      </c>
      <c r="I1473" s="4">
        <f t="shared" si="66"/>
        <v>-21444.98</v>
      </c>
      <c r="J1473">
        <f t="shared" si="67"/>
        <v>2025</v>
      </c>
      <c r="K1473" s="5">
        <f t="shared" si="68"/>
        <v>45962</v>
      </c>
    </row>
    <row r="1474" spans="1:11" x14ac:dyDescent="0.25">
      <c r="A1474" t="s">
        <v>3582</v>
      </c>
      <c r="B1474" s="3">
        <v>45964</v>
      </c>
      <c r="C1474">
        <v>5010</v>
      </c>
      <c r="D1474" s="1">
        <v>4953.8599999999997</v>
      </c>
      <c r="E1474" s="1">
        <v>0</v>
      </c>
      <c r="F1474" t="s">
        <v>3583</v>
      </c>
      <c r="G1474" t="str">
        <f>_xlfn.XLOOKUP(C1474,tblCOA[AccountNo],tblCOA[AccountName],"Unmapped")</f>
        <v>Cost of Goods Sold</v>
      </c>
      <c r="H1474" t="str">
        <f>_xlfn.XLOOKUP(C1474,tblCOA[AccountNo],tblCOA[Category],"Unmapped")</f>
        <v>Expenses</v>
      </c>
      <c r="I1474" s="4">
        <f t="shared" ref="I1474:I1537" si="69">D1474-E1474</f>
        <v>4953.8599999999997</v>
      </c>
      <c r="J1474">
        <f t="shared" ref="J1474:J1537" si="70">YEAR(B1474)</f>
        <v>2025</v>
      </c>
      <c r="K1474" s="5">
        <f t="shared" ref="K1474:K1537" si="71">DATE(YEAR(B1474),MONTH(B1474),1)</f>
        <v>45962</v>
      </c>
    </row>
    <row r="1475" spans="1:11" x14ac:dyDescent="0.25">
      <c r="A1475" t="s">
        <v>3584</v>
      </c>
      <c r="B1475" s="3">
        <v>45964</v>
      </c>
      <c r="C1475">
        <v>2010</v>
      </c>
      <c r="D1475" s="1">
        <v>0</v>
      </c>
      <c r="E1475" s="1">
        <v>4953.8599999999997</v>
      </c>
      <c r="F1475" t="s">
        <v>3585</v>
      </c>
      <c r="G1475" t="str">
        <f>_xlfn.XLOOKUP(C1475,tblCOA[AccountNo],tblCOA[AccountName],"Unmapped")</f>
        <v>Accounts Payable</v>
      </c>
      <c r="H1475" t="str">
        <f>_xlfn.XLOOKUP(C1475,tblCOA[AccountNo],tblCOA[Category],"Unmapped")</f>
        <v>Liabilities</v>
      </c>
      <c r="I1475" s="4">
        <f t="shared" si="69"/>
        <v>-4953.8599999999997</v>
      </c>
      <c r="J1475">
        <f t="shared" si="70"/>
        <v>2025</v>
      </c>
      <c r="K1475" s="5">
        <f t="shared" si="71"/>
        <v>45962</v>
      </c>
    </row>
    <row r="1476" spans="1:11" x14ac:dyDescent="0.25">
      <c r="A1476" t="s">
        <v>1650</v>
      </c>
      <c r="B1476" s="3">
        <v>45964</v>
      </c>
      <c r="C1476">
        <v>1200</v>
      </c>
      <c r="D1476" s="1">
        <v>41016.75</v>
      </c>
      <c r="E1476" s="1">
        <v>0</v>
      </c>
      <c r="F1476" t="s">
        <v>1651</v>
      </c>
      <c r="G1476" t="str">
        <f>_xlfn.XLOOKUP(C1476,tblCOA[AccountNo],tblCOA[AccountName],"Unmapped")</f>
        <v>Accounts Receivable</v>
      </c>
      <c r="H1476" t="str">
        <f>_xlfn.XLOOKUP(C1476,tblCOA[AccountNo],tblCOA[Category],"Unmapped")</f>
        <v>Assets</v>
      </c>
      <c r="I1476" s="4">
        <f t="shared" si="69"/>
        <v>41016.75</v>
      </c>
      <c r="J1476">
        <f t="shared" si="70"/>
        <v>2025</v>
      </c>
      <c r="K1476" s="5">
        <f t="shared" si="71"/>
        <v>45962</v>
      </c>
    </row>
    <row r="1477" spans="1:11" x14ac:dyDescent="0.25">
      <c r="A1477" t="s">
        <v>1652</v>
      </c>
      <c r="B1477" s="3">
        <v>45964</v>
      </c>
      <c r="C1477">
        <v>4010</v>
      </c>
      <c r="D1477" s="1">
        <v>0</v>
      </c>
      <c r="E1477" s="1">
        <v>41016.75</v>
      </c>
      <c r="F1477" t="s">
        <v>1653</v>
      </c>
      <c r="G1477" t="str">
        <f>_xlfn.XLOOKUP(C1477,tblCOA[AccountNo],tblCOA[AccountName],"Unmapped")</f>
        <v>Product Sales</v>
      </c>
      <c r="H1477" t="str">
        <f>_xlfn.XLOOKUP(C1477,tblCOA[AccountNo],tblCOA[Category],"Unmapped")</f>
        <v>Revenue</v>
      </c>
      <c r="I1477" s="4">
        <f t="shared" si="69"/>
        <v>-41016.75</v>
      </c>
      <c r="J1477">
        <f t="shared" si="70"/>
        <v>2025</v>
      </c>
      <c r="K1477" s="5">
        <f t="shared" si="71"/>
        <v>45962</v>
      </c>
    </row>
    <row r="1478" spans="1:11" x14ac:dyDescent="0.25">
      <c r="A1478" t="s">
        <v>3026</v>
      </c>
      <c r="B1478" s="3">
        <v>45965</v>
      </c>
      <c r="C1478">
        <v>1200</v>
      </c>
      <c r="D1478" s="1">
        <v>23275.83</v>
      </c>
      <c r="E1478" s="1">
        <v>0</v>
      </c>
      <c r="F1478" t="s">
        <v>3027</v>
      </c>
      <c r="G1478" t="str">
        <f>_xlfn.XLOOKUP(C1478,tblCOA[AccountNo],tblCOA[AccountName],"Unmapped")</f>
        <v>Accounts Receivable</v>
      </c>
      <c r="H1478" t="str">
        <f>_xlfn.XLOOKUP(C1478,tblCOA[AccountNo],tblCOA[Category],"Unmapped")</f>
        <v>Assets</v>
      </c>
      <c r="I1478" s="4">
        <f t="shared" si="69"/>
        <v>23275.83</v>
      </c>
      <c r="J1478">
        <f t="shared" si="70"/>
        <v>2025</v>
      </c>
      <c r="K1478" s="5">
        <f t="shared" si="71"/>
        <v>45962</v>
      </c>
    </row>
    <row r="1479" spans="1:11" x14ac:dyDescent="0.25">
      <c r="A1479" t="s">
        <v>3028</v>
      </c>
      <c r="B1479" s="3">
        <v>45965</v>
      </c>
      <c r="C1479">
        <v>4010</v>
      </c>
      <c r="D1479" s="1">
        <v>0</v>
      </c>
      <c r="E1479" s="1">
        <v>23275.83</v>
      </c>
      <c r="F1479" t="s">
        <v>3029</v>
      </c>
      <c r="G1479" t="str">
        <f>_xlfn.XLOOKUP(C1479,tblCOA[AccountNo],tblCOA[AccountName],"Unmapped")</f>
        <v>Product Sales</v>
      </c>
      <c r="H1479" t="str">
        <f>_xlfn.XLOOKUP(C1479,tblCOA[AccountNo],tblCOA[Category],"Unmapped")</f>
        <v>Revenue</v>
      </c>
      <c r="I1479" s="4">
        <f t="shared" si="69"/>
        <v>-23275.83</v>
      </c>
      <c r="J1479">
        <f t="shared" si="70"/>
        <v>2025</v>
      </c>
      <c r="K1479" s="5">
        <f t="shared" si="71"/>
        <v>45962</v>
      </c>
    </row>
    <row r="1480" spans="1:11" x14ac:dyDescent="0.25">
      <c r="A1480" t="s">
        <v>3630</v>
      </c>
      <c r="B1480" s="3">
        <v>45968</v>
      </c>
      <c r="C1480">
        <v>5010</v>
      </c>
      <c r="D1480" s="1">
        <v>1122.82</v>
      </c>
      <c r="E1480" s="1">
        <v>0</v>
      </c>
      <c r="F1480" t="s">
        <v>3631</v>
      </c>
      <c r="G1480" t="str">
        <f>_xlfn.XLOOKUP(C1480,tblCOA[AccountNo],tblCOA[AccountName],"Unmapped")</f>
        <v>Cost of Goods Sold</v>
      </c>
      <c r="H1480" t="str">
        <f>_xlfn.XLOOKUP(C1480,tblCOA[AccountNo],tblCOA[Category],"Unmapped")</f>
        <v>Expenses</v>
      </c>
      <c r="I1480" s="4">
        <f t="shared" si="69"/>
        <v>1122.82</v>
      </c>
      <c r="J1480">
        <f t="shared" si="70"/>
        <v>2025</v>
      </c>
      <c r="K1480" s="5">
        <f t="shared" si="71"/>
        <v>45962</v>
      </c>
    </row>
    <row r="1481" spans="1:11" x14ac:dyDescent="0.25">
      <c r="A1481" t="s">
        <v>3632</v>
      </c>
      <c r="B1481" s="3">
        <v>45968</v>
      </c>
      <c r="C1481">
        <v>2010</v>
      </c>
      <c r="D1481" s="1">
        <v>0</v>
      </c>
      <c r="E1481" s="1">
        <v>1122.82</v>
      </c>
      <c r="F1481" t="s">
        <v>3633</v>
      </c>
      <c r="G1481" t="str">
        <f>_xlfn.XLOOKUP(C1481,tblCOA[AccountNo],tblCOA[AccountName],"Unmapped")</f>
        <v>Accounts Payable</v>
      </c>
      <c r="H1481" t="str">
        <f>_xlfn.XLOOKUP(C1481,tblCOA[AccountNo],tblCOA[Category],"Unmapped")</f>
        <v>Liabilities</v>
      </c>
      <c r="I1481" s="4">
        <f t="shared" si="69"/>
        <v>-1122.82</v>
      </c>
      <c r="J1481">
        <f t="shared" si="70"/>
        <v>2025</v>
      </c>
      <c r="K1481" s="5">
        <f t="shared" si="71"/>
        <v>45962</v>
      </c>
    </row>
    <row r="1482" spans="1:11" x14ac:dyDescent="0.25">
      <c r="A1482" t="s">
        <v>2726</v>
      </c>
      <c r="B1482" s="3">
        <v>45970</v>
      </c>
      <c r="C1482">
        <v>5010</v>
      </c>
      <c r="D1482" s="1">
        <v>18703.03</v>
      </c>
      <c r="E1482" s="1">
        <v>0</v>
      </c>
      <c r="F1482" t="s">
        <v>2727</v>
      </c>
      <c r="G1482" t="str">
        <f>_xlfn.XLOOKUP(C1482,tblCOA[AccountNo],tblCOA[AccountName],"Unmapped")</f>
        <v>Cost of Goods Sold</v>
      </c>
      <c r="H1482" t="str">
        <f>_xlfn.XLOOKUP(C1482,tblCOA[AccountNo],tblCOA[Category],"Unmapped")</f>
        <v>Expenses</v>
      </c>
      <c r="I1482" s="4">
        <f t="shared" si="69"/>
        <v>18703.03</v>
      </c>
      <c r="J1482">
        <f t="shared" si="70"/>
        <v>2025</v>
      </c>
      <c r="K1482" s="5">
        <f t="shared" si="71"/>
        <v>45962</v>
      </c>
    </row>
    <row r="1483" spans="1:11" x14ac:dyDescent="0.25">
      <c r="A1483" t="s">
        <v>2728</v>
      </c>
      <c r="B1483" s="3">
        <v>45970</v>
      </c>
      <c r="C1483">
        <v>2010</v>
      </c>
      <c r="D1483" s="1">
        <v>0</v>
      </c>
      <c r="E1483" s="1">
        <v>18703.03</v>
      </c>
      <c r="F1483" t="s">
        <v>2729</v>
      </c>
      <c r="G1483" t="str">
        <f>_xlfn.XLOOKUP(C1483,tblCOA[AccountNo],tblCOA[AccountName],"Unmapped")</f>
        <v>Accounts Payable</v>
      </c>
      <c r="H1483" t="str">
        <f>_xlfn.XLOOKUP(C1483,tblCOA[AccountNo],tblCOA[Category],"Unmapped")</f>
        <v>Liabilities</v>
      </c>
      <c r="I1483" s="4">
        <f t="shared" si="69"/>
        <v>-18703.03</v>
      </c>
      <c r="J1483">
        <f t="shared" si="70"/>
        <v>2025</v>
      </c>
      <c r="K1483" s="5">
        <f t="shared" si="71"/>
        <v>45962</v>
      </c>
    </row>
    <row r="1484" spans="1:11" x14ac:dyDescent="0.25">
      <c r="A1484" t="s">
        <v>434</v>
      </c>
      <c r="B1484" s="3">
        <v>45971</v>
      </c>
      <c r="C1484">
        <v>1200</v>
      </c>
      <c r="D1484" s="1">
        <v>8769.91</v>
      </c>
      <c r="E1484" s="1">
        <v>0</v>
      </c>
      <c r="F1484" t="s">
        <v>435</v>
      </c>
      <c r="G1484" t="str">
        <f>_xlfn.XLOOKUP(C1484,tblCOA[AccountNo],tblCOA[AccountName],"Unmapped")</f>
        <v>Accounts Receivable</v>
      </c>
      <c r="H1484" t="str">
        <f>_xlfn.XLOOKUP(C1484,tblCOA[AccountNo],tblCOA[Category],"Unmapped")</f>
        <v>Assets</v>
      </c>
      <c r="I1484" s="4">
        <f t="shared" si="69"/>
        <v>8769.91</v>
      </c>
      <c r="J1484">
        <f t="shared" si="70"/>
        <v>2025</v>
      </c>
      <c r="K1484" s="5">
        <f t="shared" si="71"/>
        <v>45962</v>
      </c>
    </row>
    <row r="1485" spans="1:11" x14ac:dyDescent="0.25">
      <c r="A1485" t="s">
        <v>436</v>
      </c>
      <c r="B1485" s="3">
        <v>45971</v>
      </c>
      <c r="C1485">
        <v>4010</v>
      </c>
      <c r="D1485" s="1">
        <v>0</v>
      </c>
      <c r="E1485" s="1">
        <v>8769.91</v>
      </c>
      <c r="F1485" t="s">
        <v>437</v>
      </c>
      <c r="G1485" t="str">
        <f>_xlfn.XLOOKUP(C1485,tblCOA[AccountNo],tblCOA[AccountName],"Unmapped")</f>
        <v>Product Sales</v>
      </c>
      <c r="H1485" t="str">
        <f>_xlfn.XLOOKUP(C1485,tblCOA[AccountNo],tblCOA[Category],"Unmapped")</f>
        <v>Revenue</v>
      </c>
      <c r="I1485" s="4">
        <f t="shared" si="69"/>
        <v>-8769.91</v>
      </c>
      <c r="J1485">
        <f t="shared" si="70"/>
        <v>2025</v>
      </c>
      <c r="K1485" s="5">
        <f t="shared" si="71"/>
        <v>45962</v>
      </c>
    </row>
    <row r="1486" spans="1:11" x14ac:dyDescent="0.25">
      <c r="A1486" t="s">
        <v>1218</v>
      </c>
      <c r="B1486" s="3">
        <v>45971</v>
      </c>
      <c r="C1486">
        <v>1200</v>
      </c>
      <c r="D1486" s="1">
        <v>33280.04</v>
      </c>
      <c r="E1486" s="1">
        <v>0</v>
      </c>
      <c r="F1486" t="s">
        <v>1219</v>
      </c>
      <c r="G1486" t="str">
        <f>_xlfn.XLOOKUP(C1486,tblCOA[AccountNo],tblCOA[AccountName],"Unmapped")</f>
        <v>Accounts Receivable</v>
      </c>
      <c r="H1486" t="str">
        <f>_xlfn.XLOOKUP(C1486,tblCOA[AccountNo],tblCOA[Category],"Unmapped")</f>
        <v>Assets</v>
      </c>
      <c r="I1486" s="4">
        <f t="shared" si="69"/>
        <v>33280.04</v>
      </c>
      <c r="J1486">
        <f t="shared" si="70"/>
        <v>2025</v>
      </c>
      <c r="K1486" s="5">
        <f t="shared" si="71"/>
        <v>45962</v>
      </c>
    </row>
    <row r="1487" spans="1:11" x14ac:dyDescent="0.25">
      <c r="A1487" t="s">
        <v>1220</v>
      </c>
      <c r="B1487" s="3">
        <v>45971</v>
      </c>
      <c r="C1487">
        <v>4010</v>
      </c>
      <c r="D1487" s="1">
        <v>0</v>
      </c>
      <c r="E1487" s="1">
        <v>33280.04</v>
      </c>
      <c r="F1487" t="s">
        <v>1221</v>
      </c>
      <c r="G1487" t="str">
        <f>_xlfn.XLOOKUP(C1487,tblCOA[AccountNo],tblCOA[AccountName],"Unmapped")</f>
        <v>Product Sales</v>
      </c>
      <c r="H1487" t="str">
        <f>_xlfn.XLOOKUP(C1487,tblCOA[AccountNo],tblCOA[Category],"Unmapped")</f>
        <v>Revenue</v>
      </c>
      <c r="I1487" s="4">
        <f t="shared" si="69"/>
        <v>-33280.04</v>
      </c>
      <c r="J1487">
        <f t="shared" si="70"/>
        <v>2025</v>
      </c>
      <c r="K1487" s="5">
        <f t="shared" si="71"/>
        <v>45962</v>
      </c>
    </row>
    <row r="1488" spans="1:11" x14ac:dyDescent="0.25">
      <c r="A1488" t="s">
        <v>3010</v>
      </c>
      <c r="B1488" s="3">
        <v>45972</v>
      </c>
      <c r="C1488">
        <v>1200</v>
      </c>
      <c r="D1488" s="1">
        <v>7890.48</v>
      </c>
      <c r="E1488" s="1">
        <v>0</v>
      </c>
      <c r="F1488" t="s">
        <v>3011</v>
      </c>
      <c r="G1488" t="str">
        <f>_xlfn.XLOOKUP(C1488,tblCOA[AccountNo],tblCOA[AccountName],"Unmapped")</f>
        <v>Accounts Receivable</v>
      </c>
      <c r="H1488" t="str">
        <f>_xlfn.XLOOKUP(C1488,tblCOA[AccountNo],tblCOA[Category],"Unmapped")</f>
        <v>Assets</v>
      </c>
      <c r="I1488" s="4">
        <f t="shared" si="69"/>
        <v>7890.48</v>
      </c>
      <c r="J1488">
        <f t="shared" si="70"/>
        <v>2025</v>
      </c>
      <c r="K1488" s="5">
        <f t="shared" si="71"/>
        <v>45962</v>
      </c>
    </row>
    <row r="1489" spans="1:11" x14ac:dyDescent="0.25">
      <c r="A1489" t="s">
        <v>3012</v>
      </c>
      <c r="B1489" s="3">
        <v>45972</v>
      </c>
      <c r="C1489">
        <v>4010</v>
      </c>
      <c r="D1489" s="1">
        <v>0</v>
      </c>
      <c r="E1489" s="1">
        <v>7890.48</v>
      </c>
      <c r="F1489" t="s">
        <v>3013</v>
      </c>
      <c r="G1489" t="str">
        <f>_xlfn.XLOOKUP(C1489,tblCOA[AccountNo],tblCOA[AccountName],"Unmapped")</f>
        <v>Product Sales</v>
      </c>
      <c r="H1489" t="str">
        <f>_xlfn.XLOOKUP(C1489,tblCOA[AccountNo],tblCOA[Category],"Unmapped")</f>
        <v>Revenue</v>
      </c>
      <c r="I1489" s="4">
        <f t="shared" si="69"/>
        <v>-7890.48</v>
      </c>
      <c r="J1489">
        <f t="shared" si="70"/>
        <v>2025</v>
      </c>
      <c r="K1489" s="5">
        <f t="shared" si="71"/>
        <v>45962</v>
      </c>
    </row>
    <row r="1490" spans="1:11" x14ac:dyDescent="0.25">
      <c r="A1490" t="s">
        <v>3598</v>
      </c>
      <c r="B1490" s="3">
        <v>45972</v>
      </c>
      <c r="C1490">
        <v>5010</v>
      </c>
      <c r="D1490" s="1">
        <v>3900.35</v>
      </c>
      <c r="E1490" s="1">
        <v>0</v>
      </c>
      <c r="F1490" t="s">
        <v>3599</v>
      </c>
      <c r="G1490" t="str">
        <f>_xlfn.XLOOKUP(C1490,tblCOA[AccountNo],tblCOA[AccountName],"Unmapped")</f>
        <v>Cost of Goods Sold</v>
      </c>
      <c r="H1490" t="str">
        <f>_xlfn.XLOOKUP(C1490,tblCOA[AccountNo],tblCOA[Category],"Unmapped")</f>
        <v>Expenses</v>
      </c>
      <c r="I1490" s="4">
        <f t="shared" si="69"/>
        <v>3900.35</v>
      </c>
      <c r="J1490">
        <f t="shared" si="70"/>
        <v>2025</v>
      </c>
      <c r="K1490" s="5">
        <f t="shared" si="71"/>
        <v>45962</v>
      </c>
    </row>
    <row r="1491" spans="1:11" x14ac:dyDescent="0.25">
      <c r="A1491" t="s">
        <v>3600</v>
      </c>
      <c r="B1491" s="3">
        <v>45972</v>
      </c>
      <c r="C1491">
        <v>2010</v>
      </c>
      <c r="D1491" s="1">
        <v>0</v>
      </c>
      <c r="E1491" s="1">
        <v>3900.35</v>
      </c>
      <c r="F1491" t="s">
        <v>3601</v>
      </c>
      <c r="G1491" t="str">
        <f>_xlfn.XLOOKUP(C1491,tblCOA[AccountNo],tblCOA[AccountName],"Unmapped")</f>
        <v>Accounts Payable</v>
      </c>
      <c r="H1491" t="str">
        <f>_xlfn.XLOOKUP(C1491,tblCOA[AccountNo],tblCOA[Category],"Unmapped")</f>
        <v>Liabilities</v>
      </c>
      <c r="I1491" s="4">
        <f t="shared" si="69"/>
        <v>-3900.35</v>
      </c>
      <c r="J1491">
        <f t="shared" si="70"/>
        <v>2025</v>
      </c>
      <c r="K1491" s="5">
        <f t="shared" si="71"/>
        <v>45962</v>
      </c>
    </row>
    <row r="1492" spans="1:11" x14ac:dyDescent="0.25">
      <c r="A1492" t="s">
        <v>2398</v>
      </c>
      <c r="B1492" s="3">
        <v>45974</v>
      </c>
      <c r="C1492">
        <v>5010</v>
      </c>
      <c r="D1492" s="1">
        <v>12312.19</v>
      </c>
      <c r="E1492" s="1">
        <v>0</v>
      </c>
      <c r="F1492" t="s">
        <v>2399</v>
      </c>
      <c r="G1492" t="str">
        <f>_xlfn.XLOOKUP(C1492,tblCOA[AccountNo],tblCOA[AccountName],"Unmapped")</f>
        <v>Cost of Goods Sold</v>
      </c>
      <c r="H1492" t="str">
        <f>_xlfn.XLOOKUP(C1492,tblCOA[AccountNo],tblCOA[Category],"Unmapped")</f>
        <v>Expenses</v>
      </c>
      <c r="I1492" s="4">
        <f t="shared" si="69"/>
        <v>12312.19</v>
      </c>
      <c r="J1492">
        <f t="shared" si="70"/>
        <v>2025</v>
      </c>
      <c r="K1492" s="5">
        <f t="shared" si="71"/>
        <v>45962</v>
      </c>
    </row>
    <row r="1493" spans="1:11" x14ac:dyDescent="0.25">
      <c r="A1493" t="s">
        <v>2400</v>
      </c>
      <c r="B1493" s="3">
        <v>45974</v>
      </c>
      <c r="C1493">
        <v>2010</v>
      </c>
      <c r="D1493" s="1">
        <v>0</v>
      </c>
      <c r="E1493" s="1">
        <v>12312.19</v>
      </c>
      <c r="F1493" t="s">
        <v>2401</v>
      </c>
      <c r="G1493" t="str">
        <f>_xlfn.XLOOKUP(C1493,tblCOA[AccountNo],tblCOA[AccountName],"Unmapped")</f>
        <v>Accounts Payable</v>
      </c>
      <c r="H1493" t="str">
        <f>_xlfn.XLOOKUP(C1493,tblCOA[AccountNo],tblCOA[Category],"Unmapped")</f>
        <v>Liabilities</v>
      </c>
      <c r="I1493" s="4">
        <f t="shared" si="69"/>
        <v>-12312.19</v>
      </c>
      <c r="J1493">
        <f t="shared" si="70"/>
        <v>2025</v>
      </c>
      <c r="K1493" s="5">
        <f t="shared" si="71"/>
        <v>45962</v>
      </c>
    </row>
    <row r="1494" spans="1:11" x14ac:dyDescent="0.25">
      <c r="A1494" t="s">
        <v>702</v>
      </c>
      <c r="B1494" s="3">
        <v>45975</v>
      </c>
      <c r="C1494">
        <v>5010</v>
      </c>
      <c r="D1494" s="1">
        <v>5315.92</v>
      </c>
      <c r="E1494" s="1">
        <v>0</v>
      </c>
      <c r="F1494" t="s">
        <v>703</v>
      </c>
      <c r="G1494" t="str">
        <f>_xlfn.XLOOKUP(C1494,tblCOA[AccountNo],tblCOA[AccountName],"Unmapped")</f>
        <v>Cost of Goods Sold</v>
      </c>
      <c r="H1494" t="str">
        <f>_xlfn.XLOOKUP(C1494,tblCOA[AccountNo],tblCOA[Category],"Unmapped")</f>
        <v>Expenses</v>
      </c>
      <c r="I1494" s="4">
        <f t="shared" si="69"/>
        <v>5315.92</v>
      </c>
      <c r="J1494">
        <f t="shared" si="70"/>
        <v>2025</v>
      </c>
      <c r="K1494" s="5">
        <f t="shared" si="71"/>
        <v>45962</v>
      </c>
    </row>
    <row r="1495" spans="1:11" x14ac:dyDescent="0.25">
      <c r="A1495" t="s">
        <v>704</v>
      </c>
      <c r="B1495" s="3">
        <v>45975</v>
      </c>
      <c r="C1495">
        <v>2010</v>
      </c>
      <c r="D1495" s="1">
        <v>0</v>
      </c>
      <c r="E1495" s="1">
        <v>5315.92</v>
      </c>
      <c r="F1495" t="s">
        <v>705</v>
      </c>
      <c r="G1495" t="str">
        <f>_xlfn.XLOOKUP(C1495,tblCOA[AccountNo],tblCOA[AccountName],"Unmapped")</f>
        <v>Accounts Payable</v>
      </c>
      <c r="H1495" t="str">
        <f>_xlfn.XLOOKUP(C1495,tblCOA[AccountNo],tblCOA[Category],"Unmapped")</f>
        <v>Liabilities</v>
      </c>
      <c r="I1495" s="4">
        <f t="shared" si="69"/>
        <v>-5315.92</v>
      </c>
      <c r="J1495">
        <f t="shared" si="70"/>
        <v>2025</v>
      </c>
      <c r="K1495" s="5">
        <f t="shared" si="71"/>
        <v>45962</v>
      </c>
    </row>
    <row r="1496" spans="1:11" x14ac:dyDescent="0.25">
      <c r="A1496" t="s">
        <v>1546</v>
      </c>
      <c r="B1496" s="3">
        <v>45975</v>
      </c>
      <c r="C1496">
        <v>1200</v>
      </c>
      <c r="D1496" s="1">
        <v>10707.89</v>
      </c>
      <c r="E1496" s="1">
        <v>0</v>
      </c>
      <c r="F1496" t="s">
        <v>1547</v>
      </c>
      <c r="G1496" t="str">
        <f>_xlfn.XLOOKUP(C1496,tblCOA[AccountNo],tblCOA[AccountName],"Unmapped")</f>
        <v>Accounts Receivable</v>
      </c>
      <c r="H1496" t="str">
        <f>_xlfn.XLOOKUP(C1496,tblCOA[AccountNo],tblCOA[Category],"Unmapped")</f>
        <v>Assets</v>
      </c>
      <c r="I1496" s="4">
        <f t="shared" si="69"/>
        <v>10707.89</v>
      </c>
      <c r="J1496">
        <f t="shared" si="70"/>
        <v>2025</v>
      </c>
      <c r="K1496" s="5">
        <f t="shared" si="71"/>
        <v>45962</v>
      </c>
    </row>
    <row r="1497" spans="1:11" x14ac:dyDescent="0.25">
      <c r="A1497" t="s">
        <v>1548</v>
      </c>
      <c r="B1497" s="3">
        <v>45975</v>
      </c>
      <c r="C1497">
        <v>4010</v>
      </c>
      <c r="D1497" s="1">
        <v>0</v>
      </c>
      <c r="E1497" s="1">
        <v>10707.89</v>
      </c>
      <c r="F1497" t="s">
        <v>1549</v>
      </c>
      <c r="G1497" t="str">
        <f>_xlfn.XLOOKUP(C1497,tblCOA[AccountNo],tblCOA[AccountName],"Unmapped")</f>
        <v>Product Sales</v>
      </c>
      <c r="H1497" t="str">
        <f>_xlfn.XLOOKUP(C1497,tblCOA[AccountNo],tblCOA[Category],"Unmapped")</f>
        <v>Revenue</v>
      </c>
      <c r="I1497" s="4">
        <f t="shared" si="69"/>
        <v>-10707.89</v>
      </c>
      <c r="J1497">
        <f t="shared" si="70"/>
        <v>2025</v>
      </c>
      <c r="K1497" s="5">
        <f t="shared" si="71"/>
        <v>45962</v>
      </c>
    </row>
    <row r="1498" spans="1:11" x14ac:dyDescent="0.25">
      <c r="A1498" t="s">
        <v>3942</v>
      </c>
      <c r="B1498" s="3">
        <v>45977</v>
      </c>
      <c r="C1498">
        <v>5010</v>
      </c>
      <c r="D1498" s="1">
        <v>669.31</v>
      </c>
      <c r="E1498" s="1">
        <v>0</v>
      </c>
      <c r="F1498" t="s">
        <v>3943</v>
      </c>
      <c r="G1498" t="str">
        <f>_xlfn.XLOOKUP(C1498,tblCOA[AccountNo],tblCOA[AccountName],"Unmapped")</f>
        <v>Cost of Goods Sold</v>
      </c>
      <c r="H1498" t="str">
        <f>_xlfn.XLOOKUP(C1498,tblCOA[AccountNo],tblCOA[Category],"Unmapped")</f>
        <v>Expenses</v>
      </c>
      <c r="I1498" s="4">
        <f t="shared" si="69"/>
        <v>669.31</v>
      </c>
      <c r="J1498">
        <f t="shared" si="70"/>
        <v>2025</v>
      </c>
      <c r="K1498" s="5">
        <f t="shared" si="71"/>
        <v>45962</v>
      </c>
    </row>
    <row r="1499" spans="1:11" x14ac:dyDescent="0.25">
      <c r="A1499" t="s">
        <v>3944</v>
      </c>
      <c r="B1499" s="3">
        <v>45977</v>
      </c>
      <c r="C1499">
        <v>2010</v>
      </c>
      <c r="D1499" s="1">
        <v>0</v>
      </c>
      <c r="E1499" s="1">
        <v>669.31</v>
      </c>
      <c r="F1499" t="s">
        <v>3945</v>
      </c>
      <c r="G1499" t="str">
        <f>_xlfn.XLOOKUP(C1499,tblCOA[AccountNo],tblCOA[AccountName],"Unmapped")</f>
        <v>Accounts Payable</v>
      </c>
      <c r="H1499" t="str">
        <f>_xlfn.XLOOKUP(C1499,tblCOA[AccountNo],tblCOA[Category],"Unmapped")</f>
        <v>Liabilities</v>
      </c>
      <c r="I1499" s="4">
        <f t="shared" si="69"/>
        <v>-669.31</v>
      </c>
      <c r="J1499">
        <f t="shared" si="70"/>
        <v>2025</v>
      </c>
      <c r="K1499" s="5">
        <f t="shared" si="71"/>
        <v>45962</v>
      </c>
    </row>
    <row r="1500" spans="1:11" x14ac:dyDescent="0.25">
      <c r="A1500" t="s">
        <v>2382</v>
      </c>
      <c r="B1500" s="3">
        <v>45979</v>
      </c>
      <c r="C1500">
        <v>5010</v>
      </c>
      <c r="D1500" s="1">
        <v>15715.02</v>
      </c>
      <c r="E1500" s="1">
        <v>0</v>
      </c>
      <c r="F1500" t="s">
        <v>2383</v>
      </c>
      <c r="G1500" t="str">
        <f>_xlfn.XLOOKUP(C1500,tblCOA[AccountNo],tblCOA[AccountName],"Unmapped")</f>
        <v>Cost of Goods Sold</v>
      </c>
      <c r="H1500" t="str">
        <f>_xlfn.XLOOKUP(C1500,tblCOA[AccountNo],tblCOA[Category],"Unmapped")</f>
        <v>Expenses</v>
      </c>
      <c r="I1500" s="4">
        <f t="shared" si="69"/>
        <v>15715.02</v>
      </c>
      <c r="J1500">
        <f t="shared" si="70"/>
        <v>2025</v>
      </c>
      <c r="K1500" s="5">
        <f t="shared" si="71"/>
        <v>45962</v>
      </c>
    </row>
    <row r="1501" spans="1:11" x14ac:dyDescent="0.25">
      <c r="A1501" t="s">
        <v>2384</v>
      </c>
      <c r="B1501" s="3">
        <v>45979</v>
      </c>
      <c r="C1501">
        <v>2010</v>
      </c>
      <c r="D1501" s="1">
        <v>0</v>
      </c>
      <c r="E1501" s="1">
        <v>15715.02</v>
      </c>
      <c r="F1501" t="s">
        <v>2385</v>
      </c>
      <c r="G1501" t="str">
        <f>_xlfn.XLOOKUP(C1501,tblCOA[AccountNo],tblCOA[AccountName],"Unmapped")</f>
        <v>Accounts Payable</v>
      </c>
      <c r="H1501" t="str">
        <f>_xlfn.XLOOKUP(C1501,tblCOA[AccountNo],tblCOA[Category],"Unmapped")</f>
        <v>Liabilities</v>
      </c>
      <c r="I1501" s="4">
        <f t="shared" si="69"/>
        <v>-15715.02</v>
      </c>
      <c r="J1501">
        <f t="shared" si="70"/>
        <v>2025</v>
      </c>
      <c r="K1501" s="5">
        <f t="shared" si="71"/>
        <v>45962</v>
      </c>
    </row>
    <row r="1502" spans="1:11" x14ac:dyDescent="0.25">
      <c r="A1502" t="s">
        <v>422</v>
      </c>
      <c r="B1502" s="3">
        <v>45979</v>
      </c>
      <c r="C1502">
        <v>5010</v>
      </c>
      <c r="D1502" s="1">
        <v>14893.88</v>
      </c>
      <c r="E1502" s="1">
        <v>0</v>
      </c>
      <c r="F1502" t="s">
        <v>423</v>
      </c>
      <c r="G1502" t="str">
        <f>_xlfn.XLOOKUP(C1502,tblCOA[AccountNo],tblCOA[AccountName],"Unmapped")</f>
        <v>Cost of Goods Sold</v>
      </c>
      <c r="H1502" t="str">
        <f>_xlfn.XLOOKUP(C1502,tblCOA[AccountNo],tblCOA[Category],"Unmapped")</f>
        <v>Expenses</v>
      </c>
      <c r="I1502" s="4">
        <f t="shared" si="69"/>
        <v>14893.88</v>
      </c>
      <c r="J1502">
        <f t="shared" si="70"/>
        <v>2025</v>
      </c>
      <c r="K1502" s="5">
        <f t="shared" si="71"/>
        <v>45962</v>
      </c>
    </row>
    <row r="1503" spans="1:11" x14ac:dyDescent="0.25">
      <c r="A1503" t="s">
        <v>424</v>
      </c>
      <c r="B1503" s="3">
        <v>45979</v>
      </c>
      <c r="C1503">
        <v>2010</v>
      </c>
      <c r="D1503" s="1">
        <v>0</v>
      </c>
      <c r="E1503" s="1">
        <v>14893.88</v>
      </c>
      <c r="F1503" t="s">
        <v>425</v>
      </c>
      <c r="G1503" t="str">
        <f>_xlfn.XLOOKUP(C1503,tblCOA[AccountNo],tblCOA[AccountName],"Unmapped")</f>
        <v>Accounts Payable</v>
      </c>
      <c r="H1503" t="str">
        <f>_xlfn.XLOOKUP(C1503,tblCOA[AccountNo],tblCOA[Category],"Unmapped")</f>
        <v>Liabilities</v>
      </c>
      <c r="I1503" s="4">
        <f t="shared" si="69"/>
        <v>-14893.88</v>
      </c>
      <c r="J1503">
        <f t="shared" si="70"/>
        <v>2025</v>
      </c>
      <c r="K1503" s="5">
        <f t="shared" si="71"/>
        <v>45962</v>
      </c>
    </row>
    <row r="1504" spans="1:11" x14ac:dyDescent="0.25">
      <c r="A1504" t="s">
        <v>722</v>
      </c>
      <c r="B1504" s="3">
        <v>45979</v>
      </c>
      <c r="C1504">
        <v>1200</v>
      </c>
      <c r="D1504" s="1">
        <v>2741.41</v>
      </c>
      <c r="E1504" s="1">
        <v>0</v>
      </c>
      <c r="F1504" t="s">
        <v>723</v>
      </c>
      <c r="G1504" t="str">
        <f>_xlfn.XLOOKUP(C1504,tblCOA[AccountNo],tblCOA[AccountName],"Unmapped")</f>
        <v>Accounts Receivable</v>
      </c>
      <c r="H1504" t="str">
        <f>_xlfn.XLOOKUP(C1504,tblCOA[AccountNo],tblCOA[Category],"Unmapped")</f>
        <v>Assets</v>
      </c>
      <c r="I1504" s="4">
        <f t="shared" si="69"/>
        <v>2741.41</v>
      </c>
      <c r="J1504">
        <f t="shared" si="70"/>
        <v>2025</v>
      </c>
      <c r="K1504" s="5">
        <f t="shared" si="71"/>
        <v>45962</v>
      </c>
    </row>
    <row r="1505" spans="1:11" x14ac:dyDescent="0.25">
      <c r="A1505" t="s">
        <v>724</v>
      </c>
      <c r="B1505" s="3">
        <v>45979</v>
      </c>
      <c r="C1505">
        <v>4010</v>
      </c>
      <c r="D1505" s="1">
        <v>0</v>
      </c>
      <c r="E1505" s="1">
        <v>2741.41</v>
      </c>
      <c r="F1505" t="s">
        <v>725</v>
      </c>
      <c r="G1505" t="str">
        <f>_xlfn.XLOOKUP(C1505,tblCOA[AccountNo],tblCOA[AccountName],"Unmapped")</f>
        <v>Product Sales</v>
      </c>
      <c r="H1505" t="str">
        <f>_xlfn.XLOOKUP(C1505,tblCOA[AccountNo],tblCOA[Category],"Unmapped")</f>
        <v>Revenue</v>
      </c>
      <c r="I1505" s="4">
        <f t="shared" si="69"/>
        <v>-2741.41</v>
      </c>
      <c r="J1505">
        <f t="shared" si="70"/>
        <v>2025</v>
      </c>
      <c r="K1505" s="5">
        <f t="shared" si="71"/>
        <v>45962</v>
      </c>
    </row>
    <row r="1506" spans="1:11" x14ac:dyDescent="0.25">
      <c r="A1506" t="s">
        <v>1862</v>
      </c>
      <c r="B1506" s="3">
        <v>45980</v>
      </c>
      <c r="C1506">
        <v>5010</v>
      </c>
      <c r="D1506" s="1">
        <v>1635.11</v>
      </c>
      <c r="E1506" s="1">
        <v>0</v>
      </c>
      <c r="F1506" t="s">
        <v>1863</v>
      </c>
      <c r="G1506" t="str">
        <f>_xlfn.XLOOKUP(C1506,tblCOA[AccountNo],tblCOA[AccountName],"Unmapped")</f>
        <v>Cost of Goods Sold</v>
      </c>
      <c r="H1506" t="str">
        <f>_xlfn.XLOOKUP(C1506,tblCOA[AccountNo],tblCOA[Category],"Unmapped")</f>
        <v>Expenses</v>
      </c>
      <c r="I1506" s="4">
        <f t="shared" si="69"/>
        <v>1635.11</v>
      </c>
      <c r="J1506">
        <f t="shared" si="70"/>
        <v>2025</v>
      </c>
      <c r="K1506" s="5">
        <f t="shared" si="71"/>
        <v>45962</v>
      </c>
    </row>
    <row r="1507" spans="1:11" x14ac:dyDescent="0.25">
      <c r="A1507" t="s">
        <v>1864</v>
      </c>
      <c r="B1507" s="3">
        <v>45980</v>
      </c>
      <c r="C1507">
        <v>2010</v>
      </c>
      <c r="D1507" s="1">
        <v>0</v>
      </c>
      <c r="E1507" s="1">
        <v>1635.11</v>
      </c>
      <c r="F1507" t="s">
        <v>1865</v>
      </c>
      <c r="G1507" t="str">
        <f>_xlfn.XLOOKUP(C1507,tblCOA[AccountNo],tblCOA[AccountName],"Unmapped")</f>
        <v>Accounts Payable</v>
      </c>
      <c r="H1507" t="str">
        <f>_xlfn.XLOOKUP(C1507,tblCOA[AccountNo],tblCOA[Category],"Unmapped")</f>
        <v>Liabilities</v>
      </c>
      <c r="I1507" s="4">
        <f t="shared" si="69"/>
        <v>-1635.11</v>
      </c>
      <c r="J1507">
        <f t="shared" si="70"/>
        <v>2025</v>
      </c>
      <c r="K1507" s="5">
        <f t="shared" si="71"/>
        <v>45962</v>
      </c>
    </row>
    <row r="1508" spans="1:11" x14ac:dyDescent="0.25">
      <c r="A1508" t="s">
        <v>2318</v>
      </c>
      <c r="B1508" s="3">
        <v>45982</v>
      </c>
      <c r="C1508">
        <v>5010</v>
      </c>
      <c r="D1508" s="1">
        <v>4050.23</v>
      </c>
      <c r="E1508" s="1">
        <v>0</v>
      </c>
      <c r="F1508" t="s">
        <v>2319</v>
      </c>
      <c r="G1508" t="str">
        <f>_xlfn.XLOOKUP(C1508,tblCOA[AccountNo],tblCOA[AccountName],"Unmapped")</f>
        <v>Cost of Goods Sold</v>
      </c>
      <c r="H1508" t="str">
        <f>_xlfn.XLOOKUP(C1508,tblCOA[AccountNo],tblCOA[Category],"Unmapped")</f>
        <v>Expenses</v>
      </c>
      <c r="I1508" s="4">
        <f t="shared" si="69"/>
        <v>4050.23</v>
      </c>
      <c r="J1508">
        <f t="shared" si="70"/>
        <v>2025</v>
      </c>
      <c r="K1508" s="5">
        <f t="shared" si="71"/>
        <v>45962</v>
      </c>
    </row>
    <row r="1509" spans="1:11" x14ac:dyDescent="0.25">
      <c r="A1509" t="s">
        <v>2320</v>
      </c>
      <c r="B1509" s="3">
        <v>45982</v>
      </c>
      <c r="C1509">
        <v>2010</v>
      </c>
      <c r="D1509" s="1">
        <v>0</v>
      </c>
      <c r="E1509" s="1">
        <v>4050.23</v>
      </c>
      <c r="F1509" t="s">
        <v>2321</v>
      </c>
      <c r="G1509" t="str">
        <f>_xlfn.XLOOKUP(C1509,tblCOA[AccountNo],tblCOA[AccountName],"Unmapped")</f>
        <v>Accounts Payable</v>
      </c>
      <c r="H1509" t="str">
        <f>_xlfn.XLOOKUP(C1509,tblCOA[AccountNo],tblCOA[Category],"Unmapped")</f>
        <v>Liabilities</v>
      </c>
      <c r="I1509" s="4">
        <f t="shared" si="69"/>
        <v>-4050.23</v>
      </c>
      <c r="J1509">
        <f t="shared" si="70"/>
        <v>2025</v>
      </c>
      <c r="K1509" s="5">
        <f t="shared" si="71"/>
        <v>45962</v>
      </c>
    </row>
    <row r="1510" spans="1:11" x14ac:dyDescent="0.25">
      <c r="A1510" t="s">
        <v>858</v>
      </c>
      <c r="B1510" s="3">
        <v>45982</v>
      </c>
      <c r="C1510">
        <v>1200</v>
      </c>
      <c r="D1510" s="1">
        <v>25385.54</v>
      </c>
      <c r="E1510" s="1">
        <v>0</v>
      </c>
      <c r="F1510" t="s">
        <v>859</v>
      </c>
      <c r="G1510" t="str">
        <f>_xlfn.XLOOKUP(C1510,tblCOA[AccountNo],tblCOA[AccountName],"Unmapped")</f>
        <v>Accounts Receivable</v>
      </c>
      <c r="H1510" t="str">
        <f>_xlfn.XLOOKUP(C1510,tblCOA[AccountNo],tblCOA[Category],"Unmapped")</f>
        <v>Assets</v>
      </c>
      <c r="I1510" s="4">
        <f t="shared" si="69"/>
        <v>25385.54</v>
      </c>
      <c r="J1510">
        <f t="shared" si="70"/>
        <v>2025</v>
      </c>
      <c r="K1510" s="5">
        <f t="shared" si="71"/>
        <v>45962</v>
      </c>
    </row>
    <row r="1511" spans="1:11" x14ac:dyDescent="0.25">
      <c r="A1511" t="s">
        <v>860</v>
      </c>
      <c r="B1511" s="3">
        <v>45982</v>
      </c>
      <c r="C1511">
        <v>4010</v>
      </c>
      <c r="D1511" s="1">
        <v>0</v>
      </c>
      <c r="E1511" s="1">
        <v>25385.54</v>
      </c>
      <c r="F1511" t="s">
        <v>861</v>
      </c>
      <c r="G1511" t="str">
        <f>_xlfn.XLOOKUP(C1511,tblCOA[AccountNo],tblCOA[AccountName],"Unmapped")</f>
        <v>Product Sales</v>
      </c>
      <c r="H1511" t="str">
        <f>_xlfn.XLOOKUP(C1511,tblCOA[AccountNo],tblCOA[Category],"Unmapped")</f>
        <v>Revenue</v>
      </c>
      <c r="I1511" s="4">
        <f t="shared" si="69"/>
        <v>-25385.54</v>
      </c>
      <c r="J1511">
        <f t="shared" si="70"/>
        <v>2025</v>
      </c>
      <c r="K1511" s="5">
        <f t="shared" si="71"/>
        <v>45962</v>
      </c>
    </row>
    <row r="1512" spans="1:11" x14ac:dyDescent="0.25">
      <c r="A1512" t="s">
        <v>3226</v>
      </c>
      <c r="B1512" s="3">
        <v>45983</v>
      </c>
      <c r="C1512">
        <v>1200</v>
      </c>
      <c r="D1512" s="1">
        <v>6561.33</v>
      </c>
      <c r="E1512" s="1">
        <v>0</v>
      </c>
      <c r="F1512" t="s">
        <v>3227</v>
      </c>
      <c r="G1512" t="str">
        <f>_xlfn.XLOOKUP(C1512,tblCOA[AccountNo],tblCOA[AccountName],"Unmapped")</f>
        <v>Accounts Receivable</v>
      </c>
      <c r="H1512" t="str">
        <f>_xlfn.XLOOKUP(C1512,tblCOA[AccountNo],tblCOA[Category],"Unmapped")</f>
        <v>Assets</v>
      </c>
      <c r="I1512" s="4">
        <f t="shared" si="69"/>
        <v>6561.33</v>
      </c>
      <c r="J1512">
        <f t="shared" si="70"/>
        <v>2025</v>
      </c>
      <c r="K1512" s="5">
        <f t="shared" si="71"/>
        <v>45962</v>
      </c>
    </row>
    <row r="1513" spans="1:11" x14ac:dyDescent="0.25">
      <c r="A1513" t="s">
        <v>3228</v>
      </c>
      <c r="B1513" s="3">
        <v>45983</v>
      </c>
      <c r="C1513">
        <v>4010</v>
      </c>
      <c r="D1513" s="1">
        <v>0</v>
      </c>
      <c r="E1513" s="1">
        <v>6561.33</v>
      </c>
      <c r="F1513" t="s">
        <v>3229</v>
      </c>
      <c r="G1513" t="str">
        <f>_xlfn.XLOOKUP(C1513,tblCOA[AccountNo],tblCOA[AccountName],"Unmapped")</f>
        <v>Product Sales</v>
      </c>
      <c r="H1513" t="str">
        <f>_xlfn.XLOOKUP(C1513,tblCOA[AccountNo],tblCOA[Category],"Unmapped")</f>
        <v>Revenue</v>
      </c>
      <c r="I1513" s="4">
        <f t="shared" si="69"/>
        <v>-6561.33</v>
      </c>
      <c r="J1513">
        <f t="shared" si="70"/>
        <v>2025</v>
      </c>
      <c r="K1513" s="5">
        <f t="shared" si="71"/>
        <v>45962</v>
      </c>
    </row>
    <row r="1514" spans="1:11" x14ac:dyDescent="0.25">
      <c r="A1514" t="s">
        <v>3678</v>
      </c>
      <c r="B1514" s="3">
        <v>45984</v>
      </c>
      <c r="C1514">
        <v>5010</v>
      </c>
      <c r="D1514" s="1">
        <v>19006.37</v>
      </c>
      <c r="E1514" s="1">
        <v>0</v>
      </c>
      <c r="F1514" t="s">
        <v>3679</v>
      </c>
      <c r="G1514" t="str">
        <f>_xlfn.XLOOKUP(C1514,tblCOA[AccountNo],tblCOA[AccountName],"Unmapped")</f>
        <v>Cost of Goods Sold</v>
      </c>
      <c r="H1514" t="str">
        <f>_xlfn.XLOOKUP(C1514,tblCOA[AccountNo],tblCOA[Category],"Unmapped")</f>
        <v>Expenses</v>
      </c>
      <c r="I1514" s="4">
        <f t="shared" si="69"/>
        <v>19006.37</v>
      </c>
      <c r="J1514">
        <f t="shared" si="70"/>
        <v>2025</v>
      </c>
      <c r="K1514" s="5">
        <f t="shared" si="71"/>
        <v>45962</v>
      </c>
    </row>
    <row r="1515" spans="1:11" x14ac:dyDescent="0.25">
      <c r="A1515" t="s">
        <v>3680</v>
      </c>
      <c r="B1515" s="3">
        <v>45984</v>
      </c>
      <c r="C1515">
        <v>2010</v>
      </c>
      <c r="D1515" s="1">
        <v>0</v>
      </c>
      <c r="E1515" s="1">
        <v>19006.37</v>
      </c>
      <c r="F1515" t="s">
        <v>3681</v>
      </c>
      <c r="G1515" t="str">
        <f>_xlfn.XLOOKUP(C1515,tblCOA[AccountNo],tblCOA[AccountName],"Unmapped")</f>
        <v>Accounts Payable</v>
      </c>
      <c r="H1515" t="str">
        <f>_xlfn.XLOOKUP(C1515,tblCOA[AccountNo],tblCOA[Category],"Unmapped")</f>
        <v>Liabilities</v>
      </c>
      <c r="I1515" s="4">
        <f t="shared" si="69"/>
        <v>-19006.37</v>
      </c>
      <c r="J1515">
        <f t="shared" si="70"/>
        <v>2025</v>
      </c>
      <c r="K1515" s="5">
        <f t="shared" si="71"/>
        <v>45962</v>
      </c>
    </row>
    <row r="1516" spans="1:11" x14ac:dyDescent="0.25">
      <c r="A1516" t="s">
        <v>1710</v>
      </c>
      <c r="B1516" s="3">
        <v>45984</v>
      </c>
      <c r="C1516">
        <v>5010</v>
      </c>
      <c r="D1516" s="1">
        <v>3937.64</v>
      </c>
      <c r="E1516" s="1">
        <v>0</v>
      </c>
      <c r="F1516" t="s">
        <v>1711</v>
      </c>
      <c r="G1516" t="str">
        <f>_xlfn.XLOOKUP(C1516,tblCOA[AccountNo],tblCOA[AccountName],"Unmapped")</f>
        <v>Cost of Goods Sold</v>
      </c>
      <c r="H1516" t="str">
        <f>_xlfn.XLOOKUP(C1516,tblCOA[AccountNo],tblCOA[Category],"Unmapped")</f>
        <v>Expenses</v>
      </c>
      <c r="I1516" s="4">
        <f t="shared" si="69"/>
        <v>3937.64</v>
      </c>
      <c r="J1516">
        <f t="shared" si="70"/>
        <v>2025</v>
      </c>
      <c r="K1516" s="5">
        <f t="shared" si="71"/>
        <v>45962</v>
      </c>
    </row>
    <row r="1517" spans="1:11" x14ac:dyDescent="0.25">
      <c r="A1517" t="s">
        <v>1712</v>
      </c>
      <c r="B1517" s="3">
        <v>45984</v>
      </c>
      <c r="C1517">
        <v>2010</v>
      </c>
      <c r="D1517" s="1">
        <v>0</v>
      </c>
      <c r="E1517" s="1">
        <v>3937.64</v>
      </c>
      <c r="F1517" t="s">
        <v>1713</v>
      </c>
      <c r="G1517" t="str">
        <f>_xlfn.XLOOKUP(C1517,tblCOA[AccountNo],tblCOA[AccountName],"Unmapped")</f>
        <v>Accounts Payable</v>
      </c>
      <c r="H1517" t="str">
        <f>_xlfn.XLOOKUP(C1517,tblCOA[AccountNo],tblCOA[Category],"Unmapped")</f>
        <v>Liabilities</v>
      </c>
      <c r="I1517" s="4">
        <f t="shared" si="69"/>
        <v>-3937.64</v>
      </c>
      <c r="J1517">
        <f t="shared" si="70"/>
        <v>2025</v>
      </c>
      <c r="K1517" s="5">
        <f t="shared" si="71"/>
        <v>45962</v>
      </c>
    </row>
    <row r="1518" spans="1:11" x14ac:dyDescent="0.25">
      <c r="A1518" t="s">
        <v>3250</v>
      </c>
      <c r="B1518" s="3">
        <v>45985</v>
      </c>
      <c r="C1518">
        <v>1200</v>
      </c>
      <c r="D1518" s="1">
        <v>35663.22</v>
      </c>
      <c r="E1518" s="1">
        <v>0</v>
      </c>
      <c r="F1518" t="s">
        <v>3251</v>
      </c>
      <c r="G1518" t="str">
        <f>_xlfn.XLOOKUP(C1518,tblCOA[AccountNo],tblCOA[AccountName],"Unmapped")</f>
        <v>Accounts Receivable</v>
      </c>
      <c r="H1518" t="str">
        <f>_xlfn.XLOOKUP(C1518,tblCOA[AccountNo],tblCOA[Category],"Unmapped")</f>
        <v>Assets</v>
      </c>
      <c r="I1518" s="4">
        <f t="shared" si="69"/>
        <v>35663.22</v>
      </c>
      <c r="J1518">
        <f t="shared" si="70"/>
        <v>2025</v>
      </c>
      <c r="K1518" s="5">
        <f t="shared" si="71"/>
        <v>45962</v>
      </c>
    </row>
    <row r="1519" spans="1:11" x14ac:dyDescent="0.25">
      <c r="A1519" t="s">
        <v>3252</v>
      </c>
      <c r="B1519" s="3">
        <v>45985</v>
      </c>
      <c r="C1519">
        <v>4010</v>
      </c>
      <c r="D1519" s="1">
        <v>0</v>
      </c>
      <c r="E1519" s="1">
        <v>35663.22</v>
      </c>
      <c r="F1519" t="s">
        <v>3253</v>
      </c>
      <c r="G1519" t="str">
        <f>_xlfn.XLOOKUP(C1519,tblCOA[AccountNo],tblCOA[AccountName],"Unmapped")</f>
        <v>Product Sales</v>
      </c>
      <c r="H1519" t="str">
        <f>_xlfn.XLOOKUP(C1519,tblCOA[AccountNo],tblCOA[Category],"Unmapped")</f>
        <v>Revenue</v>
      </c>
      <c r="I1519" s="4">
        <f t="shared" si="69"/>
        <v>-35663.22</v>
      </c>
      <c r="J1519">
        <f t="shared" si="70"/>
        <v>2025</v>
      </c>
      <c r="K1519" s="5">
        <f t="shared" si="71"/>
        <v>45962</v>
      </c>
    </row>
    <row r="1520" spans="1:11" x14ac:dyDescent="0.25">
      <c r="A1520" t="s">
        <v>2234</v>
      </c>
      <c r="B1520" s="3">
        <v>45986</v>
      </c>
      <c r="C1520">
        <v>1200</v>
      </c>
      <c r="D1520" s="1">
        <v>35663.17</v>
      </c>
      <c r="E1520" s="1">
        <v>0</v>
      </c>
      <c r="F1520" t="s">
        <v>2235</v>
      </c>
      <c r="G1520" t="str">
        <f>_xlfn.XLOOKUP(C1520,tblCOA[AccountNo],tblCOA[AccountName],"Unmapped")</f>
        <v>Accounts Receivable</v>
      </c>
      <c r="H1520" t="str">
        <f>_xlfn.XLOOKUP(C1520,tblCOA[AccountNo],tblCOA[Category],"Unmapped")</f>
        <v>Assets</v>
      </c>
      <c r="I1520" s="4">
        <f t="shared" si="69"/>
        <v>35663.17</v>
      </c>
      <c r="J1520">
        <f t="shared" si="70"/>
        <v>2025</v>
      </c>
      <c r="K1520" s="5">
        <f t="shared" si="71"/>
        <v>45962</v>
      </c>
    </row>
    <row r="1521" spans="1:11" x14ac:dyDescent="0.25">
      <c r="A1521" t="s">
        <v>2236</v>
      </c>
      <c r="B1521" s="3">
        <v>45986</v>
      </c>
      <c r="C1521">
        <v>4010</v>
      </c>
      <c r="D1521" s="1">
        <v>0</v>
      </c>
      <c r="E1521" s="1">
        <v>35663.17</v>
      </c>
      <c r="F1521" t="s">
        <v>2237</v>
      </c>
      <c r="G1521" t="str">
        <f>_xlfn.XLOOKUP(C1521,tblCOA[AccountNo],tblCOA[AccountName],"Unmapped")</f>
        <v>Product Sales</v>
      </c>
      <c r="H1521" t="str">
        <f>_xlfn.XLOOKUP(C1521,tblCOA[AccountNo],tblCOA[Category],"Unmapped")</f>
        <v>Revenue</v>
      </c>
      <c r="I1521" s="4">
        <f t="shared" si="69"/>
        <v>-35663.17</v>
      </c>
      <c r="J1521">
        <f t="shared" si="70"/>
        <v>2025</v>
      </c>
      <c r="K1521" s="5">
        <f t="shared" si="71"/>
        <v>45962</v>
      </c>
    </row>
    <row r="1522" spans="1:11" x14ac:dyDescent="0.25">
      <c r="A1522" t="s">
        <v>3686</v>
      </c>
      <c r="B1522" s="3">
        <v>45988</v>
      </c>
      <c r="C1522">
        <v>5010</v>
      </c>
      <c r="D1522" s="1">
        <v>3064.09</v>
      </c>
      <c r="E1522" s="1">
        <v>0</v>
      </c>
      <c r="F1522" t="s">
        <v>3687</v>
      </c>
      <c r="G1522" t="str">
        <f>_xlfn.XLOOKUP(C1522,tblCOA[AccountNo],tblCOA[AccountName],"Unmapped")</f>
        <v>Cost of Goods Sold</v>
      </c>
      <c r="H1522" t="str">
        <f>_xlfn.XLOOKUP(C1522,tblCOA[AccountNo],tblCOA[Category],"Unmapped")</f>
        <v>Expenses</v>
      </c>
      <c r="I1522" s="4">
        <f t="shared" si="69"/>
        <v>3064.09</v>
      </c>
      <c r="J1522">
        <f t="shared" si="70"/>
        <v>2025</v>
      </c>
      <c r="K1522" s="5">
        <f t="shared" si="71"/>
        <v>45962</v>
      </c>
    </row>
    <row r="1523" spans="1:11" x14ac:dyDescent="0.25">
      <c r="A1523" t="s">
        <v>3688</v>
      </c>
      <c r="B1523" s="3">
        <v>45988</v>
      </c>
      <c r="C1523">
        <v>2010</v>
      </c>
      <c r="D1523" s="1">
        <v>0</v>
      </c>
      <c r="E1523" s="1">
        <v>3064.09</v>
      </c>
      <c r="F1523" t="s">
        <v>3689</v>
      </c>
      <c r="G1523" t="str">
        <f>_xlfn.XLOOKUP(C1523,tblCOA[AccountNo],tblCOA[AccountName],"Unmapped")</f>
        <v>Accounts Payable</v>
      </c>
      <c r="H1523" t="str">
        <f>_xlfn.XLOOKUP(C1523,tblCOA[AccountNo],tblCOA[Category],"Unmapped")</f>
        <v>Liabilities</v>
      </c>
      <c r="I1523" s="4">
        <f t="shared" si="69"/>
        <v>-3064.09</v>
      </c>
      <c r="J1523">
        <f t="shared" si="70"/>
        <v>2025</v>
      </c>
      <c r="K1523" s="5">
        <f t="shared" si="71"/>
        <v>45962</v>
      </c>
    </row>
    <row r="1524" spans="1:11" x14ac:dyDescent="0.25">
      <c r="A1524" t="s">
        <v>3114</v>
      </c>
      <c r="B1524" s="3">
        <v>45989</v>
      </c>
      <c r="C1524">
        <v>1200</v>
      </c>
      <c r="D1524" s="1">
        <v>35778.25</v>
      </c>
      <c r="E1524" s="1">
        <v>0</v>
      </c>
      <c r="F1524" t="s">
        <v>3115</v>
      </c>
      <c r="G1524" t="str">
        <f>_xlfn.XLOOKUP(C1524,tblCOA[AccountNo],tblCOA[AccountName],"Unmapped")</f>
        <v>Accounts Receivable</v>
      </c>
      <c r="H1524" t="str">
        <f>_xlfn.XLOOKUP(C1524,tblCOA[AccountNo],tblCOA[Category],"Unmapped")</f>
        <v>Assets</v>
      </c>
      <c r="I1524" s="4">
        <f t="shared" si="69"/>
        <v>35778.25</v>
      </c>
      <c r="J1524">
        <f t="shared" si="70"/>
        <v>2025</v>
      </c>
      <c r="K1524" s="5">
        <f t="shared" si="71"/>
        <v>45962</v>
      </c>
    </row>
    <row r="1525" spans="1:11" x14ac:dyDescent="0.25">
      <c r="A1525" t="s">
        <v>3116</v>
      </c>
      <c r="B1525" s="3">
        <v>45989</v>
      </c>
      <c r="C1525">
        <v>4010</v>
      </c>
      <c r="D1525" s="1">
        <v>0</v>
      </c>
      <c r="E1525" s="1">
        <v>35778.25</v>
      </c>
      <c r="F1525" t="s">
        <v>3117</v>
      </c>
      <c r="G1525" t="str">
        <f>_xlfn.XLOOKUP(C1525,tblCOA[AccountNo],tblCOA[AccountName],"Unmapped")</f>
        <v>Product Sales</v>
      </c>
      <c r="H1525" t="str">
        <f>_xlfn.XLOOKUP(C1525,tblCOA[AccountNo],tblCOA[Category],"Unmapped")</f>
        <v>Revenue</v>
      </c>
      <c r="I1525" s="4">
        <f t="shared" si="69"/>
        <v>-35778.25</v>
      </c>
      <c r="J1525">
        <f t="shared" si="70"/>
        <v>2025</v>
      </c>
      <c r="K1525" s="5">
        <f t="shared" si="71"/>
        <v>45962</v>
      </c>
    </row>
    <row r="1526" spans="1:11" x14ac:dyDescent="0.25">
      <c r="A1526" t="s">
        <v>442</v>
      </c>
      <c r="B1526" s="3">
        <v>45989</v>
      </c>
      <c r="C1526">
        <v>1200</v>
      </c>
      <c r="D1526" s="1">
        <v>12018.32</v>
      </c>
      <c r="E1526" s="1">
        <v>0</v>
      </c>
      <c r="F1526" t="s">
        <v>443</v>
      </c>
      <c r="G1526" t="str">
        <f>_xlfn.XLOOKUP(C1526,tblCOA[AccountNo],tblCOA[AccountName],"Unmapped")</f>
        <v>Accounts Receivable</v>
      </c>
      <c r="H1526" t="str">
        <f>_xlfn.XLOOKUP(C1526,tblCOA[AccountNo],tblCOA[Category],"Unmapped")</f>
        <v>Assets</v>
      </c>
      <c r="I1526" s="4">
        <f t="shared" si="69"/>
        <v>12018.32</v>
      </c>
      <c r="J1526">
        <f t="shared" si="70"/>
        <v>2025</v>
      </c>
      <c r="K1526" s="5">
        <f t="shared" si="71"/>
        <v>45962</v>
      </c>
    </row>
    <row r="1527" spans="1:11" x14ac:dyDescent="0.25">
      <c r="A1527" t="s">
        <v>444</v>
      </c>
      <c r="B1527" s="3">
        <v>45989</v>
      </c>
      <c r="C1527">
        <v>4010</v>
      </c>
      <c r="D1527" s="1">
        <v>0</v>
      </c>
      <c r="E1527" s="1">
        <v>12018.32</v>
      </c>
      <c r="F1527" t="s">
        <v>445</v>
      </c>
      <c r="G1527" t="str">
        <f>_xlfn.XLOOKUP(C1527,tblCOA[AccountNo],tblCOA[AccountName],"Unmapped")</f>
        <v>Product Sales</v>
      </c>
      <c r="H1527" t="str">
        <f>_xlfn.XLOOKUP(C1527,tblCOA[AccountNo],tblCOA[Category],"Unmapped")</f>
        <v>Revenue</v>
      </c>
      <c r="I1527" s="4">
        <f t="shared" si="69"/>
        <v>-12018.32</v>
      </c>
      <c r="J1527">
        <f t="shared" si="70"/>
        <v>2025</v>
      </c>
      <c r="K1527" s="5">
        <f t="shared" si="71"/>
        <v>45962</v>
      </c>
    </row>
    <row r="1528" spans="1:11" x14ac:dyDescent="0.25">
      <c r="A1528" t="s">
        <v>3070</v>
      </c>
      <c r="B1528" s="3">
        <v>45992</v>
      </c>
      <c r="C1528">
        <v>5010</v>
      </c>
      <c r="D1528" s="1">
        <v>18154.169999999998</v>
      </c>
      <c r="E1528" s="1">
        <v>0</v>
      </c>
      <c r="F1528" t="s">
        <v>3071</v>
      </c>
      <c r="G1528" t="str">
        <f>_xlfn.XLOOKUP(C1528,tblCOA[AccountNo],tblCOA[AccountName],"Unmapped")</f>
        <v>Cost of Goods Sold</v>
      </c>
      <c r="H1528" t="str">
        <f>_xlfn.XLOOKUP(C1528,tblCOA[AccountNo],tblCOA[Category],"Unmapped")</f>
        <v>Expenses</v>
      </c>
      <c r="I1528" s="4">
        <f t="shared" si="69"/>
        <v>18154.169999999998</v>
      </c>
      <c r="J1528">
        <f t="shared" si="70"/>
        <v>2025</v>
      </c>
      <c r="K1528" s="5">
        <f t="shared" si="71"/>
        <v>45992</v>
      </c>
    </row>
    <row r="1529" spans="1:11" x14ac:dyDescent="0.25">
      <c r="A1529" t="s">
        <v>3072</v>
      </c>
      <c r="B1529" s="3">
        <v>45992</v>
      </c>
      <c r="C1529">
        <v>2010</v>
      </c>
      <c r="D1529" s="1">
        <v>0</v>
      </c>
      <c r="E1529" s="1">
        <v>18154.169999999998</v>
      </c>
      <c r="F1529" t="s">
        <v>3073</v>
      </c>
      <c r="G1529" t="str">
        <f>_xlfn.XLOOKUP(C1529,tblCOA[AccountNo],tblCOA[AccountName],"Unmapped")</f>
        <v>Accounts Payable</v>
      </c>
      <c r="H1529" t="str">
        <f>_xlfn.XLOOKUP(C1529,tblCOA[AccountNo],tblCOA[Category],"Unmapped")</f>
        <v>Liabilities</v>
      </c>
      <c r="I1529" s="4">
        <f t="shared" si="69"/>
        <v>-18154.169999999998</v>
      </c>
      <c r="J1529">
        <f t="shared" si="70"/>
        <v>2025</v>
      </c>
      <c r="K1529" s="5">
        <f t="shared" si="71"/>
        <v>45992</v>
      </c>
    </row>
    <row r="1530" spans="1:11" x14ac:dyDescent="0.25">
      <c r="A1530" t="s">
        <v>2254</v>
      </c>
      <c r="B1530" s="3">
        <v>45993</v>
      </c>
      <c r="C1530">
        <v>5010</v>
      </c>
      <c r="D1530" s="1">
        <v>18132.87</v>
      </c>
      <c r="E1530" s="1">
        <v>0</v>
      </c>
      <c r="F1530" t="s">
        <v>2255</v>
      </c>
      <c r="G1530" t="str">
        <f>_xlfn.XLOOKUP(C1530,tblCOA[AccountNo],tblCOA[AccountName],"Unmapped")</f>
        <v>Cost of Goods Sold</v>
      </c>
      <c r="H1530" t="str">
        <f>_xlfn.XLOOKUP(C1530,tblCOA[AccountNo],tblCOA[Category],"Unmapped")</f>
        <v>Expenses</v>
      </c>
      <c r="I1530" s="4">
        <f t="shared" si="69"/>
        <v>18132.87</v>
      </c>
      <c r="J1530">
        <f t="shared" si="70"/>
        <v>2025</v>
      </c>
      <c r="K1530" s="5">
        <f t="shared" si="71"/>
        <v>45992</v>
      </c>
    </row>
    <row r="1531" spans="1:11" x14ac:dyDescent="0.25">
      <c r="A1531" t="s">
        <v>2256</v>
      </c>
      <c r="B1531" s="3">
        <v>45993</v>
      </c>
      <c r="C1531">
        <v>2010</v>
      </c>
      <c r="D1531" s="1">
        <v>0</v>
      </c>
      <c r="E1531" s="1">
        <v>18132.87</v>
      </c>
      <c r="F1531" t="s">
        <v>2257</v>
      </c>
      <c r="G1531" t="str">
        <f>_xlfn.XLOOKUP(C1531,tblCOA[AccountNo],tblCOA[AccountName],"Unmapped")</f>
        <v>Accounts Payable</v>
      </c>
      <c r="H1531" t="str">
        <f>_xlfn.XLOOKUP(C1531,tblCOA[AccountNo],tblCOA[Category],"Unmapped")</f>
        <v>Liabilities</v>
      </c>
      <c r="I1531" s="4">
        <f t="shared" si="69"/>
        <v>-18132.87</v>
      </c>
      <c r="J1531">
        <f t="shared" si="70"/>
        <v>2025</v>
      </c>
      <c r="K1531" s="5">
        <f t="shared" si="71"/>
        <v>45992</v>
      </c>
    </row>
    <row r="1532" spans="1:11" x14ac:dyDescent="0.25">
      <c r="A1532" t="s">
        <v>2474</v>
      </c>
      <c r="B1532" s="3">
        <v>45994</v>
      </c>
      <c r="C1532">
        <v>1200</v>
      </c>
      <c r="D1532" s="1">
        <v>37763.68</v>
      </c>
      <c r="E1532" s="1">
        <v>0</v>
      </c>
      <c r="F1532" t="s">
        <v>2475</v>
      </c>
      <c r="G1532" t="str">
        <f>_xlfn.XLOOKUP(C1532,tblCOA[AccountNo],tblCOA[AccountName],"Unmapped")</f>
        <v>Accounts Receivable</v>
      </c>
      <c r="H1532" t="str">
        <f>_xlfn.XLOOKUP(C1532,tblCOA[AccountNo],tblCOA[Category],"Unmapped")</f>
        <v>Assets</v>
      </c>
      <c r="I1532" s="4">
        <f t="shared" si="69"/>
        <v>37763.68</v>
      </c>
      <c r="J1532">
        <f t="shared" si="70"/>
        <v>2025</v>
      </c>
      <c r="K1532" s="5">
        <f t="shared" si="71"/>
        <v>45992</v>
      </c>
    </row>
    <row r="1533" spans="1:11" x14ac:dyDescent="0.25">
      <c r="A1533" t="s">
        <v>2476</v>
      </c>
      <c r="B1533" s="3">
        <v>45994</v>
      </c>
      <c r="C1533">
        <v>4010</v>
      </c>
      <c r="D1533" s="1">
        <v>0</v>
      </c>
      <c r="E1533" s="1">
        <v>37763.68</v>
      </c>
      <c r="F1533" t="s">
        <v>2477</v>
      </c>
      <c r="G1533" t="str">
        <f>_xlfn.XLOOKUP(C1533,tblCOA[AccountNo],tblCOA[AccountName],"Unmapped")</f>
        <v>Product Sales</v>
      </c>
      <c r="H1533" t="str">
        <f>_xlfn.XLOOKUP(C1533,tblCOA[AccountNo],tblCOA[Category],"Unmapped")</f>
        <v>Revenue</v>
      </c>
      <c r="I1533" s="4">
        <f t="shared" si="69"/>
        <v>-37763.68</v>
      </c>
      <c r="J1533">
        <f t="shared" si="70"/>
        <v>2025</v>
      </c>
      <c r="K1533" s="5">
        <f t="shared" si="71"/>
        <v>45992</v>
      </c>
    </row>
    <row r="1534" spans="1:11" x14ac:dyDescent="0.25">
      <c r="A1534" t="s">
        <v>1458</v>
      </c>
      <c r="B1534" s="3">
        <v>45994</v>
      </c>
      <c r="C1534">
        <v>1200</v>
      </c>
      <c r="D1534" s="1">
        <v>47234.93</v>
      </c>
      <c r="E1534" s="1">
        <v>0</v>
      </c>
      <c r="F1534" t="s">
        <v>1459</v>
      </c>
      <c r="G1534" t="str">
        <f>_xlfn.XLOOKUP(C1534,tblCOA[AccountNo],tblCOA[AccountName],"Unmapped")</f>
        <v>Accounts Receivable</v>
      </c>
      <c r="H1534" t="str">
        <f>_xlfn.XLOOKUP(C1534,tblCOA[AccountNo],tblCOA[Category],"Unmapped")</f>
        <v>Assets</v>
      </c>
      <c r="I1534" s="4">
        <f t="shared" si="69"/>
        <v>47234.93</v>
      </c>
      <c r="J1534">
        <f t="shared" si="70"/>
        <v>2025</v>
      </c>
      <c r="K1534" s="5">
        <f t="shared" si="71"/>
        <v>45992</v>
      </c>
    </row>
    <row r="1535" spans="1:11" x14ac:dyDescent="0.25">
      <c r="A1535" t="s">
        <v>1460</v>
      </c>
      <c r="B1535" s="3">
        <v>45994</v>
      </c>
      <c r="C1535">
        <v>4010</v>
      </c>
      <c r="D1535" s="1">
        <v>0</v>
      </c>
      <c r="E1535" s="1">
        <v>47234.93</v>
      </c>
      <c r="F1535" t="s">
        <v>1461</v>
      </c>
      <c r="G1535" t="str">
        <f>_xlfn.XLOOKUP(C1535,tblCOA[AccountNo],tblCOA[AccountName],"Unmapped")</f>
        <v>Product Sales</v>
      </c>
      <c r="H1535" t="str">
        <f>_xlfn.XLOOKUP(C1535,tblCOA[AccountNo],tblCOA[Category],"Unmapped")</f>
        <v>Revenue</v>
      </c>
      <c r="I1535" s="4">
        <f t="shared" si="69"/>
        <v>-47234.93</v>
      </c>
      <c r="J1535">
        <f t="shared" si="70"/>
        <v>2025</v>
      </c>
      <c r="K1535" s="5">
        <f t="shared" si="71"/>
        <v>45992</v>
      </c>
    </row>
    <row r="1536" spans="1:11" x14ac:dyDescent="0.25">
      <c r="A1536" t="s">
        <v>2970</v>
      </c>
      <c r="B1536" s="3">
        <v>45995</v>
      </c>
      <c r="C1536">
        <v>1200</v>
      </c>
      <c r="D1536" s="1">
        <v>45108.05</v>
      </c>
      <c r="E1536" s="1">
        <v>0</v>
      </c>
      <c r="F1536" t="s">
        <v>2971</v>
      </c>
      <c r="G1536" t="str">
        <f>_xlfn.XLOOKUP(C1536,tblCOA[AccountNo],tblCOA[AccountName],"Unmapped")</f>
        <v>Accounts Receivable</v>
      </c>
      <c r="H1536" t="str">
        <f>_xlfn.XLOOKUP(C1536,tblCOA[AccountNo],tblCOA[Category],"Unmapped")</f>
        <v>Assets</v>
      </c>
      <c r="I1536" s="4">
        <f t="shared" si="69"/>
        <v>45108.05</v>
      </c>
      <c r="J1536">
        <f t="shared" si="70"/>
        <v>2025</v>
      </c>
      <c r="K1536" s="5">
        <f t="shared" si="71"/>
        <v>45992</v>
      </c>
    </row>
    <row r="1537" spans="1:11" x14ac:dyDescent="0.25">
      <c r="A1537" t="s">
        <v>2972</v>
      </c>
      <c r="B1537" s="3">
        <v>45995</v>
      </c>
      <c r="C1537">
        <v>4010</v>
      </c>
      <c r="D1537" s="1">
        <v>0</v>
      </c>
      <c r="E1537" s="1">
        <v>45108.05</v>
      </c>
      <c r="F1537" t="s">
        <v>2973</v>
      </c>
      <c r="G1537" t="str">
        <f>_xlfn.XLOOKUP(C1537,tblCOA[AccountNo],tblCOA[AccountName],"Unmapped")</f>
        <v>Product Sales</v>
      </c>
      <c r="H1537" t="str">
        <f>_xlfn.XLOOKUP(C1537,tblCOA[AccountNo],tblCOA[Category],"Unmapped")</f>
        <v>Revenue</v>
      </c>
      <c r="I1537" s="4">
        <f t="shared" si="69"/>
        <v>-45108.05</v>
      </c>
      <c r="J1537">
        <f t="shared" si="70"/>
        <v>2025</v>
      </c>
      <c r="K1537" s="5">
        <f t="shared" si="71"/>
        <v>45992</v>
      </c>
    </row>
    <row r="1538" spans="1:11" x14ac:dyDescent="0.25">
      <c r="A1538" t="s">
        <v>1966</v>
      </c>
      <c r="B1538" s="3">
        <v>45995</v>
      </c>
      <c r="C1538">
        <v>5010</v>
      </c>
      <c r="D1538" s="1">
        <v>7515.88</v>
      </c>
      <c r="E1538" s="1">
        <v>0</v>
      </c>
      <c r="F1538" t="s">
        <v>1967</v>
      </c>
      <c r="G1538" t="str">
        <f>_xlfn.XLOOKUP(C1538,tblCOA[AccountNo],tblCOA[AccountName],"Unmapped")</f>
        <v>Cost of Goods Sold</v>
      </c>
      <c r="H1538" t="str">
        <f>_xlfn.XLOOKUP(C1538,tblCOA[AccountNo],tblCOA[Category],"Unmapped")</f>
        <v>Expenses</v>
      </c>
      <c r="I1538" s="4">
        <f t="shared" ref="I1538:I1601" si="72">D1538-E1538</f>
        <v>7515.88</v>
      </c>
      <c r="J1538">
        <f t="shared" ref="J1538:J1601" si="73">YEAR(B1538)</f>
        <v>2025</v>
      </c>
      <c r="K1538" s="5">
        <f t="shared" ref="K1538:K1601" si="74">DATE(YEAR(B1538),MONTH(B1538),1)</f>
        <v>45992</v>
      </c>
    </row>
    <row r="1539" spans="1:11" x14ac:dyDescent="0.25">
      <c r="A1539" t="s">
        <v>1968</v>
      </c>
      <c r="B1539" s="3">
        <v>45995</v>
      </c>
      <c r="C1539">
        <v>2010</v>
      </c>
      <c r="D1539" s="1">
        <v>0</v>
      </c>
      <c r="E1539" s="1">
        <v>7515.88</v>
      </c>
      <c r="F1539" t="s">
        <v>1969</v>
      </c>
      <c r="G1539" t="str">
        <f>_xlfn.XLOOKUP(C1539,tblCOA[AccountNo],tblCOA[AccountName],"Unmapped")</f>
        <v>Accounts Payable</v>
      </c>
      <c r="H1539" t="str">
        <f>_xlfn.XLOOKUP(C1539,tblCOA[AccountNo],tblCOA[Category],"Unmapped")</f>
        <v>Liabilities</v>
      </c>
      <c r="I1539" s="4">
        <f t="shared" si="72"/>
        <v>-7515.88</v>
      </c>
      <c r="J1539">
        <f t="shared" si="73"/>
        <v>2025</v>
      </c>
      <c r="K1539" s="5">
        <f t="shared" si="74"/>
        <v>45992</v>
      </c>
    </row>
    <row r="1540" spans="1:11" x14ac:dyDescent="0.25">
      <c r="A1540" t="s">
        <v>2542</v>
      </c>
      <c r="B1540" s="3">
        <v>45997</v>
      </c>
      <c r="C1540">
        <v>5010</v>
      </c>
      <c r="D1540" s="1">
        <v>10512.78</v>
      </c>
      <c r="E1540" s="1">
        <v>0</v>
      </c>
      <c r="F1540" t="s">
        <v>2543</v>
      </c>
      <c r="G1540" t="str">
        <f>_xlfn.XLOOKUP(C1540,tblCOA[AccountNo],tblCOA[AccountName],"Unmapped")</f>
        <v>Cost of Goods Sold</v>
      </c>
      <c r="H1540" t="str">
        <f>_xlfn.XLOOKUP(C1540,tblCOA[AccountNo],tblCOA[Category],"Unmapped")</f>
        <v>Expenses</v>
      </c>
      <c r="I1540" s="4">
        <f t="shared" si="72"/>
        <v>10512.78</v>
      </c>
      <c r="J1540">
        <f t="shared" si="73"/>
        <v>2025</v>
      </c>
      <c r="K1540" s="5">
        <f t="shared" si="74"/>
        <v>45992</v>
      </c>
    </row>
    <row r="1541" spans="1:11" x14ac:dyDescent="0.25">
      <c r="A1541" t="s">
        <v>2544</v>
      </c>
      <c r="B1541" s="3">
        <v>45997</v>
      </c>
      <c r="C1541">
        <v>2010</v>
      </c>
      <c r="D1541" s="1">
        <v>0</v>
      </c>
      <c r="E1541" s="1">
        <v>10512.78</v>
      </c>
      <c r="F1541" t="s">
        <v>2545</v>
      </c>
      <c r="G1541" t="str">
        <f>_xlfn.XLOOKUP(C1541,tblCOA[AccountNo],tblCOA[AccountName],"Unmapped")</f>
        <v>Accounts Payable</v>
      </c>
      <c r="H1541" t="str">
        <f>_xlfn.XLOOKUP(C1541,tblCOA[AccountNo],tblCOA[Category],"Unmapped")</f>
        <v>Liabilities</v>
      </c>
      <c r="I1541" s="4">
        <f t="shared" si="72"/>
        <v>-10512.78</v>
      </c>
      <c r="J1541">
        <f t="shared" si="73"/>
        <v>2025</v>
      </c>
      <c r="K1541" s="5">
        <f t="shared" si="74"/>
        <v>45992</v>
      </c>
    </row>
    <row r="1542" spans="1:11" x14ac:dyDescent="0.25">
      <c r="A1542" t="s">
        <v>2466</v>
      </c>
      <c r="B1542" s="3">
        <v>45998</v>
      </c>
      <c r="C1542">
        <v>1200</v>
      </c>
      <c r="D1542" s="1">
        <v>33550.18</v>
      </c>
      <c r="E1542" s="1">
        <v>0</v>
      </c>
      <c r="F1542" t="s">
        <v>2467</v>
      </c>
      <c r="G1542" t="str">
        <f>_xlfn.XLOOKUP(C1542,tblCOA[AccountNo],tblCOA[AccountName],"Unmapped")</f>
        <v>Accounts Receivable</v>
      </c>
      <c r="H1542" t="str">
        <f>_xlfn.XLOOKUP(C1542,tblCOA[AccountNo],tblCOA[Category],"Unmapped")</f>
        <v>Assets</v>
      </c>
      <c r="I1542" s="4">
        <f t="shared" si="72"/>
        <v>33550.18</v>
      </c>
      <c r="J1542">
        <f t="shared" si="73"/>
        <v>2025</v>
      </c>
      <c r="K1542" s="5">
        <f t="shared" si="74"/>
        <v>45992</v>
      </c>
    </row>
    <row r="1543" spans="1:11" x14ac:dyDescent="0.25">
      <c r="A1543" t="s">
        <v>2468</v>
      </c>
      <c r="B1543" s="3">
        <v>45998</v>
      </c>
      <c r="C1543">
        <v>4010</v>
      </c>
      <c r="D1543" s="1">
        <v>0</v>
      </c>
      <c r="E1543" s="1">
        <v>33550.18</v>
      </c>
      <c r="F1543" t="s">
        <v>2469</v>
      </c>
      <c r="G1543" t="str">
        <f>_xlfn.XLOOKUP(C1543,tblCOA[AccountNo],tblCOA[AccountName],"Unmapped")</f>
        <v>Product Sales</v>
      </c>
      <c r="H1543" t="str">
        <f>_xlfn.XLOOKUP(C1543,tblCOA[AccountNo],tblCOA[Category],"Unmapped")</f>
        <v>Revenue</v>
      </c>
      <c r="I1543" s="4">
        <f t="shared" si="72"/>
        <v>-33550.18</v>
      </c>
      <c r="J1543">
        <f t="shared" si="73"/>
        <v>2025</v>
      </c>
      <c r="K1543" s="5">
        <f t="shared" si="74"/>
        <v>45992</v>
      </c>
    </row>
    <row r="1544" spans="1:11" x14ac:dyDescent="0.25">
      <c r="A1544" t="s">
        <v>286</v>
      </c>
      <c r="B1544" s="3">
        <v>46000</v>
      </c>
      <c r="C1544">
        <v>5010</v>
      </c>
      <c r="D1544" s="1">
        <v>7316.27</v>
      </c>
      <c r="E1544" s="1">
        <v>0</v>
      </c>
      <c r="F1544" t="s">
        <v>287</v>
      </c>
      <c r="G1544" t="str">
        <f>_xlfn.XLOOKUP(C1544,tblCOA[AccountNo],tblCOA[AccountName],"Unmapped")</f>
        <v>Cost of Goods Sold</v>
      </c>
      <c r="H1544" t="str">
        <f>_xlfn.XLOOKUP(C1544,tblCOA[AccountNo],tblCOA[Category],"Unmapped")</f>
        <v>Expenses</v>
      </c>
      <c r="I1544" s="4">
        <f t="shared" si="72"/>
        <v>7316.27</v>
      </c>
      <c r="J1544">
        <f t="shared" si="73"/>
        <v>2025</v>
      </c>
      <c r="K1544" s="5">
        <f t="shared" si="74"/>
        <v>45992</v>
      </c>
    </row>
    <row r="1545" spans="1:11" x14ac:dyDescent="0.25">
      <c r="A1545" t="s">
        <v>288</v>
      </c>
      <c r="B1545" s="3">
        <v>46000</v>
      </c>
      <c r="C1545">
        <v>2010</v>
      </c>
      <c r="D1545" s="1">
        <v>0</v>
      </c>
      <c r="E1545" s="1">
        <v>7316.27</v>
      </c>
      <c r="F1545" t="s">
        <v>289</v>
      </c>
      <c r="G1545" t="str">
        <f>_xlfn.XLOOKUP(C1545,tblCOA[AccountNo],tblCOA[AccountName],"Unmapped")</f>
        <v>Accounts Payable</v>
      </c>
      <c r="H1545" t="str">
        <f>_xlfn.XLOOKUP(C1545,tblCOA[AccountNo],tblCOA[Category],"Unmapped")</f>
        <v>Liabilities</v>
      </c>
      <c r="I1545" s="4">
        <f t="shared" si="72"/>
        <v>-7316.27</v>
      </c>
      <c r="J1545">
        <f t="shared" si="73"/>
        <v>2025</v>
      </c>
      <c r="K1545" s="5">
        <f t="shared" si="74"/>
        <v>45992</v>
      </c>
    </row>
    <row r="1546" spans="1:11" x14ac:dyDescent="0.25">
      <c r="A1546" t="s">
        <v>3074</v>
      </c>
      <c r="B1546" s="3">
        <v>46001</v>
      </c>
      <c r="C1546">
        <v>1200</v>
      </c>
      <c r="D1546" s="1">
        <v>35572.080000000002</v>
      </c>
      <c r="E1546" s="1">
        <v>0</v>
      </c>
      <c r="F1546" t="s">
        <v>3075</v>
      </c>
      <c r="G1546" t="str">
        <f>_xlfn.XLOOKUP(C1546,tblCOA[AccountNo],tblCOA[AccountName],"Unmapped")</f>
        <v>Accounts Receivable</v>
      </c>
      <c r="H1546" t="str">
        <f>_xlfn.XLOOKUP(C1546,tblCOA[AccountNo],tblCOA[Category],"Unmapped")</f>
        <v>Assets</v>
      </c>
      <c r="I1546" s="4">
        <f t="shared" si="72"/>
        <v>35572.080000000002</v>
      </c>
      <c r="J1546">
        <f t="shared" si="73"/>
        <v>2025</v>
      </c>
      <c r="K1546" s="5">
        <f t="shared" si="74"/>
        <v>45992</v>
      </c>
    </row>
    <row r="1547" spans="1:11" x14ac:dyDescent="0.25">
      <c r="A1547" t="s">
        <v>3076</v>
      </c>
      <c r="B1547" s="3">
        <v>46001</v>
      </c>
      <c r="C1547">
        <v>4010</v>
      </c>
      <c r="D1547" s="1">
        <v>0</v>
      </c>
      <c r="E1547" s="1">
        <v>35572.080000000002</v>
      </c>
      <c r="F1547" t="s">
        <v>3077</v>
      </c>
      <c r="G1547" t="str">
        <f>_xlfn.XLOOKUP(C1547,tblCOA[AccountNo],tblCOA[AccountName],"Unmapped")</f>
        <v>Product Sales</v>
      </c>
      <c r="H1547" t="str">
        <f>_xlfn.XLOOKUP(C1547,tblCOA[AccountNo],tblCOA[Category],"Unmapped")</f>
        <v>Revenue</v>
      </c>
      <c r="I1547" s="4">
        <f t="shared" si="72"/>
        <v>-35572.080000000002</v>
      </c>
      <c r="J1547">
        <f t="shared" si="73"/>
        <v>2025</v>
      </c>
      <c r="K1547" s="5">
        <f t="shared" si="74"/>
        <v>45992</v>
      </c>
    </row>
    <row r="1548" spans="1:11" x14ac:dyDescent="0.25">
      <c r="A1548" t="s">
        <v>714</v>
      </c>
      <c r="B1548" s="3">
        <v>46001</v>
      </c>
      <c r="C1548">
        <v>1200</v>
      </c>
      <c r="D1548" s="1">
        <v>47691.78</v>
      </c>
      <c r="E1548" s="1">
        <v>0</v>
      </c>
      <c r="F1548" t="s">
        <v>715</v>
      </c>
      <c r="G1548" t="str">
        <f>_xlfn.XLOOKUP(C1548,tblCOA[AccountNo],tblCOA[AccountName],"Unmapped")</f>
        <v>Accounts Receivable</v>
      </c>
      <c r="H1548" t="str">
        <f>_xlfn.XLOOKUP(C1548,tblCOA[AccountNo],tblCOA[Category],"Unmapped")</f>
        <v>Assets</v>
      </c>
      <c r="I1548" s="4">
        <f t="shared" si="72"/>
        <v>47691.78</v>
      </c>
      <c r="J1548">
        <f t="shared" si="73"/>
        <v>2025</v>
      </c>
      <c r="K1548" s="5">
        <f t="shared" si="74"/>
        <v>45992</v>
      </c>
    </row>
    <row r="1549" spans="1:11" x14ac:dyDescent="0.25">
      <c r="A1549" t="s">
        <v>716</v>
      </c>
      <c r="B1549" s="3">
        <v>46001</v>
      </c>
      <c r="C1549">
        <v>4010</v>
      </c>
      <c r="D1549" s="1">
        <v>0</v>
      </c>
      <c r="E1549" s="1">
        <v>47691.78</v>
      </c>
      <c r="F1549" t="s">
        <v>717</v>
      </c>
      <c r="G1549" t="str">
        <f>_xlfn.XLOOKUP(C1549,tblCOA[AccountNo],tblCOA[AccountName],"Unmapped")</f>
        <v>Product Sales</v>
      </c>
      <c r="H1549" t="str">
        <f>_xlfn.XLOOKUP(C1549,tblCOA[AccountNo],tblCOA[Category],"Unmapped")</f>
        <v>Revenue</v>
      </c>
      <c r="I1549" s="4">
        <f t="shared" si="72"/>
        <v>-47691.78</v>
      </c>
      <c r="J1549">
        <f t="shared" si="73"/>
        <v>2025</v>
      </c>
      <c r="K1549" s="5">
        <f t="shared" si="74"/>
        <v>45992</v>
      </c>
    </row>
    <row r="1550" spans="1:11" x14ac:dyDescent="0.25">
      <c r="A1550" t="s">
        <v>986</v>
      </c>
      <c r="B1550" s="3">
        <v>46001</v>
      </c>
      <c r="C1550">
        <v>1200</v>
      </c>
      <c r="D1550" s="1">
        <v>47332.11</v>
      </c>
      <c r="E1550" s="1">
        <v>0</v>
      </c>
      <c r="F1550" t="s">
        <v>987</v>
      </c>
      <c r="G1550" t="str">
        <f>_xlfn.XLOOKUP(C1550,tblCOA[AccountNo],tblCOA[AccountName],"Unmapped")</f>
        <v>Accounts Receivable</v>
      </c>
      <c r="H1550" t="str">
        <f>_xlfn.XLOOKUP(C1550,tblCOA[AccountNo],tblCOA[Category],"Unmapped")</f>
        <v>Assets</v>
      </c>
      <c r="I1550" s="4">
        <f t="shared" si="72"/>
        <v>47332.11</v>
      </c>
      <c r="J1550">
        <f t="shared" si="73"/>
        <v>2025</v>
      </c>
      <c r="K1550" s="5">
        <f t="shared" si="74"/>
        <v>45992</v>
      </c>
    </row>
    <row r="1551" spans="1:11" x14ac:dyDescent="0.25">
      <c r="A1551" t="s">
        <v>988</v>
      </c>
      <c r="B1551" s="3">
        <v>46001</v>
      </c>
      <c r="C1551">
        <v>4010</v>
      </c>
      <c r="D1551" s="1">
        <v>0</v>
      </c>
      <c r="E1551" s="1">
        <v>47332.11</v>
      </c>
      <c r="F1551" t="s">
        <v>989</v>
      </c>
      <c r="G1551" t="str">
        <f>_xlfn.XLOOKUP(C1551,tblCOA[AccountNo],tblCOA[AccountName],"Unmapped")</f>
        <v>Product Sales</v>
      </c>
      <c r="H1551" t="str">
        <f>_xlfn.XLOOKUP(C1551,tblCOA[AccountNo],tblCOA[Category],"Unmapped")</f>
        <v>Revenue</v>
      </c>
      <c r="I1551" s="4">
        <f t="shared" si="72"/>
        <v>-47332.11</v>
      </c>
      <c r="J1551">
        <f t="shared" si="73"/>
        <v>2025</v>
      </c>
      <c r="K1551" s="5">
        <f t="shared" si="74"/>
        <v>45992</v>
      </c>
    </row>
    <row r="1552" spans="1:11" x14ac:dyDescent="0.25">
      <c r="A1552" t="s">
        <v>658</v>
      </c>
      <c r="B1552" s="3">
        <v>46003</v>
      </c>
      <c r="C1552">
        <v>1200</v>
      </c>
      <c r="D1552" s="1">
        <v>22040.959999999999</v>
      </c>
      <c r="E1552" s="1">
        <v>0</v>
      </c>
      <c r="F1552" t="s">
        <v>659</v>
      </c>
      <c r="G1552" t="str">
        <f>_xlfn.XLOOKUP(C1552,tblCOA[AccountNo],tblCOA[AccountName],"Unmapped")</f>
        <v>Accounts Receivable</v>
      </c>
      <c r="H1552" t="str">
        <f>_xlfn.XLOOKUP(C1552,tblCOA[AccountNo],tblCOA[Category],"Unmapped")</f>
        <v>Assets</v>
      </c>
      <c r="I1552" s="4">
        <f t="shared" si="72"/>
        <v>22040.959999999999</v>
      </c>
      <c r="J1552">
        <f t="shared" si="73"/>
        <v>2025</v>
      </c>
      <c r="K1552" s="5">
        <f t="shared" si="74"/>
        <v>45992</v>
      </c>
    </row>
    <row r="1553" spans="1:11" x14ac:dyDescent="0.25">
      <c r="A1553" t="s">
        <v>660</v>
      </c>
      <c r="B1553" s="3">
        <v>46003</v>
      </c>
      <c r="C1553">
        <v>4010</v>
      </c>
      <c r="D1553" s="1">
        <v>0</v>
      </c>
      <c r="E1553" s="1">
        <v>22040.959999999999</v>
      </c>
      <c r="F1553" t="s">
        <v>661</v>
      </c>
      <c r="G1553" t="str">
        <f>_xlfn.XLOOKUP(C1553,tblCOA[AccountNo],tblCOA[AccountName],"Unmapped")</f>
        <v>Product Sales</v>
      </c>
      <c r="H1553" t="str">
        <f>_xlfn.XLOOKUP(C1553,tblCOA[AccountNo],tblCOA[Category],"Unmapped")</f>
        <v>Revenue</v>
      </c>
      <c r="I1553" s="4">
        <f t="shared" si="72"/>
        <v>-22040.959999999999</v>
      </c>
      <c r="J1553">
        <f t="shared" si="73"/>
        <v>2025</v>
      </c>
      <c r="K1553" s="5">
        <f t="shared" si="74"/>
        <v>45992</v>
      </c>
    </row>
    <row r="1554" spans="1:11" x14ac:dyDescent="0.25">
      <c r="A1554" t="s">
        <v>1526</v>
      </c>
      <c r="B1554" s="3">
        <v>46003</v>
      </c>
      <c r="C1554">
        <v>5010</v>
      </c>
      <c r="D1554" s="1">
        <v>19903.47</v>
      </c>
      <c r="E1554" s="1">
        <v>0</v>
      </c>
      <c r="F1554" t="s">
        <v>1527</v>
      </c>
      <c r="G1554" t="str">
        <f>_xlfn.XLOOKUP(C1554,tblCOA[AccountNo],tblCOA[AccountName],"Unmapped")</f>
        <v>Cost of Goods Sold</v>
      </c>
      <c r="H1554" t="str">
        <f>_xlfn.XLOOKUP(C1554,tblCOA[AccountNo],tblCOA[Category],"Unmapped")</f>
        <v>Expenses</v>
      </c>
      <c r="I1554" s="4">
        <f t="shared" si="72"/>
        <v>19903.47</v>
      </c>
      <c r="J1554">
        <f t="shared" si="73"/>
        <v>2025</v>
      </c>
      <c r="K1554" s="5">
        <f t="shared" si="74"/>
        <v>45992</v>
      </c>
    </row>
    <row r="1555" spans="1:11" x14ac:dyDescent="0.25">
      <c r="A1555" t="s">
        <v>1528</v>
      </c>
      <c r="B1555" s="3">
        <v>46003</v>
      </c>
      <c r="C1555">
        <v>2010</v>
      </c>
      <c r="D1555" s="1">
        <v>0</v>
      </c>
      <c r="E1555" s="1">
        <v>19903.47</v>
      </c>
      <c r="F1555" t="s">
        <v>1529</v>
      </c>
      <c r="G1555" t="str">
        <f>_xlfn.XLOOKUP(C1555,tblCOA[AccountNo],tblCOA[AccountName],"Unmapped")</f>
        <v>Accounts Payable</v>
      </c>
      <c r="H1555" t="str">
        <f>_xlfn.XLOOKUP(C1555,tblCOA[AccountNo],tblCOA[Category],"Unmapped")</f>
        <v>Liabilities</v>
      </c>
      <c r="I1555" s="4">
        <f t="shared" si="72"/>
        <v>-19903.47</v>
      </c>
      <c r="J1555">
        <f t="shared" si="73"/>
        <v>2025</v>
      </c>
      <c r="K1555" s="5">
        <f t="shared" si="74"/>
        <v>45992</v>
      </c>
    </row>
    <row r="1556" spans="1:11" x14ac:dyDescent="0.25">
      <c r="A1556" t="s">
        <v>618</v>
      </c>
      <c r="B1556" s="3">
        <v>46004</v>
      </c>
      <c r="C1556">
        <v>1200</v>
      </c>
      <c r="D1556" s="1">
        <v>16255.32</v>
      </c>
      <c r="E1556" s="1">
        <v>0</v>
      </c>
      <c r="F1556" t="s">
        <v>619</v>
      </c>
      <c r="G1556" t="str">
        <f>_xlfn.XLOOKUP(C1556,tblCOA[AccountNo],tblCOA[AccountName],"Unmapped")</f>
        <v>Accounts Receivable</v>
      </c>
      <c r="H1556" t="str">
        <f>_xlfn.XLOOKUP(C1556,tblCOA[AccountNo],tblCOA[Category],"Unmapped")</f>
        <v>Assets</v>
      </c>
      <c r="I1556" s="4">
        <f t="shared" si="72"/>
        <v>16255.32</v>
      </c>
      <c r="J1556">
        <f t="shared" si="73"/>
        <v>2025</v>
      </c>
      <c r="K1556" s="5">
        <f t="shared" si="74"/>
        <v>45992</v>
      </c>
    </row>
    <row r="1557" spans="1:11" x14ac:dyDescent="0.25">
      <c r="A1557" t="s">
        <v>620</v>
      </c>
      <c r="B1557" s="3">
        <v>46004</v>
      </c>
      <c r="C1557">
        <v>4010</v>
      </c>
      <c r="D1557" s="1">
        <v>0</v>
      </c>
      <c r="E1557" s="1">
        <v>16255.32</v>
      </c>
      <c r="F1557" t="s">
        <v>621</v>
      </c>
      <c r="G1557" t="str">
        <f>_xlfn.XLOOKUP(C1557,tblCOA[AccountNo],tblCOA[AccountName],"Unmapped")</f>
        <v>Product Sales</v>
      </c>
      <c r="H1557" t="str">
        <f>_xlfn.XLOOKUP(C1557,tblCOA[AccountNo],tblCOA[Category],"Unmapped")</f>
        <v>Revenue</v>
      </c>
      <c r="I1557" s="4">
        <f t="shared" si="72"/>
        <v>-16255.32</v>
      </c>
      <c r="J1557">
        <f t="shared" si="73"/>
        <v>2025</v>
      </c>
      <c r="K1557" s="5">
        <f t="shared" si="74"/>
        <v>45992</v>
      </c>
    </row>
    <row r="1558" spans="1:11" x14ac:dyDescent="0.25">
      <c r="A1558" t="s">
        <v>1062</v>
      </c>
      <c r="B1558" s="3">
        <v>46004</v>
      </c>
      <c r="C1558">
        <v>5010</v>
      </c>
      <c r="D1558" s="1">
        <v>15960.27</v>
      </c>
      <c r="E1558" s="1">
        <v>0</v>
      </c>
      <c r="F1558" t="s">
        <v>1063</v>
      </c>
      <c r="G1558" t="str">
        <f>_xlfn.XLOOKUP(C1558,tblCOA[AccountNo],tblCOA[AccountName],"Unmapped")</f>
        <v>Cost of Goods Sold</v>
      </c>
      <c r="H1558" t="str">
        <f>_xlfn.XLOOKUP(C1558,tblCOA[AccountNo],tblCOA[Category],"Unmapped")</f>
        <v>Expenses</v>
      </c>
      <c r="I1558" s="4">
        <f t="shared" si="72"/>
        <v>15960.27</v>
      </c>
      <c r="J1558">
        <f t="shared" si="73"/>
        <v>2025</v>
      </c>
      <c r="K1558" s="5">
        <f t="shared" si="74"/>
        <v>45992</v>
      </c>
    </row>
    <row r="1559" spans="1:11" x14ac:dyDescent="0.25">
      <c r="A1559" t="s">
        <v>1064</v>
      </c>
      <c r="B1559" s="3">
        <v>46004</v>
      </c>
      <c r="C1559">
        <v>2010</v>
      </c>
      <c r="D1559" s="1">
        <v>0</v>
      </c>
      <c r="E1559" s="1">
        <v>15960.27</v>
      </c>
      <c r="F1559" t="s">
        <v>1065</v>
      </c>
      <c r="G1559" t="str">
        <f>_xlfn.XLOOKUP(C1559,tblCOA[AccountNo],tblCOA[AccountName],"Unmapped")</f>
        <v>Accounts Payable</v>
      </c>
      <c r="H1559" t="str">
        <f>_xlfn.XLOOKUP(C1559,tblCOA[AccountNo],tblCOA[Category],"Unmapped")</f>
        <v>Liabilities</v>
      </c>
      <c r="I1559" s="4">
        <f t="shared" si="72"/>
        <v>-15960.27</v>
      </c>
      <c r="J1559">
        <f t="shared" si="73"/>
        <v>2025</v>
      </c>
      <c r="K1559" s="5">
        <f t="shared" si="74"/>
        <v>45992</v>
      </c>
    </row>
    <row r="1560" spans="1:11" x14ac:dyDescent="0.25">
      <c r="A1560" t="s">
        <v>1330</v>
      </c>
      <c r="B1560" s="3">
        <v>46010</v>
      </c>
      <c r="C1560">
        <v>1200</v>
      </c>
      <c r="D1560" s="1">
        <v>39376.89</v>
      </c>
      <c r="E1560" s="1">
        <v>0</v>
      </c>
      <c r="F1560" t="s">
        <v>1331</v>
      </c>
      <c r="G1560" t="str">
        <f>_xlfn.XLOOKUP(C1560,tblCOA[AccountNo],tblCOA[AccountName],"Unmapped")</f>
        <v>Accounts Receivable</v>
      </c>
      <c r="H1560" t="str">
        <f>_xlfn.XLOOKUP(C1560,tblCOA[AccountNo],tblCOA[Category],"Unmapped")</f>
        <v>Assets</v>
      </c>
      <c r="I1560" s="4">
        <f t="shared" si="72"/>
        <v>39376.89</v>
      </c>
      <c r="J1560">
        <f t="shared" si="73"/>
        <v>2025</v>
      </c>
      <c r="K1560" s="5">
        <f t="shared" si="74"/>
        <v>45992</v>
      </c>
    </row>
    <row r="1561" spans="1:11" x14ac:dyDescent="0.25">
      <c r="A1561" t="s">
        <v>1332</v>
      </c>
      <c r="B1561" s="3">
        <v>46010</v>
      </c>
      <c r="C1561">
        <v>4010</v>
      </c>
      <c r="D1561" s="1">
        <v>0</v>
      </c>
      <c r="E1561" s="1">
        <v>39376.89</v>
      </c>
      <c r="F1561" t="s">
        <v>1333</v>
      </c>
      <c r="G1561" t="str">
        <f>_xlfn.XLOOKUP(C1561,tblCOA[AccountNo],tblCOA[AccountName],"Unmapped")</f>
        <v>Product Sales</v>
      </c>
      <c r="H1561" t="str">
        <f>_xlfn.XLOOKUP(C1561,tblCOA[AccountNo],tblCOA[Category],"Unmapped")</f>
        <v>Revenue</v>
      </c>
      <c r="I1561" s="4">
        <f t="shared" si="72"/>
        <v>-39376.89</v>
      </c>
      <c r="J1561">
        <f t="shared" si="73"/>
        <v>2025</v>
      </c>
      <c r="K1561" s="5">
        <f t="shared" si="74"/>
        <v>45992</v>
      </c>
    </row>
    <row r="1562" spans="1:11" x14ac:dyDescent="0.25">
      <c r="A1562" t="s">
        <v>1454</v>
      </c>
      <c r="B1562" s="3">
        <v>46012</v>
      </c>
      <c r="C1562">
        <v>5010</v>
      </c>
      <c r="D1562" s="1">
        <v>6063.39</v>
      </c>
      <c r="E1562" s="1">
        <v>0</v>
      </c>
      <c r="F1562" t="s">
        <v>1455</v>
      </c>
      <c r="G1562" t="str">
        <f>_xlfn.XLOOKUP(C1562,tblCOA[AccountNo],tblCOA[AccountName],"Unmapped")</f>
        <v>Cost of Goods Sold</v>
      </c>
      <c r="H1562" t="str">
        <f>_xlfn.XLOOKUP(C1562,tblCOA[AccountNo],tblCOA[Category],"Unmapped")</f>
        <v>Expenses</v>
      </c>
      <c r="I1562" s="4">
        <f t="shared" si="72"/>
        <v>6063.39</v>
      </c>
      <c r="J1562">
        <f t="shared" si="73"/>
        <v>2025</v>
      </c>
      <c r="K1562" s="5">
        <f t="shared" si="74"/>
        <v>45992</v>
      </c>
    </row>
    <row r="1563" spans="1:11" x14ac:dyDescent="0.25">
      <c r="A1563" t="s">
        <v>1456</v>
      </c>
      <c r="B1563" s="3">
        <v>46012</v>
      </c>
      <c r="C1563">
        <v>2010</v>
      </c>
      <c r="D1563" s="1">
        <v>0</v>
      </c>
      <c r="E1563" s="1">
        <v>6063.39</v>
      </c>
      <c r="F1563" t="s">
        <v>1457</v>
      </c>
      <c r="G1563" t="str">
        <f>_xlfn.XLOOKUP(C1563,tblCOA[AccountNo],tblCOA[AccountName],"Unmapped")</f>
        <v>Accounts Payable</v>
      </c>
      <c r="H1563" t="str">
        <f>_xlfn.XLOOKUP(C1563,tblCOA[AccountNo],tblCOA[Category],"Unmapped")</f>
        <v>Liabilities</v>
      </c>
      <c r="I1563" s="4">
        <f t="shared" si="72"/>
        <v>-6063.39</v>
      </c>
      <c r="J1563">
        <f t="shared" si="73"/>
        <v>2025</v>
      </c>
      <c r="K1563" s="5">
        <f t="shared" si="74"/>
        <v>45992</v>
      </c>
    </row>
    <row r="1564" spans="1:11" x14ac:dyDescent="0.25">
      <c r="A1564" t="s">
        <v>1786</v>
      </c>
      <c r="B1564" s="3">
        <v>46013</v>
      </c>
      <c r="C1564">
        <v>1200</v>
      </c>
      <c r="D1564" s="1">
        <v>3238.7</v>
      </c>
      <c r="E1564" s="1">
        <v>0</v>
      </c>
      <c r="F1564" t="s">
        <v>1787</v>
      </c>
      <c r="G1564" t="str">
        <f>_xlfn.XLOOKUP(C1564,tblCOA[AccountNo],tblCOA[AccountName],"Unmapped")</f>
        <v>Accounts Receivable</v>
      </c>
      <c r="H1564" t="str">
        <f>_xlfn.XLOOKUP(C1564,tblCOA[AccountNo],tblCOA[Category],"Unmapped")</f>
        <v>Assets</v>
      </c>
      <c r="I1564" s="4">
        <f t="shared" si="72"/>
        <v>3238.7</v>
      </c>
      <c r="J1564">
        <f t="shared" si="73"/>
        <v>2025</v>
      </c>
      <c r="K1564" s="5">
        <f t="shared" si="74"/>
        <v>45992</v>
      </c>
    </row>
    <row r="1565" spans="1:11" x14ac:dyDescent="0.25">
      <c r="A1565" t="s">
        <v>1788</v>
      </c>
      <c r="B1565" s="3">
        <v>46013</v>
      </c>
      <c r="C1565">
        <v>4010</v>
      </c>
      <c r="D1565" s="1">
        <v>0</v>
      </c>
      <c r="E1565" s="1">
        <v>3238.7</v>
      </c>
      <c r="F1565" t="s">
        <v>1789</v>
      </c>
      <c r="G1565" t="str">
        <f>_xlfn.XLOOKUP(C1565,tblCOA[AccountNo],tblCOA[AccountName],"Unmapped")</f>
        <v>Product Sales</v>
      </c>
      <c r="H1565" t="str">
        <f>_xlfn.XLOOKUP(C1565,tblCOA[AccountNo],tblCOA[Category],"Unmapped")</f>
        <v>Revenue</v>
      </c>
      <c r="I1565" s="4">
        <f t="shared" si="72"/>
        <v>-3238.7</v>
      </c>
      <c r="J1565">
        <f t="shared" si="73"/>
        <v>2025</v>
      </c>
      <c r="K1565" s="5">
        <f t="shared" si="74"/>
        <v>45992</v>
      </c>
    </row>
    <row r="1566" spans="1:11" x14ac:dyDescent="0.25">
      <c r="A1566" t="s">
        <v>838</v>
      </c>
      <c r="B1566" s="3">
        <v>46017</v>
      </c>
      <c r="C1566">
        <v>5010</v>
      </c>
      <c r="D1566" s="1">
        <v>2290.67</v>
      </c>
      <c r="E1566" s="1">
        <v>0</v>
      </c>
      <c r="F1566" t="s">
        <v>839</v>
      </c>
      <c r="G1566" t="str">
        <f>_xlfn.XLOOKUP(C1566,tblCOA[AccountNo],tblCOA[AccountName],"Unmapped")</f>
        <v>Cost of Goods Sold</v>
      </c>
      <c r="H1566" t="str">
        <f>_xlfn.XLOOKUP(C1566,tblCOA[AccountNo],tblCOA[Category],"Unmapped")</f>
        <v>Expenses</v>
      </c>
      <c r="I1566" s="4">
        <f t="shared" si="72"/>
        <v>2290.67</v>
      </c>
      <c r="J1566">
        <f t="shared" si="73"/>
        <v>2025</v>
      </c>
      <c r="K1566" s="5">
        <f t="shared" si="74"/>
        <v>45992</v>
      </c>
    </row>
    <row r="1567" spans="1:11" x14ac:dyDescent="0.25">
      <c r="A1567" t="s">
        <v>840</v>
      </c>
      <c r="B1567" s="3">
        <v>46017</v>
      </c>
      <c r="C1567">
        <v>2010</v>
      </c>
      <c r="D1567" s="1">
        <v>0</v>
      </c>
      <c r="E1567" s="1">
        <v>2290.67</v>
      </c>
      <c r="F1567" t="s">
        <v>841</v>
      </c>
      <c r="G1567" t="str">
        <f>_xlfn.XLOOKUP(C1567,tblCOA[AccountNo],tblCOA[AccountName],"Unmapped")</f>
        <v>Accounts Payable</v>
      </c>
      <c r="H1567" t="str">
        <f>_xlfn.XLOOKUP(C1567,tblCOA[AccountNo],tblCOA[Category],"Unmapped")</f>
        <v>Liabilities</v>
      </c>
      <c r="I1567" s="4">
        <f t="shared" si="72"/>
        <v>-2290.67</v>
      </c>
      <c r="J1567">
        <f t="shared" si="73"/>
        <v>2025</v>
      </c>
      <c r="K1567" s="5">
        <f t="shared" si="74"/>
        <v>45992</v>
      </c>
    </row>
    <row r="1568" spans="1:11" x14ac:dyDescent="0.25">
      <c r="A1568" t="s">
        <v>350</v>
      </c>
      <c r="B1568" s="3">
        <v>46020</v>
      </c>
      <c r="C1568">
        <v>5010</v>
      </c>
      <c r="D1568" s="1">
        <v>17399.189999999999</v>
      </c>
      <c r="E1568" s="1">
        <v>0</v>
      </c>
      <c r="F1568" t="s">
        <v>351</v>
      </c>
      <c r="G1568" t="str">
        <f>_xlfn.XLOOKUP(C1568,tblCOA[AccountNo],tblCOA[AccountName],"Unmapped")</f>
        <v>Cost of Goods Sold</v>
      </c>
      <c r="H1568" t="str">
        <f>_xlfn.XLOOKUP(C1568,tblCOA[AccountNo],tblCOA[Category],"Unmapped")</f>
        <v>Expenses</v>
      </c>
      <c r="I1568" s="4">
        <f t="shared" si="72"/>
        <v>17399.189999999999</v>
      </c>
      <c r="J1568">
        <f t="shared" si="73"/>
        <v>2025</v>
      </c>
      <c r="K1568" s="5">
        <f t="shared" si="74"/>
        <v>45992</v>
      </c>
    </row>
    <row r="1569" spans="1:11" x14ac:dyDescent="0.25">
      <c r="A1569" t="s">
        <v>352</v>
      </c>
      <c r="B1569" s="3">
        <v>46020</v>
      </c>
      <c r="C1569">
        <v>2010</v>
      </c>
      <c r="D1569" s="1">
        <v>0</v>
      </c>
      <c r="E1569" s="1">
        <v>17399.189999999999</v>
      </c>
      <c r="F1569" t="s">
        <v>353</v>
      </c>
      <c r="G1569" t="str">
        <f>_xlfn.XLOOKUP(C1569,tblCOA[AccountNo],tblCOA[AccountName],"Unmapped")</f>
        <v>Accounts Payable</v>
      </c>
      <c r="H1569" t="str">
        <f>_xlfn.XLOOKUP(C1569,tblCOA[AccountNo],tblCOA[Category],"Unmapped")</f>
        <v>Liabilities</v>
      </c>
      <c r="I1569" s="4">
        <f t="shared" si="72"/>
        <v>-17399.189999999999</v>
      </c>
      <c r="J1569">
        <f t="shared" si="73"/>
        <v>2025</v>
      </c>
      <c r="K1569" s="5">
        <f t="shared" si="74"/>
        <v>45992</v>
      </c>
    </row>
    <row r="1570" spans="1:11" x14ac:dyDescent="0.25">
      <c r="A1570" t="s">
        <v>3414</v>
      </c>
      <c r="B1570" s="3">
        <v>46023</v>
      </c>
      <c r="C1570">
        <v>5010</v>
      </c>
      <c r="D1570" s="1">
        <v>11135.59</v>
      </c>
      <c r="E1570" s="1">
        <v>0</v>
      </c>
      <c r="F1570" t="s">
        <v>3415</v>
      </c>
      <c r="G1570" t="str">
        <f>_xlfn.XLOOKUP(C1570,tblCOA[AccountNo],tblCOA[AccountName],"Unmapped")</f>
        <v>Cost of Goods Sold</v>
      </c>
      <c r="H1570" t="str">
        <f>_xlfn.XLOOKUP(C1570,tblCOA[AccountNo],tblCOA[Category],"Unmapped")</f>
        <v>Expenses</v>
      </c>
      <c r="I1570" s="4">
        <f t="shared" si="72"/>
        <v>11135.59</v>
      </c>
      <c r="J1570">
        <f t="shared" si="73"/>
        <v>2026</v>
      </c>
      <c r="K1570" s="5">
        <f t="shared" si="74"/>
        <v>46023</v>
      </c>
    </row>
    <row r="1571" spans="1:11" x14ac:dyDescent="0.25">
      <c r="A1571" t="s">
        <v>3416</v>
      </c>
      <c r="B1571" s="3">
        <v>46023</v>
      </c>
      <c r="C1571">
        <v>2010</v>
      </c>
      <c r="D1571" s="1">
        <v>0</v>
      </c>
      <c r="E1571" s="1">
        <v>11135.59</v>
      </c>
      <c r="F1571" t="s">
        <v>3417</v>
      </c>
      <c r="G1571" t="str">
        <f>_xlfn.XLOOKUP(C1571,tblCOA[AccountNo],tblCOA[AccountName],"Unmapped")</f>
        <v>Accounts Payable</v>
      </c>
      <c r="H1571" t="str">
        <f>_xlfn.XLOOKUP(C1571,tblCOA[AccountNo],tblCOA[Category],"Unmapped")</f>
        <v>Liabilities</v>
      </c>
      <c r="I1571" s="4">
        <f t="shared" si="72"/>
        <v>-11135.59</v>
      </c>
      <c r="J1571">
        <f t="shared" si="73"/>
        <v>2026</v>
      </c>
      <c r="K1571" s="5">
        <f t="shared" si="74"/>
        <v>46023</v>
      </c>
    </row>
    <row r="1572" spans="1:11" x14ac:dyDescent="0.25">
      <c r="A1572" t="s">
        <v>3650</v>
      </c>
      <c r="B1572" s="3">
        <v>46023</v>
      </c>
      <c r="C1572">
        <v>1200</v>
      </c>
      <c r="D1572" s="1">
        <v>26592.240000000002</v>
      </c>
      <c r="E1572" s="1">
        <v>0</v>
      </c>
      <c r="F1572" t="s">
        <v>3651</v>
      </c>
      <c r="G1572" t="str">
        <f>_xlfn.XLOOKUP(C1572,tblCOA[AccountNo],tblCOA[AccountName],"Unmapped")</f>
        <v>Accounts Receivable</v>
      </c>
      <c r="H1572" t="str">
        <f>_xlfn.XLOOKUP(C1572,tblCOA[AccountNo],tblCOA[Category],"Unmapped")</f>
        <v>Assets</v>
      </c>
      <c r="I1572" s="4">
        <f t="shared" si="72"/>
        <v>26592.240000000002</v>
      </c>
      <c r="J1572">
        <f t="shared" si="73"/>
        <v>2026</v>
      </c>
      <c r="K1572" s="5">
        <f t="shared" si="74"/>
        <v>46023</v>
      </c>
    </row>
    <row r="1573" spans="1:11" x14ac:dyDescent="0.25">
      <c r="A1573" t="s">
        <v>3652</v>
      </c>
      <c r="B1573" s="3">
        <v>46023</v>
      </c>
      <c r="C1573">
        <v>4010</v>
      </c>
      <c r="D1573" s="1">
        <v>0</v>
      </c>
      <c r="E1573" s="1">
        <v>26592.240000000002</v>
      </c>
      <c r="F1573" t="s">
        <v>3653</v>
      </c>
      <c r="G1573" t="str">
        <f>_xlfn.XLOOKUP(C1573,tblCOA[AccountNo],tblCOA[AccountName],"Unmapped")</f>
        <v>Product Sales</v>
      </c>
      <c r="H1573" t="str">
        <f>_xlfn.XLOOKUP(C1573,tblCOA[AccountNo],tblCOA[Category],"Unmapped")</f>
        <v>Revenue</v>
      </c>
      <c r="I1573" s="4">
        <f t="shared" si="72"/>
        <v>-26592.240000000002</v>
      </c>
      <c r="J1573">
        <f t="shared" si="73"/>
        <v>2026</v>
      </c>
      <c r="K1573" s="5">
        <f t="shared" si="74"/>
        <v>46023</v>
      </c>
    </row>
    <row r="1574" spans="1:11" x14ac:dyDescent="0.25">
      <c r="A1574" t="s">
        <v>2022</v>
      </c>
      <c r="B1574" s="3">
        <v>46026</v>
      </c>
      <c r="C1574">
        <v>5010</v>
      </c>
      <c r="D1574" s="1">
        <v>12804.98</v>
      </c>
      <c r="E1574" s="1">
        <v>0</v>
      </c>
      <c r="F1574" t="s">
        <v>2023</v>
      </c>
      <c r="G1574" t="str">
        <f>_xlfn.XLOOKUP(C1574,tblCOA[AccountNo],tblCOA[AccountName],"Unmapped")</f>
        <v>Cost of Goods Sold</v>
      </c>
      <c r="H1574" t="str">
        <f>_xlfn.XLOOKUP(C1574,tblCOA[AccountNo],tblCOA[Category],"Unmapped")</f>
        <v>Expenses</v>
      </c>
      <c r="I1574" s="4">
        <f t="shared" si="72"/>
        <v>12804.98</v>
      </c>
      <c r="J1574">
        <f t="shared" si="73"/>
        <v>2026</v>
      </c>
      <c r="K1574" s="5">
        <f t="shared" si="74"/>
        <v>46023</v>
      </c>
    </row>
    <row r="1575" spans="1:11" x14ac:dyDescent="0.25">
      <c r="A1575" t="s">
        <v>2024</v>
      </c>
      <c r="B1575" s="3">
        <v>46026</v>
      </c>
      <c r="C1575">
        <v>2010</v>
      </c>
      <c r="D1575" s="1">
        <v>0</v>
      </c>
      <c r="E1575" s="1">
        <v>12804.98</v>
      </c>
      <c r="F1575" t="s">
        <v>2025</v>
      </c>
      <c r="G1575" t="str">
        <f>_xlfn.XLOOKUP(C1575,tblCOA[AccountNo],tblCOA[AccountName],"Unmapped")</f>
        <v>Accounts Payable</v>
      </c>
      <c r="H1575" t="str">
        <f>_xlfn.XLOOKUP(C1575,tblCOA[AccountNo],tblCOA[Category],"Unmapped")</f>
        <v>Liabilities</v>
      </c>
      <c r="I1575" s="4">
        <f t="shared" si="72"/>
        <v>-12804.98</v>
      </c>
      <c r="J1575">
        <f t="shared" si="73"/>
        <v>2026</v>
      </c>
      <c r="K1575" s="5">
        <f t="shared" si="74"/>
        <v>46023</v>
      </c>
    </row>
    <row r="1576" spans="1:11" x14ac:dyDescent="0.25">
      <c r="A1576" t="s">
        <v>2958</v>
      </c>
      <c r="B1576" s="3">
        <v>46030</v>
      </c>
      <c r="C1576">
        <v>5010</v>
      </c>
      <c r="D1576" s="1">
        <v>19766.23</v>
      </c>
      <c r="E1576" s="1">
        <v>0</v>
      </c>
      <c r="F1576" t="s">
        <v>2959</v>
      </c>
      <c r="G1576" t="str">
        <f>_xlfn.XLOOKUP(C1576,tblCOA[AccountNo],tblCOA[AccountName],"Unmapped")</f>
        <v>Cost of Goods Sold</v>
      </c>
      <c r="H1576" t="str">
        <f>_xlfn.XLOOKUP(C1576,tblCOA[AccountNo],tblCOA[Category],"Unmapped")</f>
        <v>Expenses</v>
      </c>
      <c r="I1576" s="4">
        <f t="shared" si="72"/>
        <v>19766.23</v>
      </c>
      <c r="J1576">
        <f t="shared" si="73"/>
        <v>2026</v>
      </c>
      <c r="K1576" s="5">
        <f t="shared" si="74"/>
        <v>46023</v>
      </c>
    </row>
    <row r="1577" spans="1:11" x14ac:dyDescent="0.25">
      <c r="A1577" t="s">
        <v>2960</v>
      </c>
      <c r="B1577" s="3">
        <v>46030</v>
      </c>
      <c r="C1577">
        <v>2010</v>
      </c>
      <c r="D1577" s="1">
        <v>0</v>
      </c>
      <c r="E1577" s="1">
        <v>19766.23</v>
      </c>
      <c r="F1577" t="s">
        <v>2961</v>
      </c>
      <c r="G1577" t="str">
        <f>_xlfn.XLOOKUP(C1577,tblCOA[AccountNo],tblCOA[AccountName],"Unmapped")</f>
        <v>Accounts Payable</v>
      </c>
      <c r="H1577" t="str">
        <f>_xlfn.XLOOKUP(C1577,tblCOA[AccountNo],tblCOA[Category],"Unmapped")</f>
        <v>Liabilities</v>
      </c>
      <c r="I1577" s="4">
        <f t="shared" si="72"/>
        <v>-19766.23</v>
      </c>
      <c r="J1577">
        <f t="shared" si="73"/>
        <v>2026</v>
      </c>
      <c r="K1577" s="5">
        <f t="shared" si="74"/>
        <v>46023</v>
      </c>
    </row>
    <row r="1578" spans="1:11" x14ac:dyDescent="0.25">
      <c r="A1578" t="s">
        <v>710</v>
      </c>
      <c r="B1578" s="3">
        <v>46033</v>
      </c>
      <c r="C1578">
        <v>5010</v>
      </c>
      <c r="D1578" s="1">
        <v>6089.53</v>
      </c>
      <c r="E1578" s="1">
        <v>0</v>
      </c>
      <c r="F1578" t="s">
        <v>711</v>
      </c>
      <c r="G1578" t="str">
        <f>_xlfn.XLOOKUP(C1578,tblCOA[AccountNo],tblCOA[AccountName],"Unmapped")</f>
        <v>Cost of Goods Sold</v>
      </c>
      <c r="H1578" t="str">
        <f>_xlfn.XLOOKUP(C1578,tblCOA[AccountNo],tblCOA[Category],"Unmapped")</f>
        <v>Expenses</v>
      </c>
      <c r="I1578" s="4">
        <f t="shared" si="72"/>
        <v>6089.53</v>
      </c>
      <c r="J1578">
        <f t="shared" si="73"/>
        <v>2026</v>
      </c>
      <c r="K1578" s="5">
        <f t="shared" si="74"/>
        <v>46023</v>
      </c>
    </row>
    <row r="1579" spans="1:11" x14ac:dyDescent="0.25">
      <c r="A1579" t="s">
        <v>712</v>
      </c>
      <c r="B1579" s="3">
        <v>46033</v>
      </c>
      <c r="C1579">
        <v>2010</v>
      </c>
      <c r="D1579" s="1">
        <v>0</v>
      </c>
      <c r="E1579" s="1">
        <v>6089.53</v>
      </c>
      <c r="F1579" t="s">
        <v>713</v>
      </c>
      <c r="G1579" t="str">
        <f>_xlfn.XLOOKUP(C1579,tblCOA[AccountNo],tblCOA[AccountName],"Unmapped")</f>
        <v>Accounts Payable</v>
      </c>
      <c r="H1579" t="str">
        <f>_xlfn.XLOOKUP(C1579,tblCOA[AccountNo],tblCOA[Category],"Unmapped")</f>
        <v>Liabilities</v>
      </c>
      <c r="I1579" s="4">
        <f t="shared" si="72"/>
        <v>-6089.53</v>
      </c>
      <c r="J1579">
        <f t="shared" si="73"/>
        <v>2026</v>
      </c>
      <c r="K1579" s="5">
        <f t="shared" si="74"/>
        <v>46023</v>
      </c>
    </row>
    <row r="1580" spans="1:11" x14ac:dyDescent="0.25">
      <c r="A1580" t="s">
        <v>822</v>
      </c>
      <c r="B1580" s="3">
        <v>46034</v>
      </c>
      <c r="C1580">
        <v>5010</v>
      </c>
      <c r="D1580" s="1">
        <v>6259.39</v>
      </c>
      <c r="E1580" s="1">
        <v>0</v>
      </c>
      <c r="F1580" t="s">
        <v>823</v>
      </c>
      <c r="G1580" t="str">
        <f>_xlfn.XLOOKUP(C1580,tblCOA[AccountNo],tblCOA[AccountName],"Unmapped")</f>
        <v>Cost of Goods Sold</v>
      </c>
      <c r="H1580" t="str">
        <f>_xlfn.XLOOKUP(C1580,tblCOA[AccountNo],tblCOA[Category],"Unmapped")</f>
        <v>Expenses</v>
      </c>
      <c r="I1580" s="4">
        <f t="shared" si="72"/>
        <v>6259.39</v>
      </c>
      <c r="J1580">
        <f t="shared" si="73"/>
        <v>2026</v>
      </c>
      <c r="K1580" s="5">
        <f t="shared" si="74"/>
        <v>46023</v>
      </c>
    </row>
    <row r="1581" spans="1:11" x14ac:dyDescent="0.25">
      <c r="A1581" t="s">
        <v>824</v>
      </c>
      <c r="B1581" s="3">
        <v>46034</v>
      </c>
      <c r="C1581">
        <v>2010</v>
      </c>
      <c r="D1581" s="1">
        <v>0</v>
      </c>
      <c r="E1581" s="1">
        <v>6259.39</v>
      </c>
      <c r="F1581" t="s">
        <v>825</v>
      </c>
      <c r="G1581" t="str">
        <f>_xlfn.XLOOKUP(C1581,tblCOA[AccountNo],tblCOA[AccountName],"Unmapped")</f>
        <v>Accounts Payable</v>
      </c>
      <c r="H1581" t="str">
        <f>_xlfn.XLOOKUP(C1581,tblCOA[AccountNo],tblCOA[Category],"Unmapped")</f>
        <v>Liabilities</v>
      </c>
      <c r="I1581" s="4">
        <f t="shared" si="72"/>
        <v>-6259.39</v>
      </c>
      <c r="J1581">
        <f t="shared" si="73"/>
        <v>2026</v>
      </c>
      <c r="K1581" s="5">
        <f t="shared" si="74"/>
        <v>46023</v>
      </c>
    </row>
    <row r="1582" spans="1:11" x14ac:dyDescent="0.25">
      <c r="A1582" t="s">
        <v>2422</v>
      </c>
      <c r="B1582" s="3">
        <v>46035</v>
      </c>
      <c r="C1582">
        <v>5010</v>
      </c>
      <c r="D1582" s="1">
        <v>18755.060000000001</v>
      </c>
      <c r="E1582" s="1">
        <v>0</v>
      </c>
      <c r="F1582" t="s">
        <v>2423</v>
      </c>
      <c r="G1582" t="str">
        <f>_xlfn.XLOOKUP(C1582,tblCOA[AccountNo],tblCOA[AccountName],"Unmapped")</f>
        <v>Cost of Goods Sold</v>
      </c>
      <c r="H1582" t="str">
        <f>_xlfn.XLOOKUP(C1582,tblCOA[AccountNo],tblCOA[Category],"Unmapped")</f>
        <v>Expenses</v>
      </c>
      <c r="I1582" s="4">
        <f t="shared" si="72"/>
        <v>18755.060000000001</v>
      </c>
      <c r="J1582">
        <f t="shared" si="73"/>
        <v>2026</v>
      </c>
      <c r="K1582" s="5">
        <f t="shared" si="74"/>
        <v>46023</v>
      </c>
    </row>
    <row r="1583" spans="1:11" x14ac:dyDescent="0.25">
      <c r="A1583" t="s">
        <v>2424</v>
      </c>
      <c r="B1583" s="3">
        <v>46035</v>
      </c>
      <c r="C1583">
        <v>2010</v>
      </c>
      <c r="D1583" s="1">
        <v>0</v>
      </c>
      <c r="E1583" s="1">
        <v>18755.060000000001</v>
      </c>
      <c r="F1583" t="s">
        <v>2425</v>
      </c>
      <c r="G1583" t="str">
        <f>_xlfn.XLOOKUP(C1583,tblCOA[AccountNo],tblCOA[AccountName],"Unmapped")</f>
        <v>Accounts Payable</v>
      </c>
      <c r="H1583" t="str">
        <f>_xlfn.XLOOKUP(C1583,tblCOA[AccountNo],tblCOA[Category],"Unmapped")</f>
        <v>Liabilities</v>
      </c>
      <c r="I1583" s="4">
        <f t="shared" si="72"/>
        <v>-18755.060000000001</v>
      </c>
      <c r="J1583">
        <f t="shared" si="73"/>
        <v>2026</v>
      </c>
      <c r="K1583" s="5">
        <f t="shared" si="74"/>
        <v>46023</v>
      </c>
    </row>
    <row r="1584" spans="1:11" x14ac:dyDescent="0.25">
      <c r="A1584" t="s">
        <v>3342</v>
      </c>
      <c r="B1584" s="3">
        <v>46035</v>
      </c>
      <c r="C1584">
        <v>5010</v>
      </c>
      <c r="D1584" s="1">
        <v>19724.68</v>
      </c>
      <c r="E1584" s="1">
        <v>0</v>
      </c>
      <c r="F1584" t="s">
        <v>3343</v>
      </c>
      <c r="G1584" t="str">
        <f>_xlfn.XLOOKUP(C1584,tblCOA[AccountNo],tblCOA[AccountName],"Unmapped")</f>
        <v>Cost of Goods Sold</v>
      </c>
      <c r="H1584" t="str">
        <f>_xlfn.XLOOKUP(C1584,tblCOA[AccountNo],tblCOA[Category],"Unmapped")</f>
        <v>Expenses</v>
      </c>
      <c r="I1584" s="4">
        <f t="shared" si="72"/>
        <v>19724.68</v>
      </c>
      <c r="J1584">
        <f t="shared" si="73"/>
        <v>2026</v>
      </c>
      <c r="K1584" s="5">
        <f t="shared" si="74"/>
        <v>46023</v>
      </c>
    </row>
    <row r="1585" spans="1:11" x14ac:dyDescent="0.25">
      <c r="A1585" t="s">
        <v>3344</v>
      </c>
      <c r="B1585" s="3">
        <v>46035</v>
      </c>
      <c r="C1585">
        <v>2010</v>
      </c>
      <c r="D1585" s="1">
        <v>0</v>
      </c>
      <c r="E1585" s="1">
        <v>19724.68</v>
      </c>
      <c r="F1585" t="s">
        <v>3345</v>
      </c>
      <c r="G1585" t="str">
        <f>_xlfn.XLOOKUP(C1585,tblCOA[AccountNo],tblCOA[AccountName],"Unmapped")</f>
        <v>Accounts Payable</v>
      </c>
      <c r="H1585" t="str">
        <f>_xlfn.XLOOKUP(C1585,tblCOA[AccountNo],tblCOA[Category],"Unmapped")</f>
        <v>Liabilities</v>
      </c>
      <c r="I1585" s="4">
        <f t="shared" si="72"/>
        <v>-19724.68</v>
      </c>
      <c r="J1585">
        <f t="shared" si="73"/>
        <v>2026</v>
      </c>
      <c r="K1585" s="5">
        <f t="shared" si="74"/>
        <v>46023</v>
      </c>
    </row>
    <row r="1586" spans="1:11" x14ac:dyDescent="0.25">
      <c r="A1586" t="s">
        <v>750</v>
      </c>
      <c r="B1586" s="3">
        <v>46038</v>
      </c>
      <c r="C1586">
        <v>5010</v>
      </c>
      <c r="D1586" s="1">
        <v>3640.43</v>
      </c>
      <c r="E1586" s="1">
        <v>0</v>
      </c>
      <c r="F1586" t="s">
        <v>751</v>
      </c>
      <c r="G1586" t="str">
        <f>_xlfn.XLOOKUP(C1586,tblCOA[AccountNo],tblCOA[AccountName],"Unmapped")</f>
        <v>Cost of Goods Sold</v>
      </c>
      <c r="H1586" t="str">
        <f>_xlfn.XLOOKUP(C1586,tblCOA[AccountNo],tblCOA[Category],"Unmapped")</f>
        <v>Expenses</v>
      </c>
      <c r="I1586" s="4">
        <f t="shared" si="72"/>
        <v>3640.43</v>
      </c>
      <c r="J1586">
        <f t="shared" si="73"/>
        <v>2026</v>
      </c>
      <c r="K1586" s="5">
        <f t="shared" si="74"/>
        <v>46023</v>
      </c>
    </row>
    <row r="1587" spans="1:11" x14ac:dyDescent="0.25">
      <c r="A1587" t="s">
        <v>752</v>
      </c>
      <c r="B1587" s="3">
        <v>46038</v>
      </c>
      <c r="C1587">
        <v>2010</v>
      </c>
      <c r="D1587" s="1">
        <v>0</v>
      </c>
      <c r="E1587" s="1">
        <v>3640.43</v>
      </c>
      <c r="F1587" t="s">
        <v>753</v>
      </c>
      <c r="G1587" t="str">
        <f>_xlfn.XLOOKUP(C1587,tblCOA[AccountNo],tblCOA[AccountName],"Unmapped")</f>
        <v>Accounts Payable</v>
      </c>
      <c r="H1587" t="str">
        <f>_xlfn.XLOOKUP(C1587,tblCOA[AccountNo],tblCOA[Category],"Unmapped")</f>
        <v>Liabilities</v>
      </c>
      <c r="I1587" s="4">
        <f t="shared" si="72"/>
        <v>-3640.43</v>
      </c>
      <c r="J1587">
        <f t="shared" si="73"/>
        <v>2026</v>
      </c>
      <c r="K1587" s="5">
        <f t="shared" si="74"/>
        <v>46023</v>
      </c>
    </row>
    <row r="1588" spans="1:11" x14ac:dyDescent="0.25">
      <c r="A1588" t="s">
        <v>1906</v>
      </c>
      <c r="B1588" s="3">
        <v>46038</v>
      </c>
      <c r="C1588">
        <v>1200</v>
      </c>
      <c r="D1588" s="1">
        <v>3157.75</v>
      </c>
      <c r="E1588" s="1">
        <v>0</v>
      </c>
      <c r="F1588" t="s">
        <v>1907</v>
      </c>
      <c r="G1588" t="str">
        <f>_xlfn.XLOOKUP(C1588,tblCOA[AccountNo],tblCOA[AccountName],"Unmapped")</f>
        <v>Accounts Receivable</v>
      </c>
      <c r="H1588" t="str">
        <f>_xlfn.XLOOKUP(C1588,tblCOA[AccountNo],tblCOA[Category],"Unmapped")</f>
        <v>Assets</v>
      </c>
      <c r="I1588" s="4">
        <f t="shared" si="72"/>
        <v>3157.75</v>
      </c>
      <c r="J1588">
        <f t="shared" si="73"/>
        <v>2026</v>
      </c>
      <c r="K1588" s="5">
        <f t="shared" si="74"/>
        <v>46023</v>
      </c>
    </row>
    <row r="1589" spans="1:11" x14ac:dyDescent="0.25">
      <c r="A1589" t="s">
        <v>1908</v>
      </c>
      <c r="B1589" s="3">
        <v>46038</v>
      </c>
      <c r="C1589">
        <v>4010</v>
      </c>
      <c r="D1589" s="1">
        <v>0</v>
      </c>
      <c r="E1589" s="1">
        <v>3157.75</v>
      </c>
      <c r="F1589" t="s">
        <v>1909</v>
      </c>
      <c r="G1589" t="str">
        <f>_xlfn.XLOOKUP(C1589,tblCOA[AccountNo],tblCOA[AccountName],"Unmapped")</f>
        <v>Product Sales</v>
      </c>
      <c r="H1589" t="str">
        <f>_xlfn.XLOOKUP(C1589,tblCOA[AccountNo],tblCOA[Category],"Unmapped")</f>
        <v>Revenue</v>
      </c>
      <c r="I1589" s="4">
        <f t="shared" si="72"/>
        <v>-3157.75</v>
      </c>
      <c r="J1589">
        <f t="shared" si="73"/>
        <v>2026</v>
      </c>
      <c r="K1589" s="5">
        <f t="shared" si="74"/>
        <v>46023</v>
      </c>
    </row>
    <row r="1590" spans="1:11" x14ac:dyDescent="0.25">
      <c r="A1590" t="s">
        <v>2594</v>
      </c>
      <c r="B1590" s="3">
        <v>46040</v>
      </c>
      <c r="C1590">
        <v>1200</v>
      </c>
      <c r="D1590" s="1">
        <v>9044.3799999999992</v>
      </c>
      <c r="E1590" s="1">
        <v>0</v>
      </c>
      <c r="F1590" t="s">
        <v>2595</v>
      </c>
      <c r="G1590" t="str">
        <f>_xlfn.XLOOKUP(C1590,tblCOA[AccountNo],tblCOA[AccountName],"Unmapped")</f>
        <v>Accounts Receivable</v>
      </c>
      <c r="H1590" t="str">
        <f>_xlfn.XLOOKUP(C1590,tblCOA[AccountNo],tblCOA[Category],"Unmapped")</f>
        <v>Assets</v>
      </c>
      <c r="I1590" s="4">
        <f t="shared" si="72"/>
        <v>9044.3799999999992</v>
      </c>
      <c r="J1590">
        <f t="shared" si="73"/>
        <v>2026</v>
      </c>
      <c r="K1590" s="5">
        <f t="shared" si="74"/>
        <v>46023</v>
      </c>
    </row>
    <row r="1591" spans="1:11" x14ac:dyDescent="0.25">
      <c r="A1591" t="s">
        <v>2596</v>
      </c>
      <c r="B1591" s="3">
        <v>46040</v>
      </c>
      <c r="C1591">
        <v>4010</v>
      </c>
      <c r="D1591" s="1">
        <v>0</v>
      </c>
      <c r="E1591" s="1">
        <v>9044.3799999999992</v>
      </c>
      <c r="F1591" t="s">
        <v>2597</v>
      </c>
      <c r="G1591" t="str">
        <f>_xlfn.XLOOKUP(C1591,tblCOA[AccountNo],tblCOA[AccountName],"Unmapped")</f>
        <v>Product Sales</v>
      </c>
      <c r="H1591" t="str">
        <f>_xlfn.XLOOKUP(C1591,tblCOA[AccountNo],tblCOA[Category],"Unmapped")</f>
        <v>Revenue</v>
      </c>
      <c r="I1591" s="4">
        <f t="shared" si="72"/>
        <v>-9044.3799999999992</v>
      </c>
      <c r="J1591">
        <f t="shared" si="73"/>
        <v>2026</v>
      </c>
      <c r="K1591" s="5">
        <f t="shared" si="74"/>
        <v>46023</v>
      </c>
    </row>
    <row r="1592" spans="1:11" x14ac:dyDescent="0.25">
      <c r="A1592" t="s">
        <v>3234</v>
      </c>
      <c r="B1592" s="3">
        <v>46042</v>
      </c>
      <c r="C1592">
        <v>1200</v>
      </c>
      <c r="D1592" s="1">
        <v>10249.969999999999</v>
      </c>
      <c r="E1592" s="1">
        <v>0</v>
      </c>
      <c r="F1592" t="s">
        <v>3235</v>
      </c>
      <c r="G1592" t="str">
        <f>_xlfn.XLOOKUP(C1592,tblCOA[AccountNo],tblCOA[AccountName],"Unmapped")</f>
        <v>Accounts Receivable</v>
      </c>
      <c r="H1592" t="str">
        <f>_xlfn.XLOOKUP(C1592,tblCOA[AccountNo],tblCOA[Category],"Unmapped")</f>
        <v>Assets</v>
      </c>
      <c r="I1592" s="4">
        <f t="shared" si="72"/>
        <v>10249.969999999999</v>
      </c>
      <c r="J1592">
        <f t="shared" si="73"/>
        <v>2026</v>
      </c>
      <c r="K1592" s="5">
        <f t="shared" si="74"/>
        <v>46023</v>
      </c>
    </row>
    <row r="1593" spans="1:11" x14ac:dyDescent="0.25">
      <c r="A1593" t="s">
        <v>3236</v>
      </c>
      <c r="B1593" s="3">
        <v>46042</v>
      </c>
      <c r="C1593">
        <v>4010</v>
      </c>
      <c r="D1593" s="1">
        <v>0</v>
      </c>
      <c r="E1593" s="1">
        <v>10249.969999999999</v>
      </c>
      <c r="F1593" t="s">
        <v>3237</v>
      </c>
      <c r="G1593" t="str">
        <f>_xlfn.XLOOKUP(C1593,tblCOA[AccountNo],tblCOA[AccountName],"Unmapped")</f>
        <v>Product Sales</v>
      </c>
      <c r="H1593" t="str">
        <f>_xlfn.XLOOKUP(C1593,tblCOA[AccountNo],tblCOA[Category],"Unmapped")</f>
        <v>Revenue</v>
      </c>
      <c r="I1593" s="4">
        <f t="shared" si="72"/>
        <v>-10249.969999999999</v>
      </c>
      <c r="J1593">
        <f t="shared" si="73"/>
        <v>2026</v>
      </c>
      <c r="K1593" s="5">
        <f t="shared" si="74"/>
        <v>46023</v>
      </c>
    </row>
    <row r="1594" spans="1:11" x14ac:dyDescent="0.25">
      <c r="A1594" t="s">
        <v>3890</v>
      </c>
      <c r="B1594" s="3">
        <v>46042</v>
      </c>
      <c r="C1594">
        <v>1200</v>
      </c>
      <c r="D1594" s="1">
        <v>7672.18</v>
      </c>
      <c r="E1594" s="1">
        <v>0</v>
      </c>
      <c r="F1594" t="s">
        <v>3891</v>
      </c>
      <c r="G1594" t="str">
        <f>_xlfn.XLOOKUP(C1594,tblCOA[AccountNo],tblCOA[AccountName],"Unmapped")</f>
        <v>Accounts Receivable</v>
      </c>
      <c r="H1594" t="str">
        <f>_xlfn.XLOOKUP(C1594,tblCOA[AccountNo],tblCOA[Category],"Unmapped")</f>
        <v>Assets</v>
      </c>
      <c r="I1594" s="4">
        <f t="shared" si="72"/>
        <v>7672.18</v>
      </c>
      <c r="J1594">
        <f t="shared" si="73"/>
        <v>2026</v>
      </c>
      <c r="K1594" s="5">
        <f t="shared" si="74"/>
        <v>46023</v>
      </c>
    </row>
    <row r="1595" spans="1:11" x14ac:dyDescent="0.25">
      <c r="A1595" t="s">
        <v>3892</v>
      </c>
      <c r="B1595" s="3">
        <v>46042</v>
      </c>
      <c r="C1595">
        <v>4010</v>
      </c>
      <c r="D1595" s="1">
        <v>0</v>
      </c>
      <c r="E1595" s="1">
        <v>7672.18</v>
      </c>
      <c r="F1595" t="s">
        <v>3893</v>
      </c>
      <c r="G1595" t="str">
        <f>_xlfn.XLOOKUP(C1595,tblCOA[AccountNo],tblCOA[AccountName],"Unmapped")</f>
        <v>Product Sales</v>
      </c>
      <c r="H1595" t="str">
        <f>_xlfn.XLOOKUP(C1595,tblCOA[AccountNo],tblCOA[Category],"Unmapped")</f>
        <v>Revenue</v>
      </c>
      <c r="I1595" s="4">
        <f t="shared" si="72"/>
        <v>-7672.18</v>
      </c>
      <c r="J1595">
        <f t="shared" si="73"/>
        <v>2026</v>
      </c>
      <c r="K1595" s="5">
        <f t="shared" si="74"/>
        <v>46023</v>
      </c>
    </row>
    <row r="1596" spans="1:11" x14ac:dyDescent="0.25">
      <c r="A1596" t="s">
        <v>2454</v>
      </c>
      <c r="B1596" s="3">
        <v>46043</v>
      </c>
      <c r="C1596">
        <v>5010</v>
      </c>
      <c r="D1596" s="1">
        <v>12545.94</v>
      </c>
      <c r="E1596" s="1">
        <v>0</v>
      </c>
      <c r="F1596" t="s">
        <v>2455</v>
      </c>
      <c r="G1596" t="str">
        <f>_xlfn.XLOOKUP(C1596,tblCOA[AccountNo],tblCOA[AccountName],"Unmapped")</f>
        <v>Cost of Goods Sold</v>
      </c>
      <c r="H1596" t="str">
        <f>_xlfn.XLOOKUP(C1596,tblCOA[AccountNo],tblCOA[Category],"Unmapped")</f>
        <v>Expenses</v>
      </c>
      <c r="I1596" s="4">
        <f t="shared" si="72"/>
        <v>12545.94</v>
      </c>
      <c r="J1596">
        <f t="shared" si="73"/>
        <v>2026</v>
      </c>
      <c r="K1596" s="5">
        <f t="shared" si="74"/>
        <v>46023</v>
      </c>
    </row>
    <row r="1597" spans="1:11" x14ac:dyDescent="0.25">
      <c r="A1597" t="s">
        <v>2456</v>
      </c>
      <c r="B1597" s="3">
        <v>46043</v>
      </c>
      <c r="C1597">
        <v>2010</v>
      </c>
      <c r="D1597" s="1">
        <v>0</v>
      </c>
      <c r="E1597" s="1">
        <v>12545.94</v>
      </c>
      <c r="F1597" t="s">
        <v>2457</v>
      </c>
      <c r="G1597" t="str">
        <f>_xlfn.XLOOKUP(C1597,tblCOA[AccountNo],tblCOA[AccountName],"Unmapped")</f>
        <v>Accounts Payable</v>
      </c>
      <c r="H1597" t="str">
        <f>_xlfn.XLOOKUP(C1597,tblCOA[AccountNo],tblCOA[Category],"Unmapped")</f>
        <v>Liabilities</v>
      </c>
      <c r="I1597" s="4">
        <f t="shared" si="72"/>
        <v>-12545.94</v>
      </c>
      <c r="J1597">
        <f t="shared" si="73"/>
        <v>2026</v>
      </c>
      <c r="K1597" s="5">
        <f t="shared" si="74"/>
        <v>46023</v>
      </c>
    </row>
    <row r="1598" spans="1:11" x14ac:dyDescent="0.25">
      <c r="A1598" t="s">
        <v>778</v>
      </c>
      <c r="B1598" s="3">
        <v>46043</v>
      </c>
      <c r="C1598">
        <v>1200</v>
      </c>
      <c r="D1598" s="1">
        <v>28390.15</v>
      </c>
      <c r="E1598" s="1">
        <v>0</v>
      </c>
      <c r="F1598" t="s">
        <v>779</v>
      </c>
      <c r="G1598" t="str">
        <f>_xlfn.XLOOKUP(C1598,tblCOA[AccountNo],tblCOA[AccountName],"Unmapped")</f>
        <v>Accounts Receivable</v>
      </c>
      <c r="H1598" t="str">
        <f>_xlfn.XLOOKUP(C1598,tblCOA[AccountNo],tblCOA[Category],"Unmapped")</f>
        <v>Assets</v>
      </c>
      <c r="I1598" s="4">
        <f t="shared" si="72"/>
        <v>28390.15</v>
      </c>
      <c r="J1598">
        <f t="shared" si="73"/>
        <v>2026</v>
      </c>
      <c r="K1598" s="5">
        <f t="shared" si="74"/>
        <v>46023</v>
      </c>
    </row>
    <row r="1599" spans="1:11" x14ac:dyDescent="0.25">
      <c r="A1599" t="s">
        <v>780</v>
      </c>
      <c r="B1599" s="3">
        <v>46043</v>
      </c>
      <c r="C1599">
        <v>4010</v>
      </c>
      <c r="D1599" s="1">
        <v>0</v>
      </c>
      <c r="E1599" s="1">
        <v>28390.15</v>
      </c>
      <c r="F1599" t="s">
        <v>781</v>
      </c>
      <c r="G1599" t="str">
        <f>_xlfn.XLOOKUP(C1599,tblCOA[AccountNo],tblCOA[AccountName],"Unmapped")</f>
        <v>Product Sales</v>
      </c>
      <c r="H1599" t="str">
        <f>_xlfn.XLOOKUP(C1599,tblCOA[AccountNo],tblCOA[Category],"Unmapped")</f>
        <v>Revenue</v>
      </c>
      <c r="I1599" s="4">
        <f t="shared" si="72"/>
        <v>-28390.15</v>
      </c>
      <c r="J1599">
        <f t="shared" si="73"/>
        <v>2026</v>
      </c>
      <c r="K1599" s="5">
        <f t="shared" si="74"/>
        <v>46023</v>
      </c>
    </row>
    <row r="1600" spans="1:11" x14ac:dyDescent="0.25">
      <c r="A1600" t="s">
        <v>1626</v>
      </c>
      <c r="B1600" s="3">
        <v>46044</v>
      </c>
      <c r="C1600">
        <v>1200</v>
      </c>
      <c r="D1600" s="1">
        <v>13124.07</v>
      </c>
      <c r="E1600" s="1">
        <v>0</v>
      </c>
      <c r="F1600" t="s">
        <v>1627</v>
      </c>
      <c r="G1600" t="str">
        <f>_xlfn.XLOOKUP(C1600,tblCOA[AccountNo],tblCOA[AccountName],"Unmapped")</f>
        <v>Accounts Receivable</v>
      </c>
      <c r="H1600" t="str">
        <f>_xlfn.XLOOKUP(C1600,tblCOA[AccountNo],tblCOA[Category],"Unmapped")</f>
        <v>Assets</v>
      </c>
      <c r="I1600" s="4">
        <f t="shared" si="72"/>
        <v>13124.07</v>
      </c>
      <c r="J1600">
        <f t="shared" si="73"/>
        <v>2026</v>
      </c>
      <c r="K1600" s="5">
        <f t="shared" si="74"/>
        <v>46023</v>
      </c>
    </row>
    <row r="1601" spans="1:11" x14ac:dyDescent="0.25">
      <c r="A1601" t="s">
        <v>1628</v>
      </c>
      <c r="B1601" s="3">
        <v>46044</v>
      </c>
      <c r="C1601">
        <v>4010</v>
      </c>
      <c r="D1601" s="1">
        <v>0</v>
      </c>
      <c r="E1601" s="1">
        <v>13124.07</v>
      </c>
      <c r="F1601" t="s">
        <v>1629</v>
      </c>
      <c r="G1601" t="str">
        <f>_xlfn.XLOOKUP(C1601,tblCOA[AccountNo],tblCOA[AccountName],"Unmapped")</f>
        <v>Product Sales</v>
      </c>
      <c r="H1601" t="str">
        <f>_xlfn.XLOOKUP(C1601,tblCOA[AccountNo],tblCOA[Category],"Unmapped")</f>
        <v>Revenue</v>
      </c>
      <c r="I1601" s="4">
        <f t="shared" si="72"/>
        <v>-13124.07</v>
      </c>
      <c r="J1601">
        <f t="shared" si="73"/>
        <v>2026</v>
      </c>
      <c r="K1601" s="5">
        <f t="shared" si="74"/>
        <v>46023</v>
      </c>
    </row>
    <row r="1602" spans="1:11" x14ac:dyDescent="0.25">
      <c r="A1602" t="s">
        <v>2802</v>
      </c>
      <c r="B1602" s="3">
        <v>46045</v>
      </c>
      <c r="C1602">
        <v>1200</v>
      </c>
      <c r="D1602" s="1">
        <v>25548.59</v>
      </c>
      <c r="E1602" s="1">
        <v>0</v>
      </c>
      <c r="F1602" t="s">
        <v>2803</v>
      </c>
      <c r="G1602" t="str">
        <f>_xlfn.XLOOKUP(C1602,tblCOA[AccountNo],tblCOA[AccountName],"Unmapped")</f>
        <v>Accounts Receivable</v>
      </c>
      <c r="H1602" t="str">
        <f>_xlfn.XLOOKUP(C1602,tblCOA[AccountNo],tblCOA[Category],"Unmapped")</f>
        <v>Assets</v>
      </c>
      <c r="I1602" s="4">
        <f t="shared" ref="I1602:I1665" si="75">D1602-E1602</f>
        <v>25548.59</v>
      </c>
      <c r="J1602">
        <f t="shared" ref="J1602:J1665" si="76">YEAR(B1602)</f>
        <v>2026</v>
      </c>
      <c r="K1602" s="5">
        <f t="shared" ref="K1602:K1665" si="77">DATE(YEAR(B1602),MONTH(B1602),1)</f>
        <v>46023</v>
      </c>
    </row>
    <row r="1603" spans="1:11" x14ac:dyDescent="0.25">
      <c r="A1603" t="s">
        <v>2804</v>
      </c>
      <c r="B1603" s="3">
        <v>46045</v>
      </c>
      <c r="C1603">
        <v>4010</v>
      </c>
      <c r="D1603" s="1">
        <v>0</v>
      </c>
      <c r="E1603" s="1">
        <v>25548.59</v>
      </c>
      <c r="F1603" t="s">
        <v>2805</v>
      </c>
      <c r="G1603" t="str">
        <f>_xlfn.XLOOKUP(C1603,tblCOA[AccountNo],tblCOA[AccountName],"Unmapped")</f>
        <v>Product Sales</v>
      </c>
      <c r="H1603" t="str">
        <f>_xlfn.XLOOKUP(C1603,tblCOA[AccountNo],tblCOA[Category],"Unmapped")</f>
        <v>Revenue</v>
      </c>
      <c r="I1603" s="4">
        <f t="shared" si="75"/>
        <v>-25548.59</v>
      </c>
      <c r="J1603">
        <f t="shared" si="76"/>
        <v>2026</v>
      </c>
      <c r="K1603" s="5">
        <f t="shared" si="77"/>
        <v>46023</v>
      </c>
    </row>
    <row r="1604" spans="1:11" x14ac:dyDescent="0.25">
      <c r="A1604" t="s">
        <v>994</v>
      </c>
      <c r="B1604" s="3">
        <v>46045</v>
      </c>
      <c r="C1604">
        <v>1200</v>
      </c>
      <c r="D1604" s="1">
        <v>41371.42</v>
      </c>
      <c r="E1604" s="1">
        <v>0</v>
      </c>
      <c r="F1604" t="s">
        <v>995</v>
      </c>
      <c r="G1604" t="str">
        <f>_xlfn.XLOOKUP(C1604,tblCOA[AccountNo],tblCOA[AccountName],"Unmapped")</f>
        <v>Accounts Receivable</v>
      </c>
      <c r="H1604" t="str">
        <f>_xlfn.XLOOKUP(C1604,tblCOA[AccountNo],tblCOA[Category],"Unmapped")</f>
        <v>Assets</v>
      </c>
      <c r="I1604" s="4">
        <f t="shared" si="75"/>
        <v>41371.42</v>
      </c>
      <c r="J1604">
        <f t="shared" si="76"/>
        <v>2026</v>
      </c>
      <c r="K1604" s="5">
        <f t="shared" si="77"/>
        <v>46023</v>
      </c>
    </row>
    <row r="1605" spans="1:11" x14ac:dyDescent="0.25">
      <c r="A1605" t="s">
        <v>996</v>
      </c>
      <c r="B1605" s="3">
        <v>46045</v>
      </c>
      <c r="C1605">
        <v>4010</v>
      </c>
      <c r="D1605" s="1">
        <v>0</v>
      </c>
      <c r="E1605" s="1">
        <v>41371.42</v>
      </c>
      <c r="F1605" t="s">
        <v>997</v>
      </c>
      <c r="G1605" t="str">
        <f>_xlfn.XLOOKUP(C1605,tblCOA[AccountNo],tblCOA[AccountName],"Unmapped")</f>
        <v>Product Sales</v>
      </c>
      <c r="H1605" t="str">
        <f>_xlfn.XLOOKUP(C1605,tblCOA[AccountNo],tblCOA[Category],"Unmapped")</f>
        <v>Revenue</v>
      </c>
      <c r="I1605" s="4">
        <f t="shared" si="75"/>
        <v>-41371.42</v>
      </c>
      <c r="J1605">
        <f t="shared" si="76"/>
        <v>2026</v>
      </c>
      <c r="K1605" s="5">
        <f t="shared" si="77"/>
        <v>46023</v>
      </c>
    </row>
    <row r="1606" spans="1:11" x14ac:dyDescent="0.25">
      <c r="A1606" t="s">
        <v>2178</v>
      </c>
      <c r="B1606" s="3">
        <v>46046</v>
      </c>
      <c r="C1606">
        <v>1200</v>
      </c>
      <c r="D1606" s="1">
        <v>27759.49</v>
      </c>
      <c r="E1606" s="1">
        <v>0</v>
      </c>
      <c r="F1606" t="s">
        <v>2179</v>
      </c>
      <c r="G1606" t="str">
        <f>_xlfn.XLOOKUP(C1606,tblCOA[AccountNo],tblCOA[AccountName],"Unmapped")</f>
        <v>Accounts Receivable</v>
      </c>
      <c r="H1606" t="str">
        <f>_xlfn.XLOOKUP(C1606,tblCOA[AccountNo],tblCOA[Category],"Unmapped")</f>
        <v>Assets</v>
      </c>
      <c r="I1606" s="4">
        <f t="shared" si="75"/>
        <v>27759.49</v>
      </c>
      <c r="J1606">
        <f t="shared" si="76"/>
        <v>2026</v>
      </c>
      <c r="K1606" s="5">
        <f t="shared" si="77"/>
        <v>46023</v>
      </c>
    </row>
    <row r="1607" spans="1:11" x14ac:dyDescent="0.25">
      <c r="A1607" t="s">
        <v>2180</v>
      </c>
      <c r="B1607" s="3">
        <v>46046</v>
      </c>
      <c r="C1607">
        <v>4010</v>
      </c>
      <c r="D1607" s="1">
        <v>0</v>
      </c>
      <c r="E1607" s="1">
        <v>27759.49</v>
      </c>
      <c r="F1607" t="s">
        <v>2181</v>
      </c>
      <c r="G1607" t="str">
        <f>_xlfn.XLOOKUP(C1607,tblCOA[AccountNo],tblCOA[AccountName],"Unmapped")</f>
        <v>Product Sales</v>
      </c>
      <c r="H1607" t="str">
        <f>_xlfn.XLOOKUP(C1607,tblCOA[AccountNo],tblCOA[Category],"Unmapped")</f>
        <v>Revenue</v>
      </c>
      <c r="I1607" s="4">
        <f t="shared" si="75"/>
        <v>-27759.49</v>
      </c>
      <c r="J1607">
        <f t="shared" si="76"/>
        <v>2026</v>
      </c>
      <c r="K1607" s="5">
        <f t="shared" si="77"/>
        <v>46023</v>
      </c>
    </row>
    <row r="1608" spans="1:11" x14ac:dyDescent="0.25">
      <c r="A1608" t="s">
        <v>1510</v>
      </c>
      <c r="B1608" s="3">
        <v>46046</v>
      </c>
      <c r="C1608">
        <v>5010</v>
      </c>
      <c r="D1608" s="1">
        <v>13575.18</v>
      </c>
      <c r="E1608" s="1">
        <v>0</v>
      </c>
      <c r="F1608" t="s">
        <v>1511</v>
      </c>
      <c r="G1608" t="str">
        <f>_xlfn.XLOOKUP(C1608,tblCOA[AccountNo],tblCOA[AccountName],"Unmapped")</f>
        <v>Cost of Goods Sold</v>
      </c>
      <c r="H1608" t="str">
        <f>_xlfn.XLOOKUP(C1608,tblCOA[AccountNo],tblCOA[Category],"Unmapped")</f>
        <v>Expenses</v>
      </c>
      <c r="I1608" s="4">
        <f t="shared" si="75"/>
        <v>13575.18</v>
      </c>
      <c r="J1608">
        <f t="shared" si="76"/>
        <v>2026</v>
      </c>
      <c r="K1608" s="5">
        <f t="shared" si="77"/>
        <v>46023</v>
      </c>
    </row>
    <row r="1609" spans="1:11" x14ac:dyDescent="0.25">
      <c r="A1609" t="s">
        <v>1512</v>
      </c>
      <c r="B1609" s="3">
        <v>46046</v>
      </c>
      <c r="C1609">
        <v>2010</v>
      </c>
      <c r="D1609" s="1">
        <v>0</v>
      </c>
      <c r="E1609" s="1">
        <v>13575.18</v>
      </c>
      <c r="F1609" t="s">
        <v>1513</v>
      </c>
      <c r="G1609" t="str">
        <f>_xlfn.XLOOKUP(C1609,tblCOA[AccountNo],tblCOA[AccountName],"Unmapped")</f>
        <v>Accounts Payable</v>
      </c>
      <c r="H1609" t="str">
        <f>_xlfn.XLOOKUP(C1609,tblCOA[AccountNo],tblCOA[Category],"Unmapped")</f>
        <v>Liabilities</v>
      </c>
      <c r="I1609" s="4">
        <f t="shared" si="75"/>
        <v>-13575.18</v>
      </c>
      <c r="J1609">
        <f t="shared" si="76"/>
        <v>2026</v>
      </c>
      <c r="K1609" s="5">
        <f t="shared" si="77"/>
        <v>46023</v>
      </c>
    </row>
    <row r="1610" spans="1:11" x14ac:dyDescent="0.25">
      <c r="A1610" t="s">
        <v>1246</v>
      </c>
      <c r="B1610" s="3">
        <v>46048</v>
      </c>
      <c r="C1610">
        <v>5010</v>
      </c>
      <c r="D1610" s="1">
        <v>18221.349999999999</v>
      </c>
      <c r="E1610" s="1">
        <v>0</v>
      </c>
      <c r="F1610" t="s">
        <v>1247</v>
      </c>
      <c r="G1610" t="str">
        <f>_xlfn.XLOOKUP(C1610,tblCOA[AccountNo],tblCOA[AccountName],"Unmapped")</f>
        <v>Cost of Goods Sold</v>
      </c>
      <c r="H1610" t="str">
        <f>_xlfn.XLOOKUP(C1610,tblCOA[AccountNo],tblCOA[Category],"Unmapped")</f>
        <v>Expenses</v>
      </c>
      <c r="I1610" s="4">
        <f t="shared" si="75"/>
        <v>18221.349999999999</v>
      </c>
      <c r="J1610">
        <f t="shared" si="76"/>
        <v>2026</v>
      </c>
      <c r="K1610" s="5">
        <f t="shared" si="77"/>
        <v>46023</v>
      </c>
    </row>
    <row r="1611" spans="1:11" x14ac:dyDescent="0.25">
      <c r="A1611" t="s">
        <v>1248</v>
      </c>
      <c r="B1611" s="3">
        <v>46048</v>
      </c>
      <c r="C1611">
        <v>2010</v>
      </c>
      <c r="D1611" s="1">
        <v>0</v>
      </c>
      <c r="E1611" s="1">
        <v>18221.349999999999</v>
      </c>
      <c r="F1611" t="s">
        <v>1249</v>
      </c>
      <c r="G1611" t="str">
        <f>_xlfn.XLOOKUP(C1611,tblCOA[AccountNo],tblCOA[AccountName],"Unmapped")</f>
        <v>Accounts Payable</v>
      </c>
      <c r="H1611" t="str">
        <f>_xlfn.XLOOKUP(C1611,tblCOA[AccountNo],tblCOA[Category],"Unmapped")</f>
        <v>Liabilities</v>
      </c>
      <c r="I1611" s="4">
        <f t="shared" si="75"/>
        <v>-18221.349999999999</v>
      </c>
      <c r="J1611">
        <f t="shared" si="76"/>
        <v>2026</v>
      </c>
      <c r="K1611" s="5">
        <f t="shared" si="77"/>
        <v>46023</v>
      </c>
    </row>
    <row r="1612" spans="1:11" x14ac:dyDescent="0.25">
      <c r="A1612" t="s">
        <v>1422</v>
      </c>
      <c r="B1612" s="3">
        <v>46049</v>
      </c>
      <c r="C1612">
        <v>5010</v>
      </c>
      <c r="D1612" s="1">
        <v>17113.55</v>
      </c>
      <c r="E1612" s="1">
        <v>0</v>
      </c>
      <c r="F1612" t="s">
        <v>1423</v>
      </c>
      <c r="G1612" t="str">
        <f>_xlfn.XLOOKUP(C1612,tblCOA[AccountNo],tblCOA[AccountName],"Unmapped")</f>
        <v>Cost of Goods Sold</v>
      </c>
      <c r="H1612" t="str">
        <f>_xlfn.XLOOKUP(C1612,tblCOA[AccountNo],tblCOA[Category],"Unmapped")</f>
        <v>Expenses</v>
      </c>
      <c r="I1612" s="4">
        <f t="shared" si="75"/>
        <v>17113.55</v>
      </c>
      <c r="J1612">
        <f t="shared" si="76"/>
        <v>2026</v>
      </c>
      <c r="K1612" s="5">
        <f t="shared" si="77"/>
        <v>46023</v>
      </c>
    </row>
    <row r="1613" spans="1:11" x14ac:dyDescent="0.25">
      <c r="A1613" t="s">
        <v>1424</v>
      </c>
      <c r="B1613" s="3">
        <v>46049</v>
      </c>
      <c r="C1613">
        <v>2010</v>
      </c>
      <c r="D1613" s="1">
        <v>0</v>
      </c>
      <c r="E1613" s="1">
        <v>17113.55</v>
      </c>
      <c r="F1613" t="s">
        <v>1425</v>
      </c>
      <c r="G1613" t="str">
        <f>_xlfn.XLOOKUP(C1613,tblCOA[AccountNo],tblCOA[AccountName],"Unmapped")</f>
        <v>Accounts Payable</v>
      </c>
      <c r="H1613" t="str">
        <f>_xlfn.XLOOKUP(C1613,tblCOA[AccountNo],tblCOA[Category],"Unmapped")</f>
        <v>Liabilities</v>
      </c>
      <c r="I1613" s="4">
        <f t="shared" si="75"/>
        <v>-17113.55</v>
      </c>
      <c r="J1613">
        <f t="shared" si="76"/>
        <v>2026</v>
      </c>
      <c r="K1613" s="5">
        <f t="shared" si="77"/>
        <v>46023</v>
      </c>
    </row>
    <row r="1614" spans="1:11" x14ac:dyDescent="0.25">
      <c r="A1614" t="s">
        <v>2786</v>
      </c>
      <c r="B1614" s="3">
        <v>46051</v>
      </c>
      <c r="C1614">
        <v>1200</v>
      </c>
      <c r="D1614" s="1">
        <v>16636.05</v>
      </c>
      <c r="E1614" s="1">
        <v>0</v>
      </c>
      <c r="F1614" t="s">
        <v>2787</v>
      </c>
      <c r="G1614" t="str">
        <f>_xlfn.XLOOKUP(C1614,tblCOA[AccountNo],tblCOA[AccountName],"Unmapped")</f>
        <v>Accounts Receivable</v>
      </c>
      <c r="H1614" t="str">
        <f>_xlfn.XLOOKUP(C1614,tblCOA[AccountNo],tblCOA[Category],"Unmapped")</f>
        <v>Assets</v>
      </c>
      <c r="I1614" s="4">
        <f t="shared" si="75"/>
        <v>16636.05</v>
      </c>
      <c r="J1614">
        <f t="shared" si="76"/>
        <v>2026</v>
      </c>
      <c r="K1614" s="5">
        <f t="shared" si="77"/>
        <v>46023</v>
      </c>
    </row>
    <row r="1615" spans="1:11" x14ac:dyDescent="0.25">
      <c r="A1615" t="s">
        <v>2788</v>
      </c>
      <c r="B1615" s="3">
        <v>46051</v>
      </c>
      <c r="C1615">
        <v>4010</v>
      </c>
      <c r="D1615" s="1">
        <v>0</v>
      </c>
      <c r="E1615" s="1">
        <v>16636.05</v>
      </c>
      <c r="F1615" t="s">
        <v>2789</v>
      </c>
      <c r="G1615" t="str">
        <f>_xlfn.XLOOKUP(C1615,tblCOA[AccountNo],tblCOA[AccountName],"Unmapped")</f>
        <v>Product Sales</v>
      </c>
      <c r="H1615" t="str">
        <f>_xlfn.XLOOKUP(C1615,tblCOA[AccountNo],tblCOA[Category],"Unmapped")</f>
        <v>Revenue</v>
      </c>
      <c r="I1615" s="4">
        <f t="shared" si="75"/>
        <v>-16636.05</v>
      </c>
      <c r="J1615">
        <f t="shared" si="76"/>
        <v>2026</v>
      </c>
      <c r="K1615" s="5">
        <f t="shared" si="77"/>
        <v>46023</v>
      </c>
    </row>
    <row r="1616" spans="1:11" x14ac:dyDescent="0.25">
      <c r="A1616" t="s">
        <v>42</v>
      </c>
      <c r="B1616" s="3">
        <v>46053</v>
      </c>
      <c r="C1616">
        <v>1200</v>
      </c>
      <c r="D1616" s="1">
        <v>5567.16</v>
      </c>
      <c r="E1616" s="1">
        <v>0</v>
      </c>
      <c r="F1616" t="s">
        <v>43</v>
      </c>
      <c r="G1616" t="str">
        <f>_xlfn.XLOOKUP(C1616,tblCOA[AccountNo],tblCOA[AccountName],"Unmapped")</f>
        <v>Accounts Receivable</v>
      </c>
      <c r="H1616" t="str">
        <f>_xlfn.XLOOKUP(C1616,tblCOA[AccountNo],tblCOA[Category],"Unmapped")</f>
        <v>Assets</v>
      </c>
      <c r="I1616" s="4">
        <f t="shared" si="75"/>
        <v>5567.16</v>
      </c>
      <c r="J1616">
        <f t="shared" si="76"/>
        <v>2026</v>
      </c>
      <c r="K1616" s="5">
        <f t="shared" si="77"/>
        <v>46023</v>
      </c>
    </row>
    <row r="1617" spans="1:11" x14ac:dyDescent="0.25">
      <c r="A1617" t="s">
        <v>44</v>
      </c>
      <c r="B1617" s="3">
        <v>46053</v>
      </c>
      <c r="C1617">
        <v>4010</v>
      </c>
      <c r="D1617" s="1">
        <v>0</v>
      </c>
      <c r="E1617" s="1">
        <v>5567.16</v>
      </c>
      <c r="F1617" t="s">
        <v>45</v>
      </c>
      <c r="G1617" t="str">
        <f>_xlfn.XLOOKUP(C1617,tblCOA[AccountNo],tblCOA[AccountName],"Unmapped")</f>
        <v>Product Sales</v>
      </c>
      <c r="H1617" t="str">
        <f>_xlfn.XLOOKUP(C1617,tblCOA[AccountNo],tblCOA[Category],"Unmapped")</f>
        <v>Revenue</v>
      </c>
      <c r="I1617" s="4">
        <f t="shared" si="75"/>
        <v>-5567.16</v>
      </c>
      <c r="J1617">
        <f t="shared" si="76"/>
        <v>2026</v>
      </c>
      <c r="K1617" s="5">
        <f t="shared" si="77"/>
        <v>46023</v>
      </c>
    </row>
    <row r="1618" spans="1:11" x14ac:dyDescent="0.25">
      <c r="A1618" t="s">
        <v>102</v>
      </c>
      <c r="B1618" s="3">
        <v>46055</v>
      </c>
      <c r="C1618">
        <v>5010</v>
      </c>
      <c r="D1618" s="1">
        <v>13580.31</v>
      </c>
      <c r="E1618" s="1">
        <v>0</v>
      </c>
      <c r="F1618" t="s">
        <v>103</v>
      </c>
      <c r="G1618" t="str">
        <f>_xlfn.XLOOKUP(C1618,tblCOA[AccountNo],tblCOA[AccountName],"Unmapped")</f>
        <v>Cost of Goods Sold</v>
      </c>
      <c r="H1618" t="str">
        <f>_xlfn.XLOOKUP(C1618,tblCOA[AccountNo],tblCOA[Category],"Unmapped")</f>
        <v>Expenses</v>
      </c>
      <c r="I1618" s="4">
        <f t="shared" si="75"/>
        <v>13580.31</v>
      </c>
      <c r="J1618">
        <f t="shared" si="76"/>
        <v>2026</v>
      </c>
      <c r="K1618" s="5">
        <f t="shared" si="77"/>
        <v>46054</v>
      </c>
    </row>
    <row r="1619" spans="1:11" x14ac:dyDescent="0.25">
      <c r="A1619" t="s">
        <v>104</v>
      </c>
      <c r="B1619" s="3">
        <v>46055</v>
      </c>
      <c r="C1619">
        <v>2010</v>
      </c>
      <c r="D1619" s="1">
        <v>0</v>
      </c>
      <c r="E1619" s="1">
        <v>13580.31</v>
      </c>
      <c r="F1619" t="s">
        <v>105</v>
      </c>
      <c r="G1619" t="str">
        <f>_xlfn.XLOOKUP(C1619,tblCOA[AccountNo],tblCOA[AccountName],"Unmapped")</f>
        <v>Accounts Payable</v>
      </c>
      <c r="H1619" t="str">
        <f>_xlfn.XLOOKUP(C1619,tblCOA[AccountNo],tblCOA[Category],"Unmapped")</f>
        <v>Liabilities</v>
      </c>
      <c r="I1619" s="4">
        <f t="shared" si="75"/>
        <v>-13580.31</v>
      </c>
      <c r="J1619">
        <f t="shared" si="76"/>
        <v>2026</v>
      </c>
      <c r="K1619" s="5">
        <f t="shared" si="77"/>
        <v>46054</v>
      </c>
    </row>
    <row r="1620" spans="1:11" x14ac:dyDescent="0.25">
      <c r="A1620" t="s">
        <v>58</v>
      </c>
      <c r="B1620" s="3">
        <v>46057</v>
      </c>
      <c r="C1620">
        <v>1200</v>
      </c>
      <c r="D1620" s="1">
        <v>40526.99</v>
      </c>
      <c r="E1620" s="1">
        <v>0</v>
      </c>
      <c r="F1620" t="s">
        <v>59</v>
      </c>
      <c r="G1620" t="str">
        <f>_xlfn.XLOOKUP(C1620,tblCOA[AccountNo],tblCOA[AccountName],"Unmapped")</f>
        <v>Accounts Receivable</v>
      </c>
      <c r="H1620" t="str">
        <f>_xlfn.XLOOKUP(C1620,tblCOA[AccountNo],tblCOA[Category],"Unmapped")</f>
        <v>Assets</v>
      </c>
      <c r="I1620" s="4">
        <f t="shared" si="75"/>
        <v>40526.99</v>
      </c>
      <c r="J1620">
        <f t="shared" si="76"/>
        <v>2026</v>
      </c>
      <c r="K1620" s="5">
        <f t="shared" si="77"/>
        <v>46054</v>
      </c>
    </row>
    <row r="1621" spans="1:11" x14ac:dyDescent="0.25">
      <c r="A1621" t="s">
        <v>60</v>
      </c>
      <c r="B1621" s="3">
        <v>46057</v>
      </c>
      <c r="C1621">
        <v>4010</v>
      </c>
      <c r="D1621" s="1">
        <v>0</v>
      </c>
      <c r="E1621" s="1">
        <v>40526.99</v>
      </c>
      <c r="F1621" t="s">
        <v>61</v>
      </c>
      <c r="G1621" t="str">
        <f>_xlfn.XLOOKUP(C1621,tblCOA[AccountNo],tblCOA[AccountName],"Unmapped")</f>
        <v>Product Sales</v>
      </c>
      <c r="H1621" t="str">
        <f>_xlfn.XLOOKUP(C1621,tblCOA[AccountNo],tblCOA[Category],"Unmapped")</f>
        <v>Revenue</v>
      </c>
      <c r="I1621" s="4">
        <f t="shared" si="75"/>
        <v>-40526.99</v>
      </c>
      <c r="J1621">
        <f t="shared" si="76"/>
        <v>2026</v>
      </c>
      <c r="K1621" s="5">
        <f t="shared" si="77"/>
        <v>46054</v>
      </c>
    </row>
    <row r="1622" spans="1:11" x14ac:dyDescent="0.25">
      <c r="A1622" t="s">
        <v>3066</v>
      </c>
      <c r="B1622" s="3">
        <v>46059</v>
      </c>
      <c r="C1622">
        <v>1200</v>
      </c>
      <c r="D1622" s="1">
        <v>37888.92</v>
      </c>
      <c r="E1622" s="1">
        <v>0</v>
      </c>
      <c r="F1622" t="s">
        <v>3067</v>
      </c>
      <c r="G1622" t="str">
        <f>_xlfn.XLOOKUP(C1622,tblCOA[AccountNo],tblCOA[AccountName],"Unmapped")</f>
        <v>Accounts Receivable</v>
      </c>
      <c r="H1622" t="str">
        <f>_xlfn.XLOOKUP(C1622,tblCOA[AccountNo],tblCOA[Category],"Unmapped")</f>
        <v>Assets</v>
      </c>
      <c r="I1622" s="4">
        <f t="shared" si="75"/>
        <v>37888.92</v>
      </c>
      <c r="J1622">
        <f t="shared" si="76"/>
        <v>2026</v>
      </c>
      <c r="K1622" s="5">
        <f t="shared" si="77"/>
        <v>46054</v>
      </c>
    </row>
    <row r="1623" spans="1:11" x14ac:dyDescent="0.25">
      <c r="A1623" t="s">
        <v>3068</v>
      </c>
      <c r="B1623" s="3">
        <v>46059</v>
      </c>
      <c r="C1623">
        <v>4010</v>
      </c>
      <c r="D1623" s="1">
        <v>0</v>
      </c>
      <c r="E1623" s="1">
        <v>37888.92</v>
      </c>
      <c r="F1623" t="s">
        <v>3069</v>
      </c>
      <c r="G1623" t="str">
        <f>_xlfn.XLOOKUP(C1623,tblCOA[AccountNo],tblCOA[AccountName],"Unmapped")</f>
        <v>Product Sales</v>
      </c>
      <c r="H1623" t="str">
        <f>_xlfn.XLOOKUP(C1623,tblCOA[AccountNo],tblCOA[Category],"Unmapped")</f>
        <v>Revenue</v>
      </c>
      <c r="I1623" s="4">
        <f t="shared" si="75"/>
        <v>-37888.92</v>
      </c>
      <c r="J1623">
        <f t="shared" si="76"/>
        <v>2026</v>
      </c>
      <c r="K1623" s="5">
        <f t="shared" si="77"/>
        <v>46054</v>
      </c>
    </row>
    <row r="1624" spans="1:11" x14ac:dyDescent="0.25">
      <c r="A1624" t="s">
        <v>2210</v>
      </c>
      <c r="B1624" s="3">
        <v>46060</v>
      </c>
      <c r="C1624">
        <v>1200</v>
      </c>
      <c r="D1624" s="1">
        <v>20406.82</v>
      </c>
      <c r="E1624" s="1">
        <v>0</v>
      </c>
      <c r="F1624" t="s">
        <v>2211</v>
      </c>
      <c r="G1624" t="str">
        <f>_xlfn.XLOOKUP(C1624,tblCOA[AccountNo],tblCOA[AccountName],"Unmapped")</f>
        <v>Accounts Receivable</v>
      </c>
      <c r="H1624" t="str">
        <f>_xlfn.XLOOKUP(C1624,tblCOA[AccountNo],tblCOA[Category],"Unmapped")</f>
        <v>Assets</v>
      </c>
      <c r="I1624" s="4">
        <f t="shared" si="75"/>
        <v>20406.82</v>
      </c>
      <c r="J1624">
        <f t="shared" si="76"/>
        <v>2026</v>
      </c>
      <c r="K1624" s="5">
        <f t="shared" si="77"/>
        <v>46054</v>
      </c>
    </row>
    <row r="1625" spans="1:11" x14ac:dyDescent="0.25">
      <c r="A1625" t="s">
        <v>2212</v>
      </c>
      <c r="B1625" s="3">
        <v>46060</v>
      </c>
      <c r="C1625">
        <v>4010</v>
      </c>
      <c r="D1625" s="1">
        <v>0</v>
      </c>
      <c r="E1625" s="1">
        <v>20406.82</v>
      </c>
      <c r="F1625" t="s">
        <v>2213</v>
      </c>
      <c r="G1625" t="str">
        <f>_xlfn.XLOOKUP(C1625,tblCOA[AccountNo],tblCOA[AccountName],"Unmapped")</f>
        <v>Product Sales</v>
      </c>
      <c r="H1625" t="str">
        <f>_xlfn.XLOOKUP(C1625,tblCOA[AccountNo],tblCOA[Category],"Unmapped")</f>
        <v>Revenue</v>
      </c>
      <c r="I1625" s="4">
        <f t="shared" si="75"/>
        <v>-20406.82</v>
      </c>
      <c r="J1625">
        <f t="shared" si="76"/>
        <v>2026</v>
      </c>
      <c r="K1625" s="5">
        <f t="shared" si="77"/>
        <v>46054</v>
      </c>
    </row>
    <row r="1626" spans="1:11" x14ac:dyDescent="0.25">
      <c r="A1626" t="s">
        <v>2046</v>
      </c>
      <c r="B1626" s="3">
        <v>46061</v>
      </c>
      <c r="C1626">
        <v>5010</v>
      </c>
      <c r="D1626" s="1">
        <v>9417.42</v>
      </c>
      <c r="E1626" s="1">
        <v>0</v>
      </c>
      <c r="F1626" t="s">
        <v>2047</v>
      </c>
      <c r="G1626" t="str">
        <f>_xlfn.XLOOKUP(C1626,tblCOA[AccountNo],tblCOA[AccountName],"Unmapped")</f>
        <v>Cost of Goods Sold</v>
      </c>
      <c r="H1626" t="str">
        <f>_xlfn.XLOOKUP(C1626,tblCOA[AccountNo],tblCOA[Category],"Unmapped")</f>
        <v>Expenses</v>
      </c>
      <c r="I1626" s="4">
        <f t="shared" si="75"/>
        <v>9417.42</v>
      </c>
      <c r="J1626">
        <f t="shared" si="76"/>
        <v>2026</v>
      </c>
      <c r="K1626" s="5">
        <f t="shared" si="77"/>
        <v>46054</v>
      </c>
    </row>
    <row r="1627" spans="1:11" x14ac:dyDescent="0.25">
      <c r="A1627" t="s">
        <v>2048</v>
      </c>
      <c r="B1627" s="3">
        <v>46061</v>
      </c>
      <c r="C1627">
        <v>2010</v>
      </c>
      <c r="D1627" s="1">
        <v>0</v>
      </c>
      <c r="E1627" s="1">
        <v>9417.42</v>
      </c>
      <c r="F1627" t="s">
        <v>2049</v>
      </c>
      <c r="G1627" t="str">
        <f>_xlfn.XLOOKUP(C1627,tblCOA[AccountNo],tblCOA[AccountName],"Unmapped")</f>
        <v>Accounts Payable</v>
      </c>
      <c r="H1627" t="str">
        <f>_xlfn.XLOOKUP(C1627,tblCOA[AccountNo],tblCOA[Category],"Unmapped")</f>
        <v>Liabilities</v>
      </c>
      <c r="I1627" s="4">
        <f t="shared" si="75"/>
        <v>-9417.42</v>
      </c>
      <c r="J1627">
        <f t="shared" si="76"/>
        <v>2026</v>
      </c>
      <c r="K1627" s="5">
        <f t="shared" si="77"/>
        <v>46054</v>
      </c>
    </row>
    <row r="1628" spans="1:11" x14ac:dyDescent="0.25">
      <c r="A1628" t="s">
        <v>1958</v>
      </c>
      <c r="B1628" s="3">
        <v>46063</v>
      </c>
      <c r="C1628">
        <v>5010</v>
      </c>
      <c r="D1628" s="1">
        <v>5005.8900000000003</v>
      </c>
      <c r="E1628" s="1">
        <v>0</v>
      </c>
      <c r="F1628" t="s">
        <v>1959</v>
      </c>
      <c r="G1628" t="str">
        <f>_xlfn.XLOOKUP(C1628,tblCOA[AccountNo],tblCOA[AccountName],"Unmapped")</f>
        <v>Cost of Goods Sold</v>
      </c>
      <c r="H1628" t="str">
        <f>_xlfn.XLOOKUP(C1628,tblCOA[AccountNo],tblCOA[Category],"Unmapped")</f>
        <v>Expenses</v>
      </c>
      <c r="I1628" s="4">
        <f t="shared" si="75"/>
        <v>5005.8900000000003</v>
      </c>
      <c r="J1628">
        <f t="shared" si="76"/>
        <v>2026</v>
      </c>
      <c r="K1628" s="5">
        <f t="shared" si="77"/>
        <v>46054</v>
      </c>
    </row>
    <row r="1629" spans="1:11" x14ac:dyDescent="0.25">
      <c r="A1629" t="s">
        <v>1960</v>
      </c>
      <c r="B1629" s="3">
        <v>46063</v>
      </c>
      <c r="C1629">
        <v>2010</v>
      </c>
      <c r="D1629" s="1">
        <v>0</v>
      </c>
      <c r="E1629" s="1">
        <v>5005.8900000000003</v>
      </c>
      <c r="F1629" t="s">
        <v>1961</v>
      </c>
      <c r="G1629" t="str">
        <f>_xlfn.XLOOKUP(C1629,tblCOA[AccountNo],tblCOA[AccountName],"Unmapped")</f>
        <v>Accounts Payable</v>
      </c>
      <c r="H1629" t="str">
        <f>_xlfn.XLOOKUP(C1629,tblCOA[AccountNo],tblCOA[Category],"Unmapped")</f>
        <v>Liabilities</v>
      </c>
      <c r="I1629" s="4">
        <f t="shared" si="75"/>
        <v>-5005.8900000000003</v>
      </c>
      <c r="J1629">
        <f t="shared" si="76"/>
        <v>2026</v>
      </c>
      <c r="K1629" s="5">
        <f t="shared" si="77"/>
        <v>46054</v>
      </c>
    </row>
    <row r="1630" spans="1:11" x14ac:dyDescent="0.25">
      <c r="A1630" t="s">
        <v>1214</v>
      </c>
      <c r="B1630" s="3">
        <v>46065</v>
      </c>
      <c r="C1630">
        <v>5010</v>
      </c>
      <c r="D1630" s="1">
        <v>8139.08</v>
      </c>
      <c r="E1630" s="1">
        <v>0</v>
      </c>
      <c r="F1630" t="s">
        <v>1215</v>
      </c>
      <c r="G1630" t="str">
        <f>_xlfn.XLOOKUP(C1630,tblCOA[AccountNo],tblCOA[AccountName],"Unmapped")</f>
        <v>Cost of Goods Sold</v>
      </c>
      <c r="H1630" t="str">
        <f>_xlfn.XLOOKUP(C1630,tblCOA[AccountNo],tblCOA[Category],"Unmapped")</f>
        <v>Expenses</v>
      </c>
      <c r="I1630" s="4">
        <f t="shared" si="75"/>
        <v>8139.08</v>
      </c>
      <c r="J1630">
        <f t="shared" si="76"/>
        <v>2026</v>
      </c>
      <c r="K1630" s="5">
        <f t="shared" si="77"/>
        <v>46054</v>
      </c>
    </row>
    <row r="1631" spans="1:11" x14ac:dyDescent="0.25">
      <c r="A1631" t="s">
        <v>1216</v>
      </c>
      <c r="B1631" s="3">
        <v>46065</v>
      </c>
      <c r="C1631">
        <v>2010</v>
      </c>
      <c r="D1631" s="1">
        <v>0</v>
      </c>
      <c r="E1631" s="1">
        <v>8139.08</v>
      </c>
      <c r="F1631" t="s">
        <v>1217</v>
      </c>
      <c r="G1631" t="str">
        <f>_xlfn.XLOOKUP(C1631,tblCOA[AccountNo],tblCOA[AccountName],"Unmapped")</f>
        <v>Accounts Payable</v>
      </c>
      <c r="H1631" t="str">
        <f>_xlfn.XLOOKUP(C1631,tblCOA[AccountNo],tblCOA[Category],"Unmapped")</f>
        <v>Liabilities</v>
      </c>
      <c r="I1631" s="4">
        <f t="shared" si="75"/>
        <v>-8139.08</v>
      </c>
      <c r="J1631">
        <f t="shared" si="76"/>
        <v>2026</v>
      </c>
      <c r="K1631" s="5">
        <f t="shared" si="77"/>
        <v>46054</v>
      </c>
    </row>
    <row r="1632" spans="1:11" x14ac:dyDescent="0.25">
      <c r="A1632" t="s">
        <v>3178</v>
      </c>
      <c r="B1632" s="3">
        <v>46067</v>
      </c>
      <c r="C1632">
        <v>1200</v>
      </c>
      <c r="D1632" s="1">
        <v>24041.94</v>
      </c>
      <c r="E1632" s="1">
        <v>0</v>
      </c>
      <c r="F1632" t="s">
        <v>3179</v>
      </c>
      <c r="G1632" t="str">
        <f>_xlfn.XLOOKUP(C1632,tblCOA[AccountNo],tblCOA[AccountName],"Unmapped")</f>
        <v>Accounts Receivable</v>
      </c>
      <c r="H1632" t="str">
        <f>_xlfn.XLOOKUP(C1632,tblCOA[AccountNo],tblCOA[Category],"Unmapped")</f>
        <v>Assets</v>
      </c>
      <c r="I1632" s="4">
        <f t="shared" si="75"/>
        <v>24041.94</v>
      </c>
      <c r="J1632">
        <f t="shared" si="76"/>
        <v>2026</v>
      </c>
      <c r="K1632" s="5">
        <f t="shared" si="77"/>
        <v>46054</v>
      </c>
    </row>
    <row r="1633" spans="1:11" x14ac:dyDescent="0.25">
      <c r="A1633" t="s">
        <v>3180</v>
      </c>
      <c r="B1633" s="3">
        <v>46067</v>
      </c>
      <c r="C1633">
        <v>4010</v>
      </c>
      <c r="D1633" s="1">
        <v>0</v>
      </c>
      <c r="E1633" s="1">
        <v>24041.94</v>
      </c>
      <c r="F1633" t="s">
        <v>3181</v>
      </c>
      <c r="G1633" t="str">
        <f>_xlfn.XLOOKUP(C1633,tblCOA[AccountNo],tblCOA[AccountName],"Unmapped")</f>
        <v>Product Sales</v>
      </c>
      <c r="H1633" t="str">
        <f>_xlfn.XLOOKUP(C1633,tblCOA[AccountNo],tblCOA[Category],"Unmapped")</f>
        <v>Revenue</v>
      </c>
      <c r="I1633" s="4">
        <f t="shared" si="75"/>
        <v>-24041.94</v>
      </c>
      <c r="J1633">
        <f t="shared" si="76"/>
        <v>2026</v>
      </c>
      <c r="K1633" s="5">
        <f t="shared" si="77"/>
        <v>46054</v>
      </c>
    </row>
    <row r="1634" spans="1:11" x14ac:dyDescent="0.25">
      <c r="A1634" t="s">
        <v>3086</v>
      </c>
      <c r="B1634" s="3">
        <v>46069</v>
      </c>
      <c r="C1634">
        <v>5010</v>
      </c>
      <c r="D1634" s="1">
        <v>8360.5499999999993</v>
      </c>
      <c r="E1634" s="1">
        <v>0</v>
      </c>
      <c r="F1634" t="s">
        <v>3087</v>
      </c>
      <c r="G1634" t="str">
        <f>_xlfn.XLOOKUP(C1634,tblCOA[AccountNo],tblCOA[AccountName],"Unmapped")</f>
        <v>Cost of Goods Sold</v>
      </c>
      <c r="H1634" t="str">
        <f>_xlfn.XLOOKUP(C1634,tblCOA[AccountNo],tblCOA[Category],"Unmapped")</f>
        <v>Expenses</v>
      </c>
      <c r="I1634" s="4">
        <f t="shared" si="75"/>
        <v>8360.5499999999993</v>
      </c>
      <c r="J1634">
        <f t="shared" si="76"/>
        <v>2026</v>
      </c>
      <c r="K1634" s="5">
        <f t="shared" si="77"/>
        <v>46054</v>
      </c>
    </row>
    <row r="1635" spans="1:11" x14ac:dyDescent="0.25">
      <c r="A1635" t="s">
        <v>3088</v>
      </c>
      <c r="B1635" s="3">
        <v>46069</v>
      </c>
      <c r="C1635">
        <v>2010</v>
      </c>
      <c r="D1635" s="1">
        <v>0</v>
      </c>
      <c r="E1635" s="1">
        <v>8360.5499999999993</v>
      </c>
      <c r="F1635" t="s">
        <v>3089</v>
      </c>
      <c r="G1635" t="str">
        <f>_xlfn.XLOOKUP(C1635,tblCOA[AccountNo],tblCOA[AccountName],"Unmapped")</f>
        <v>Accounts Payable</v>
      </c>
      <c r="H1635" t="str">
        <f>_xlfn.XLOOKUP(C1635,tblCOA[AccountNo],tblCOA[Category],"Unmapped")</f>
        <v>Liabilities</v>
      </c>
      <c r="I1635" s="4">
        <f t="shared" si="75"/>
        <v>-8360.5499999999993</v>
      </c>
      <c r="J1635">
        <f t="shared" si="76"/>
        <v>2026</v>
      </c>
      <c r="K1635" s="5">
        <f t="shared" si="77"/>
        <v>46054</v>
      </c>
    </row>
    <row r="1636" spans="1:11" x14ac:dyDescent="0.25">
      <c r="A1636" t="s">
        <v>70</v>
      </c>
      <c r="B1636" s="3">
        <v>46071</v>
      </c>
      <c r="C1636">
        <v>5010</v>
      </c>
      <c r="D1636" s="1">
        <v>2407.17</v>
      </c>
      <c r="E1636" s="1">
        <v>0</v>
      </c>
      <c r="F1636" t="s">
        <v>71</v>
      </c>
      <c r="G1636" t="str">
        <f>_xlfn.XLOOKUP(C1636,tblCOA[AccountNo],tblCOA[AccountName],"Unmapped")</f>
        <v>Cost of Goods Sold</v>
      </c>
      <c r="H1636" t="str">
        <f>_xlfn.XLOOKUP(C1636,tblCOA[AccountNo],tblCOA[Category],"Unmapped")</f>
        <v>Expenses</v>
      </c>
      <c r="I1636" s="4">
        <f t="shared" si="75"/>
        <v>2407.17</v>
      </c>
      <c r="J1636">
        <f t="shared" si="76"/>
        <v>2026</v>
      </c>
      <c r="K1636" s="5">
        <f t="shared" si="77"/>
        <v>46054</v>
      </c>
    </row>
    <row r="1637" spans="1:11" x14ac:dyDescent="0.25">
      <c r="A1637" t="s">
        <v>72</v>
      </c>
      <c r="B1637" s="3">
        <v>46071</v>
      </c>
      <c r="C1637">
        <v>2010</v>
      </c>
      <c r="D1637" s="1">
        <v>0</v>
      </c>
      <c r="E1637" s="1">
        <v>2407.17</v>
      </c>
      <c r="F1637" t="s">
        <v>73</v>
      </c>
      <c r="G1637" t="str">
        <f>_xlfn.XLOOKUP(C1637,tblCOA[AccountNo],tblCOA[AccountName],"Unmapped")</f>
        <v>Accounts Payable</v>
      </c>
      <c r="H1637" t="str">
        <f>_xlfn.XLOOKUP(C1637,tblCOA[AccountNo],tblCOA[Category],"Unmapped")</f>
        <v>Liabilities</v>
      </c>
      <c r="I1637" s="4">
        <f t="shared" si="75"/>
        <v>-2407.17</v>
      </c>
      <c r="J1637">
        <f t="shared" si="76"/>
        <v>2026</v>
      </c>
      <c r="K1637" s="5">
        <f t="shared" si="77"/>
        <v>46054</v>
      </c>
    </row>
    <row r="1638" spans="1:11" x14ac:dyDescent="0.25">
      <c r="A1638" t="s">
        <v>246</v>
      </c>
      <c r="B1638" s="3">
        <v>46074</v>
      </c>
      <c r="C1638">
        <v>5010</v>
      </c>
      <c r="D1638" s="1">
        <v>12394.19</v>
      </c>
      <c r="E1638" s="1">
        <v>0</v>
      </c>
      <c r="F1638" t="s">
        <v>247</v>
      </c>
      <c r="G1638" t="str">
        <f>_xlfn.XLOOKUP(C1638,tblCOA[AccountNo],tblCOA[AccountName],"Unmapped")</f>
        <v>Cost of Goods Sold</v>
      </c>
      <c r="H1638" t="str">
        <f>_xlfn.XLOOKUP(C1638,tblCOA[AccountNo],tblCOA[Category],"Unmapped")</f>
        <v>Expenses</v>
      </c>
      <c r="I1638" s="4">
        <f t="shared" si="75"/>
        <v>12394.19</v>
      </c>
      <c r="J1638">
        <f t="shared" si="76"/>
        <v>2026</v>
      </c>
      <c r="K1638" s="5">
        <f t="shared" si="77"/>
        <v>46054</v>
      </c>
    </row>
    <row r="1639" spans="1:11" x14ac:dyDescent="0.25">
      <c r="A1639" t="s">
        <v>248</v>
      </c>
      <c r="B1639" s="3">
        <v>46074</v>
      </c>
      <c r="C1639">
        <v>2010</v>
      </c>
      <c r="D1639" s="1">
        <v>0</v>
      </c>
      <c r="E1639" s="1">
        <v>12394.19</v>
      </c>
      <c r="F1639" t="s">
        <v>249</v>
      </c>
      <c r="G1639" t="str">
        <f>_xlfn.XLOOKUP(C1639,tblCOA[AccountNo],tblCOA[AccountName],"Unmapped")</f>
        <v>Accounts Payable</v>
      </c>
      <c r="H1639" t="str">
        <f>_xlfn.XLOOKUP(C1639,tblCOA[AccountNo],tblCOA[Category],"Unmapped")</f>
        <v>Liabilities</v>
      </c>
      <c r="I1639" s="4">
        <f t="shared" si="75"/>
        <v>-12394.19</v>
      </c>
      <c r="J1639">
        <f t="shared" si="76"/>
        <v>2026</v>
      </c>
      <c r="K1639" s="5">
        <f t="shared" si="77"/>
        <v>46054</v>
      </c>
    </row>
    <row r="1640" spans="1:11" x14ac:dyDescent="0.25">
      <c r="A1640" t="s">
        <v>2722</v>
      </c>
      <c r="B1640" s="3">
        <v>46074</v>
      </c>
      <c r="C1640">
        <v>1200</v>
      </c>
      <c r="D1640" s="1">
        <v>30647.58</v>
      </c>
      <c r="E1640" s="1">
        <v>0</v>
      </c>
      <c r="F1640" t="s">
        <v>2723</v>
      </c>
      <c r="G1640" t="str">
        <f>_xlfn.XLOOKUP(C1640,tblCOA[AccountNo],tblCOA[AccountName],"Unmapped")</f>
        <v>Accounts Receivable</v>
      </c>
      <c r="H1640" t="str">
        <f>_xlfn.XLOOKUP(C1640,tblCOA[AccountNo],tblCOA[Category],"Unmapped")</f>
        <v>Assets</v>
      </c>
      <c r="I1640" s="4">
        <f t="shared" si="75"/>
        <v>30647.58</v>
      </c>
      <c r="J1640">
        <f t="shared" si="76"/>
        <v>2026</v>
      </c>
      <c r="K1640" s="5">
        <f t="shared" si="77"/>
        <v>46054</v>
      </c>
    </row>
    <row r="1641" spans="1:11" x14ac:dyDescent="0.25">
      <c r="A1641" t="s">
        <v>2724</v>
      </c>
      <c r="B1641" s="3">
        <v>46074</v>
      </c>
      <c r="C1641">
        <v>4010</v>
      </c>
      <c r="D1641" s="1">
        <v>0</v>
      </c>
      <c r="E1641" s="1">
        <v>30647.58</v>
      </c>
      <c r="F1641" t="s">
        <v>2725</v>
      </c>
      <c r="G1641" t="str">
        <f>_xlfn.XLOOKUP(C1641,tblCOA[AccountNo],tblCOA[AccountName],"Unmapped")</f>
        <v>Product Sales</v>
      </c>
      <c r="H1641" t="str">
        <f>_xlfn.XLOOKUP(C1641,tblCOA[AccountNo],tblCOA[Category],"Unmapped")</f>
        <v>Revenue</v>
      </c>
      <c r="I1641" s="4">
        <f t="shared" si="75"/>
        <v>-30647.58</v>
      </c>
      <c r="J1641">
        <f t="shared" si="76"/>
        <v>2026</v>
      </c>
      <c r="K1641" s="5">
        <f t="shared" si="77"/>
        <v>46054</v>
      </c>
    </row>
    <row r="1642" spans="1:11" x14ac:dyDescent="0.25">
      <c r="A1642" t="s">
        <v>3182</v>
      </c>
      <c r="B1642" s="3">
        <v>46074</v>
      </c>
      <c r="C1642">
        <v>5010</v>
      </c>
      <c r="D1642" s="1">
        <v>14486.14</v>
      </c>
      <c r="E1642" s="1">
        <v>0</v>
      </c>
      <c r="F1642" t="s">
        <v>3183</v>
      </c>
      <c r="G1642" t="str">
        <f>_xlfn.XLOOKUP(C1642,tblCOA[AccountNo],tblCOA[AccountName],"Unmapped")</f>
        <v>Cost of Goods Sold</v>
      </c>
      <c r="H1642" t="str">
        <f>_xlfn.XLOOKUP(C1642,tblCOA[AccountNo],tblCOA[Category],"Unmapped")</f>
        <v>Expenses</v>
      </c>
      <c r="I1642" s="4">
        <f t="shared" si="75"/>
        <v>14486.14</v>
      </c>
      <c r="J1642">
        <f t="shared" si="76"/>
        <v>2026</v>
      </c>
      <c r="K1642" s="5">
        <f t="shared" si="77"/>
        <v>46054</v>
      </c>
    </row>
    <row r="1643" spans="1:11" x14ac:dyDescent="0.25">
      <c r="A1643" t="s">
        <v>3184</v>
      </c>
      <c r="B1643" s="3">
        <v>46074</v>
      </c>
      <c r="C1643">
        <v>2010</v>
      </c>
      <c r="D1643" s="1">
        <v>0</v>
      </c>
      <c r="E1643" s="1">
        <v>14486.14</v>
      </c>
      <c r="F1643" t="s">
        <v>3185</v>
      </c>
      <c r="G1643" t="str">
        <f>_xlfn.XLOOKUP(C1643,tblCOA[AccountNo],tblCOA[AccountName],"Unmapped")</f>
        <v>Accounts Payable</v>
      </c>
      <c r="H1643" t="str">
        <f>_xlfn.XLOOKUP(C1643,tblCOA[AccountNo],tblCOA[Category],"Unmapped")</f>
        <v>Liabilities</v>
      </c>
      <c r="I1643" s="4">
        <f t="shared" si="75"/>
        <v>-14486.14</v>
      </c>
      <c r="J1643">
        <f t="shared" si="76"/>
        <v>2026</v>
      </c>
      <c r="K1643" s="5">
        <f t="shared" si="77"/>
        <v>46054</v>
      </c>
    </row>
    <row r="1644" spans="1:11" x14ac:dyDescent="0.25">
      <c r="A1644" t="s">
        <v>642</v>
      </c>
      <c r="B1644" s="3">
        <v>46075</v>
      </c>
      <c r="C1644">
        <v>1200</v>
      </c>
      <c r="D1644" s="1">
        <v>16349.7</v>
      </c>
      <c r="E1644" s="1">
        <v>0</v>
      </c>
      <c r="F1644" t="s">
        <v>643</v>
      </c>
      <c r="G1644" t="str">
        <f>_xlfn.XLOOKUP(C1644,tblCOA[AccountNo],tblCOA[AccountName],"Unmapped")</f>
        <v>Accounts Receivable</v>
      </c>
      <c r="H1644" t="str">
        <f>_xlfn.XLOOKUP(C1644,tblCOA[AccountNo],tblCOA[Category],"Unmapped")</f>
        <v>Assets</v>
      </c>
      <c r="I1644" s="4">
        <f t="shared" si="75"/>
        <v>16349.7</v>
      </c>
      <c r="J1644">
        <f t="shared" si="76"/>
        <v>2026</v>
      </c>
      <c r="K1644" s="5">
        <f t="shared" si="77"/>
        <v>46054</v>
      </c>
    </row>
    <row r="1645" spans="1:11" x14ac:dyDescent="0.25">
      <c r="A1645" t="s">
        <v>644</v>
      </c>
      <c r="B1645" s="3">
        <v>46075</v>
      </c>
      <c r="C1645">
        <v>4010</v>
      </c>
      <c r="D1645" s="1">
        <v>0</v>
      </c>
      <c r="E1645" s="1">
        <v>16349.7</v>
      </c>
      <c r="F1645" t="s">
        <v>645</v>
      </c>
      <c r="G1645" t="str">
        <f>_xlfn.XLOOKUP(C1645,tblCOA[AccountNo],tblCOA[AccountName],"Unmapped")</f>
        <v>Product Sales</v>
      </c>
      <c r="H1645" t="str">
        <f>_xlfn.XLOOKUP(C1645,tblCOA[AccountNo],tblCOA[Category],"Unmapped")</f>
        <v>Revenue</v>
      </c>
      <c r="I1645" s="4">
        <f t="shared" si="75"/>
        <v>-16349.7</v>
      </c>
      <c r="J1645">
        <f t="shared" si="76"/>
        <v>2026</v>
      </c>
      <c r="K1645" s="5">
        <f t="shared" si="77"/>
        <v>46054</v>
      </c>
    </row>
    <row r="1646" spans="1:11" x14ac:dyDescent="0.25">
      <c r="A1646" t="s">
        <v>166</v>
      </c>
      <c r="B1646" s="3">
        <v>46076</v>
      </c>
      <c r="C1646">
        <v>5010</v>
      </c>
      <c r="D1646" s="1">
        <v>10200.540000000001</v>
      </c>
      <c r="E1646" s="1">
        <v>0</v>
      </c>
      <c r="F1646" t="s">
        <v>167</v>
      </c>
      <c r="G1646" t="str">
        <f>_xlfn.XLOOKUP(C1646,tblCOA[AccountNo],tblCOA[AccountName],"Unmapped")</f>
        <v>Cost of Goods Sold</v>
      </c>
      <c r="H1646" t="str">
        <f>_xlfn.XLOOKUP(C1646,tblCOA[AccountNo],tblCOA[Category],"Unmapped")</f>
        <v>Expenses</v>
      </c>
      <c r="I1646" s="4">
        <f t="shared" si="75"/>
        <v>10200.540000000001</v>
      </c>
      <c r="J1646">
        <f t="shared" si="76"/>
        <v>2026</v>
      </c>
      <c r="K1646" s="5">
        <f t="shared" si="77"/>
        <v>46054</v>
      </c>
    </row>
    <row r="1647" spans="1:11" x14ac:dyDescent="0.25">
      <c r="A1647" t="s">
        <v>168</v>
      </c>
      <c r="B1647" s="3">
        <v>46076</v>
      </c>
      <c r="C1647">
        <v>2010</v>
      </c>
      <c r="D1647" s="1">
        <v>0</v>
      </c>
      <c r="E1647" s="1">
        <v>10200.540000000001</v>
      </c>
      <c r="F1647" t="s">
        <v>169</v>
      </c>
      <c r="G1647" t="str">
        <f>_xlfn.XLOOKUP(C1647,tblCOA[AccountNo],tblCOA[AccountName],"Unmapped")</f>
        <v>Accounts Payable</v>
      </c>
      <c r="H1647" t="str">
        <f>_xlfn.XLOOKUP(C1647,tblCOA[AccountNo],tblCOA[Category],"Unmapped")</f>
        <v>Liabilities</v>
      </c>
      <c r="I1647" s="4">
        <f t="shared" si="75"/>
        <v>-10200.540000000001</v>
      </c>
      <c r="J1647">
        <f t="shared" si="76"/>
        <v>2026</v>
      </c>
      <c r="K1647" s="5">
        <f t="shared" si="77"/>
        <v>46054</v>
      </c>
    </row>
    <row r="1648" spans="1:11" x14ac:dyDescent="0.25">
      <c r="A1648" t="s">
        <v>1382</v>
      </c>
      <c r="B1648" s="3">
        <v>46077</v>
      </c>
      <c r="C1648">
        <v>5010</v>
      </c>
      <c r="D1648" s="1">
        <v>2326.48</v>
      </c>
      <c r="E1648" s="1">
        <v>0</v>
      </c>
      <c r="F1648" t="s">
        <v>1383</v>
      </c>
      <c r="G1648" t="str">
        <f>_xlfn.XLOOKUP(C1648,tblCOA[AccountNo],tblCOA[AccountName],"Unmapped")</f>
        <v>Cost of Goods Sold</v>
      </c>
      <c r="H1648" t="str">
        <f>_xlfn.XLOOKUP(C1648,tblCOA[AccountNo],tblCOA[Category],"Unmapped")</f>
        <v>Expenses</v>
      </c>
      <c r="I1648" s="4">
        <f t="shared" si="75"/>
        <v>2326.48</v>
      </c>
      <c r="J1648">
        <f t="shared" si="76"/>
        <v>2026</v>
      </c>
      <c r="K1648" s="5">
        <f t="shared" si="77"/>
        <v>46054</v>
      </c>
    </row>
    <row r="1649" spans="1:11" x14ac:dyDescent="0.25">
      <c r="A1649" t="s">
        <v>1384</v>
      </c>
      <c r="B1649" s="3">
        <v>46077</v>
      </c>
      <c r="C1649">
        <v>2010</v>
      </c>
      <c r="D1649" s="1">
        <v>0</v>
      </c>
      <c r="E1649" s="1">
        <v>2326.48</v>
      </c>
      <c r="F1649" t="s">
        <v>1385</v>
      </c>
      <c r="G1649" t="str">
        <f>_xlfn.XLOOKUP(C1649,tblCOA[AccountNo],tblCOA[AccountName],"Unmapped")</f>
        <v>Accounts Payable</v>
      </c>
      <c r="H1649" t="str">
        <f>_xlfn.XLOOKUP(C1649,tblCOA[AccountNo],tblCOA[Category],"Unmapped")</f>
        <v>Liabilities</v>
      </c>
      <c r="I1649" s="4">
        <f t="shared" si="75"/>
        <v>-2326.48</v>
      </c>
      <c r="J1649">
        <f t="shared" si="76"/>
        <v>2026</v>
      </c>
      <c r="K1649" s="5">
        <f t="shared" si="77"/>
        <v>46054</v>
      </c>
    </row>
    <row r="1650" spans="1:11" x14ac:dyDescent="0.25">
      <c r="A1650" t="s">
        <v>314</v>
      </c>
      <c r="B1650" s="3">
        <v>46078</v>
      </c>
      <c r="C1650">
        <v>1200</v>
      </c>
      <c r="D1650" s="1">
        <v>22791.919999999998</v>
      </c>
      <c r="E1650" s="1">
        <v>0</v>
      </c>
      <c r="F1650" t="s">
        <v>315</v>
      </c>
      <c r="G1650" t="str">
        <f>_xlfn.XLOOKUP(C1650,tblCOA[AccountNo],tblCOA[AccountName],"Unmapped")</f>
        <v>Accounts Receivable</v>
      </c>
      <c r="H1650" t="str">
        <f>_xlfn.XLOOKUP(C1650,tblCOA[AccountNo],tblCOA[Category],"Unmapped")</f>
        <v>Assets</v>
      </c>
      <c r="I1650" s="4">
        <f t="shared" si="75"/>
        <v>22791.919999999998</v>
      </c>
      <c r="J1650">
        <f t="shared" si="76"/>
        <v>2026</v>
      </c>
      <c r="K1650" s="5">
        <f t="shared" si="77"/>
        <v>46054</v>
      </c>
    </row>
    <row r="1651" spans="1:11" x14ac:dyDescent="0.25">
      <c r="A1651" t="s">
        <v>316</v>
      </c>
      <c r="B1651" s="3">
        <v>46078</v>
      </c>
      <c r="C1651">
        <v>4010</v>
      </c>
      <c r="D1651" s="1">
        <v>0</v>
      </c>
      <c r="E1651" s="1">
        <v>22791.919999999998</v>
      </c>
      <c r="F1651" t="s">
        <v>317</v>
      </c>
      <c r="G1651" t="str">
        <f>_xlfn.XLOOKUP(C1651,tblCOA[AccountNo],tblCOA[AccountName],"Unmapped")</f>
        <v>Product Sales</v>
      </c>
      <c r="H1651" t="str">
        <f>_xlfn.XLOOKUP(C1651,tblCOA[AccountNo],tblCOA[Category],"Unmapped")</f>
        <v>Revenue</v>
      </c>
      <c r="I1651" s="4">
        <f t="shared" si="75"/>
        <v>-22791.919999999998</v>
      </c>
      <c r="J1651">
        <f t="shared" si="76"/>
        <v>2026</v>
      </c>
      <c r="K1651" s="5">
        <f t="shared" si="77"/>
        <v>46054</v>
      </c>
    </row>
    <row r="1652" spans="1:11" x14ac:dyDescent="0.25">
      <c r="A1652" t="s">
        <v>766</v>
      </c>
      <c r="B1652" s="3">
        <v>46078</v>
      </c>
      <c r="C1652">
        <v>5010</v>
      </c>
      <c r="D1652" s="1">
        <v>3251.5</v>
      </c>
      <c r="E1652" s="1">
        <v>0</v>
      </c>
      <c r="F1652" t="s">
        <v>767</v>
      </c>
      <c r="G1652" t="str">
        <f>_xlfn.XLOOKUP(C1652,tblCOA[AccountNo],tblCOA[AccountName],"Unmapped")</f>
        <v>Cost of Goods Sold</v>
      </c>
      <c r="H1652" t="str">
        <f>_xlfn.XLOOKUP(C1652,tblCOA[AccountNo],tblCOA[Category],"Unmapped")</f>
        <v>Expenses</v>
      </c>
      <c r="I1652" s="4">
        <f t="shared" si="75"/>
        <v>3251.5</v>
      </c>
      <c r="J1652">
        <f t="shared" si="76"/>
        <v>2026</v>
      </c>
      <c r="K1652" s="5">
        <f t="shared" si="77"/>
        <v>46054</v>
      </c>
    </row>
    <row r="1653" spans="1:11" x14ac:dyDescent="0.25">
      <c r="A1653" t="s">
        <v>768</v>
      </c>
      <c r="B1653" s="3">
        <v>46078</v>
      </c>
      <c r="C1653">
        <v>2010</v>
      </c>
      <c r="D1653" s="1">
        <v>0</v>
      </c>
      <c r="E1653" s="1">
        <v>3251.5</v>
      </c>
      <c r="F1653" t="s">
        <v>769</v>
      </c>
      <c r="G1653" t="str">
        <f>_xlfn.XLOOKUP(C1653,tblCOA[AccountNo],tblCOA[AccountName],"Unmapped")</f>
        <v>Accounts Payable</v>
      </c>
      <c r="H1653" t="str">
        <f>_xlfn.XLOOKUP(C1653,tblCOA[AccountNo],tblCOA[Category],"Unmapped")</f>
        <v>Liabilities</v>
      </c>
      <c r="I1653" s="4">
        <f t="shared" si="75"/>
        <v>-3251.5</v>
      </c>
      <c r="J1653">
        <f t="shared" si="76"/>
        <v>2026</v>
      </c>
      <c r="K1653" s="5">
        <f t="shared" si="77"/>
        <v>46054</v>
      </c>
    </row>
    <row r="1654" spans="1:11" x14ac:dyDescent="0.25">
      <c r="A1654" t="s">
        <v>3642</v>
      </c>
      <c r="B1654" s="3">
        <v>46079</v>
      </c>
      <c r="C1654">
        <v>1200</v>
      </c>
      <c r="D1654" s="1">
        <v>12050.42</v>
      </c>
      <c r="E1654" s="1">
        <v>0</v>
      </c>
      <c r="F1654" t="s">
        <v>3643</v>
      </c>
      <c r="G1654" t="str">
        <f>_xlfn.XLOOKUP(C1654,tblCOA[AccountNo],tblCOA[AccountName],"Unmapped")</f>
        <v>Accounts Receivable</v>
      </c>
      <c r="H1654" t="str">
        <f>_xlfn.XLOOKUP(C1654,tblCOA[AccountNo],tblCOA[Category],"Unmapped")</f>
        <v>Assets</v>
      </c>
      <c r="I1654" s="4">
        <f t="shared" si="75"/>
        <v>12050.42</v>
      </c>
      <c r="J1654">
        <f t="shared" si="76"/>
        <v>2026</v>
      </c>
      <c r="K1654" s="5">
        <f t="shared" si="77"/>
        <v>46054</v>
      </c>
    </row>
    <row r="1655" spans="1:11" x14ac:dyDescent="0.25">
      <c r="A1655" t="s">
        <v>3644</v>
      </c>
      <c r="B1655" s="3">
        <v>46079</v>
      </c>
      <c r="C1655">
        <v>4010</v>
      </c>
      <c r="D1655" s="1">
        <v>0</v>
      </c>
      <c r="E1655" s="1">
        <v>12050.42</v>
      </c>
      <c r="F1655" t="s">
        <v>3645</v>
      </c>
      <c r="G1655" t="str">
        <f>_xlfn.XLOOKUP(C1655,tblCOA[AccountNo],tblCOA[AccountName],"Unmapped")</f>
        <v>Product Sales</v>
      </c>
      <c r="H1655" t="str">
        <f>_xlfn.XLOOKUP(C1655,tblCOA[AccountNo],tblCOA[Category],"Unmapped")</f>
        <v>Revenue</v>
      </c>
      <c r="I1655" s="4">
        <f t="shared" si="75"/>
        <v>-12050.42</v>
      </c>
      <c r="J1655">
        <f t="shared" si="76"/>
        <v>2026</v>
      </c>
      <c r="K1655" s="5">
        <f t="shared" si="77"/>
        <v>46054</v>
      </c>
    </row>
    <row r="1656" spans="1:11" x14ac:dyDescent="0.25">
      <c r="A1656" t="s">
        <v>3802</v>
      </c>
      <c r="B1656" s="3">
        <v>46079</v>
      </c>
      <c r="C1656">
        <v>1200</v>
      </c>
      <c r="D1656" s="1">
        <v>14238.93</v>
      </c>
      <c r="E1656" s="1">
        <v>0</v>
      </c>
      <c r="F1656" t="s">
        <v>3803</v>
      </c>
      <c r="G1656" t="str">
        <f>_xlfn.XLOOKUP(C1656,tblCOA[AccountNo],tblCOA[AccountName],"Unmapped")</f>
        <v>Accounts Receivable</v>
      </c>
      <c r="H1656" t="str">
        <f>_xlfn.XLOOKUP(C1656,tblCOA[AccountNo],tblCOA[Category],"Unmapped")</f>
        <v>Assets</v>
      </c>
      <c r="I1656" s="4">
        <f t="shared" si="75"/>
        <v>14238.93</v>
      </c>
      <c r="J1656">
        <f t="shared" si="76"/>
        <v>2026</v>
      </c>
      <c r="K1656" s="5">
        <f t="shared" si="77"/>
        <v>46054</v>
      </c>
    </row>
    <row r="1657" spans="1:11" x14ac:dyDescent="0.25">
      <c r="A1657" t="s">
        <v>3804</v>
      </c>
      <c r="B1657" s="3">
        <v>46079</v>
      </c>
      <c r="C1657">
        <v>4010</v>
      </c>
      <c r="D1657" s="1">
        <v>0</v>
      </c>
      <c r="E1657" s="1">
        <v>14238.93</v>
      </c>
      <c r="F1657" t="s">
        <v>3805</v>
      </c>
      <c r="G1657" t="str">
        <f>_xlfn.XLOOKUP(C1657,tblCOA[AccountNo],tblCOA[AccountName],"Unmapped")</f>
        <v>Product Sales</v>
      </c>
      <c r="H1657" t="str">
        <f>_xlfn.XLOOKUP(C1657,tblCOA[AccountNo],tblCOA[Category],"Unmapped")</f>
        <v>Revenue</v>
      </c>
      <c r="I1657" s="4">
        <f t="shared" si="75"/>
        <v>-14238.93</v>
      </c>
      <c r="J1657">
        <f t="shared" si="76"/>
        <v>2026</v>
      </c>
      <c r="K1657" s="5">
        <f t="shared" si="77"/>
        <v>46054</v>
      </c>
    </row>
    <row r="1658" spans="1:11" x14ac:dyDescent="0.25">
      <c r="A1658" t="s">
        <v>3542</v>
      </c>
      <c r="B1658" s="3">
        <v>46080</v>
      </c>
      <c r="C1658">
        <v>5010</v>
      </c>
      <c r="D1658" s="1">
        <v>7258.81</v>
      </c>
      <c r="E1658" s="1">
        <v>0</v>
      </c>
      <c r="F1658" t="s">
        <v>3543</v>
      </c>
      <c r="G1658" t="str">
        <f>_xlfn.XLOOKUP(C1658,tblCOA[AccountNo],tblCOA[AccountName],"Unmapped")</f>
        <v>Cost of Goods Sold</v>
      </c>
      <c r="H1658" t="str">
        <f>_xlfn.XLOOKUP(C1658,tblCOA[AccountNo],tblCOA[Category],"Unmapped")</f>
        <v>Expenses</v>
      </c>
      <c r="I1658" s="4">
        <f t="shared" si="75"/>
        <v>7258.81</v>
      </c>
      <c r="J1658">
        <f t="shared" si="76"/>
        <v>2026</v>
      </c>
      <c r="K1658" s="5">
        <f t="shared" si="77"/>
        <v>46054</v>
      </c>
    </row>
    <row r="1659" spans="1:11" x14ac:dyDescent="0.25">
      <c r="A1659" t="s">
        <v>3544</v>
      </c>
      <c r="B1659" s="3">
        <v>46080</v>
      </c>
      <c r="C1659">
        <v>2010</v>
      </c>
      <c r="D1659" s="1">
        <v>0</v>
      </c>
      <c r="E1659" s="1">
        <v>7258.81</v>
      </c>
      <c r="F1659" t="s">
        <v>3545</v>
      </c>
      <c r="G1659" t="str">
        <f>_xlfn.XLOOKUP(C1659,tblCOA[AccountNo],tblCOA[AccountName],"Unmapped")</f>
        <v>Accounts Payable</v>
      </c>
      <c r="H1659" t="str">
        <f>_xlfn.XLOOKUP(C1659,tblCOA[AccountNo],tblCOA[Category],"Unmapped")</f>
        <v>Liabilities</v>
      </c>
      <c r="I1659" s="4">
        <f t="shared" si="75"/>
        <v>-7258.81</v>
      </c>
      <c r="J1659">
        <f t="shared" si="76"/>
        <v>2026</v>
      </c>
      <c r="K1659" s="5">
        <f t="shared" si="77"/>
        <v>46054</v>
      </c>
    </row>
    <row r="1660" spans="1:11" x14ac:dyDescent="0.25">
      <c r="A1660" t="s">
        <v>3494</v>
      </c>
      <c r="B1660" s="3">
        <v>46081</v>
      </c>
      <c r="C1660">
        <v>5010</v>
      </c>
      <c r="D1660" s="1">
        <v>11758.57</v>
      </c>
      <c r="E1660" s="1">
        <v>0</v>
      </c>
      <c r="F1660" t="s">
        <v>3495</v>
      </c>
      <c r="G1660" t="str">
        <f>_xlfn.XLOOKUP(C1660,tblCOA[AccountNo],tblCOA[AccountName],"Unmapped")</f>
        <v>Cost of Goods Sold</v>
      </c>
      <c r="H1660" t="str">
        <f>_xlfn.XLOOKUP(C1660,tblCOA[AccountNo],tblCOA[Category],"Unmapped")</f>
        <v>Expenses</v>
      </c>
      <c r="I1660" s="4">
        <f t="shared" si="75"/>
        <v>11758.57</v>
      </c>
      <c r="J1660">
        <f t="shared" si="76"/>
        <v>2026</v>
      </c>
      <c r="K1660" s="5">
        <f t="shared" si="77"/>
        <v>46054</v>
      </c>
    </row>
    <row r="1661" spans="1:11" x14ac:dyDescent="0.25">
      <c r="A1661" t="s">
        <v>3496</v>
      </c>
      <c r="B1661" s="3">
        <v>46081</v>
      </c>
      <c r="C1661">
        <v>2010</v>
      </c>
      <c r="D1661" s="1">
        <v>0</v>
      </c>
      <c r="E1661" s="1">
        <v>11758.57</v>
      </c>
      <c r="F1661" t="s">
        <v>3497</v>
      </c>
      <c r="G1661" t="str">
        <f>_xlfn.XLOOKUP(C1661,tblCOA[AccountNo],tblCOA[AccountName],"Unmapped")</f>
        <v>Accounts Payable</v>
      </c>
      <c r="H1661" t="str">
        <f>_xlfn.XLOOKUP(C1661,tblCOA[AccountNo],tblCOA[Category],"Unmapped")</f>
        <v>Liabilities</v>
      </c>
      <c r="I1661" s="4">
        <f t="shared" si="75"/>
        <v>-11758.57</v>
      </c>
      <c r="J1661">
        <f t="shared" si="76"/>
        <v>2026</v>
      </c>
      <c r="K1661" s="5">
        <f t="shared" si="77"/>
        <v>46054</v>
      </c>
    </row>
    <row r="1662" spans="1:11" x14ac:dyDescent="0.25">
      <c r="A1662" t="s">
        <v>1158</v>
      </c>
      <c r="B1662" s="3">
        <v>46081</v>
      </c>
      <c r="C1662">
        <v>5010</v>
      </c>
      <c r="D1662" s="1">
        <v>11724.81</v>
      </c>
      <c r="E1662" s="1">
        <v>0</v>
      </c>
      <c r="F1662" t="s">
        <v>1159</v>
      </c>
      <c r="G1662" t="str">
        <f>_xlfn.XLOOKUP(C1662,tblCOA[AccountNo],tblCOA[AccountName],"Unmapped")</f>
        <v>Cost of Goods Sold</v>
      </c>
      <c r="H1662" t="str">
        <f>_xlfn.XLOOKUP(C1662,tblCOA[AccountNo],tblCOA[Category],"Unmapped")</f>
        <v>Expenses</v>
      </c>
      <c r="I1662" s="4">
        <f t="shared" si="75"/>
        <v>11724.81</v>
      </c>
      <c r="J1662">
        <f t="shared" si="76"/>
        <v>2026</v>
      </c>
      <c r="K1662" s="5">
        <f t="shared" si="77"/>
        <v>46054</v>
      </c>
    </row>
    <row r="1663" spans="1:11" x14ac:dyDescent="0.25">
      <c r="A1663" t="s">
        <v>1160</v>
      </c>
      <c r="B1663" s="3">
        <v>46081</v>
      </c>
      <c r="C1663">
        <v>2010</v>
      </c>
      <c r="D1663" s="1">
        <v>0</v>
      </c>
      <c r="E1663" s="1">
        <v>11724.81</v>
      </c>
      <c r="F1663" t="s">
        <v>1161</v>
      </c>
      <c r="G1663" t="str">
        <f>_xlfn.XLOOKUP(C1663,tblCOA[AccountNo],tblCOA[AccountName],"Unmapped")</f>
        <v>Accounts Payable</v>
      </c>
      <c r="H1663" t="str">
        <f>_xlfn.XLOOKUP(C1663,tblCOA[AccountNo],tblCOA[Category],"Unmapped")</f>
        <v>Liabilities</v>
      </c>
      <c r="I1663" s="4">
        <f t="shared" si="75"/>
        <v>-11724.81</v>
      </c>
      <c r="J1663">
        <f t="shared" si="76"/>
        <v>2026</v>
      </c>
      <c r="K1663" s="5">
        <f t="shared" si="77"/>
        <v>46054</v>
      </c>
    </row>
    <row r="1664" spans="1:11" x14ac:dyDescent="0.25">
      <c r="A1664" t="s">
        <v>3722</v>
      </c>
      <c r="B1664" s="3">
        <v>46082</v>
      </c>
      <c r="C1664">
        <v>1200</v>
      </c>
      <c r="D1664" s="1">
        <v>16329.42</v>
      </c>
      <c r="E1664" s="1">
        <v>0</v>
      </c>
      <c r="F1664" t="s">
        <v>3723</v>
      </c>
      <c r="G1664" t="str">
        <f>_xlfn.XLOOKUP(C1664,tblCOA[AccountNo],tblCOA[AccountName],"Unmapped")</f>
        <v>Accounts Receivable</v>
      </c>
      <c r="H1664" t="str">
        <f>_xlfn.XLOOKUP(C1664,tblCOA[AccountNo],tblCOA[Category],"Unmapped")</f>
        <v>Assets</v>
      </c>
      <c r="I1664" s="4">
        <f t="shared" si="75"/>
        <v>16329.42</v>
      </c>
      <c r="J1664">
        <f t="shared" si="76"/>
        <v>2026</v>
      </c>
      <c r="K1664" s="5">
        <f t="shared" si="77"/>
        <v>46082</v>
      </c>
    </row>
    <row r="1665" spans="1:11" x14ac:dyDescent="0.25">
      <c r="A1665" t="s">
        <v>3724</v>
      </c>
      <c r="B1665" s="3">
        <v>46082</v>
      </c>
      <c r="C1665">
        <v>4010</v>
      </c>
      <c r="D1665" s="1">
        <v>0</v>
      </c>
      <c r="E1665" s="1">
        <v>16329.42</v>
      </c>
      <c r="F1665" t="s">
        <v>3725</v>
      </c>
      <c r="G1665" t="str">
        <f>_xlfn.XLOOKUP(C1665,tblCOA[AccountNo],tblCOA[AccountName],"Unmapped")</f>
        <v>Product Sales</v>
      </c>
      <c r="H1665" t="str">
        <f>_xlfn.XLOOKUP(C1665,tblCOA[AccountNo],tblCOA[Category],"Unmapped")</f>
        <v>Revenue</v>
      </c>
      <c r="I1665" s="4">
        <f t="shared" si="75"/>
        <v>-16329.42</v>
      </c>
      <c r="J1665">
        <f t="shared" si="76"/>
        <v>2026</v>
      </c>
      <c r="K1665" s="5">
        <f t="shared" si="77"/>
        <v>46082</v>
      </c>
    </row>
    <row r="1666" spans="1:11" x14ac:dyDescent="0.25">
      <c r="A1666" t="s">
        <v>206</v>
      </c>
      <c r="B1666" s="3">
        <v>46083</v>
      </c>
      <c r="C1666">
        <v>5010</v>
      </c>
      <c r="D1666" s="1">
        <v>748.46</v>
      </c>
      <c r="E1666" s="1">
        <v>0</v>
      </c>
      <c r="F1666" t="s">
        <v>207</v>
      </c>
      <c r="G1666" t="str">
        <f>_xlfn.XLOOKUP(C1666,tblCOA[AccountNo],tblCOA[AccountName],"Unmapped")</f>
        <v>Cost of Goods Sold</v>
      </c>
      <c r="H1666" t="str">
        <f>_xlfn.XLOOKUP(C1666,tblCOA[AccountNo],tblCOA[Category],"Unmapped")</f>
        <v>Expenses</v>
      </c>
      <c r="I1666" s="4">
        <f t="shared" ref="I1666:I1729" si="78">D1666-E1666</f>
        <v>748.46</v>
      </c>
      <c r="J1666">
        <f t="shared" ref="J1666:J1729" si="79">YEAR(B1666)</f>
        <v>2026</v>
      </c>
      <c r="K1666" s="5">
        <f t="shared" ref="K1666:K1729" si="80">DATE(YEAR(B1666),MONTH(B1666),1)</f>
        <v>46082</v>
      </c>
    </row>
    <row r="1667" spans="1:11" x14ac:dyDescent="0.25">
      <c r="A1667" t="s">
        <v>208</v>
      </c>
      <c r="B1667" s="3">
        <v>46083</v>
      </c>
      <c r="C1667">
        <v>2010</v>
      </c>
      <c r="D1667" s="1">
        <v>0</v>
      </c>
      <c r="E1667" s="1">
        <v>748.46</v>
      </c>
      <c r="F1667" t="s">
        <v>209</v>
      </c>
      <c r="G1667" t="str">
        <f>_xlfn.XLOOKUP(C1667,tblCOA[AccountNo],tblCOA[AccountName],"Unmapped")</f>
        <v>Accounts Payable</v>
      </c>
      <c r="H1667" t="str">
        <f>_xlfn.XLOOKUP(C1667,tblCOA[AccountNo],tblCOA[Category],"Unmapped")</f>
        <v>Liabilities</v>
      </c>
      <c r="I1667" s="4">
        <f t="shared" si="78"/>
        <v>-748.46</v>
      </c>
      <c r="J1667">
        <f t="shared" si="79"/>
        <v>2026</v>
      </c>
      <c r="K1667" s="5">
        <f t="shared" si="80"/>
        <v>46082</v>
      </c>
    </row>
    <row r="1668" spans="1:11" x14ac:dyDescent="0.25">
      <c r="A1668" t="s">
        <v>510</v>
      </c>
      <c r="B1668" s="3">
        <v>46083</v>
      </c>
      <c r="C1668">
        <v>5010</v>
      </c>
      <c r="D1668" s="1">
        <v>10702.62</v>
      </c>
      <c r="E1668" s="1">
        <v>0</v>
      </c>
      <c r="F1668" t="s">
        <v>511</v>
      </c>
      <c r="G1668" t="str">
        <f>_xlfn.XLOOKUP(C1668,tblCOA[AccountNo],tblCOA[AccountName],"Unmapped")</f>
        <v>Cost of Goods Sold</v>
      </c>
      <c r="H1668" t="str">
        <f>_xlfn.XLOOKUP(C1668,tblCOA[AccountNo],tblCOA[Category],"Unmapped")</f>
        <v>Expenses</v>
      </c>
      <c r="I1668" s="4">
        <f t="shared" si="78"/>
        <v>10702.62</v>
      </c>
      <c r="J1668">
        <f t="shared" si="79"/>
        <v>2026</v>
      </c>
      <c r="K1668" s="5">
        <f t="shared" si="80"/>
        <v>46082</v>
      </c>
    </row>
    <row r="1669" spans="1:11" x14ac:dyDescent="0.25">
      <c r="A1669" t="s">
        <v>512</v>
      </c>
      <c r="B1669" s="3">
        <v>46083</v>
      </c>
      <c r="C1669">
        <v>2010</v>
      </c>
      <c r="D1669" s="1">
        <v>0</v>
      </c>
      <c r="E1669" s="1">
        <v>10702.62</v>
      </c>
      <c r="F1669" t="s">
        <v>513</v>
      </c>
      <c r="G1669" t="str">
        <f>_xlfn.XLOOKUP(C1669,tblCOA[AccountNo],tblCOA[AccountName],"Unmapped")</f>
        <v>Accounts Payable</v>
      </c>
      <c r="H1669" t="str">
        <f>_xlfn.XLOOKUP(C1669,tblCOA[AccountNo],tblCOA[Category],"Unmapped")</f>
        <v>Liabilities</v>
      </c>
      <c r="I1669" s="4">
        <f t="shared" si="78"/>
        <v>-10702.62</v>
      </c>
      <c r="J1669">
        <f t="shared" si="79"/>
        <v>2026</v>
      </c>
      <c r="K1669" s="5">
        <f t="shared" si="80"/>
        <v>46082</v>
      </c>
    </row>
    <row r="1670" spans="1:11" x14ac:dyDescent="0.25">
      <c r="A1670" t="s">
        <v>3266</v>
      </c>
      <c r="B1670" s="3">
        <v>46084</v>
      </c>
      <c r="C1670">
        <v>1200</v>
      </c>
      <c r="D1670" s="1">
        <v>10921.86</v>
      </c>
      <c r="E1670" s="1">
        <v>0</v>
      </c>
      <c r="F1670" t="s">
        <v>3267</v>
      </c>
      <c r="G1670" t="str">
        <f>_xlfn.XLOOKUP(C1670,tblCOA[AccountNo],tblCOA[AccountName],"Unmapped")</f>
        <v>Accounts Receivable</v>
      </c>
      <c r="H1670" t="str">
        <f>_xlfn.XLOOKUP(C1670,tblCOA[AccountNo],tblCOA[Category],"Unmapped")</f>
        <v>Assets</v>
      </c>
      <c r="I1670" s="4">
        <f t="shared" si="78"/>
        <v>10921.86</v>
      </c>
      <c r="J1670">
        <f t="shared" si="79"/>
        <v>2026</v>
      </c>
      <c r="K1670" s="5">
        <f t="shared" si="80"/>
        <v>46082</v>
      </c>
    </row>
    <row r="1671" spans="1:11" x14ac:dyDescent="0.25">
      <c r="A1671" t="s">
        <v>3268</v>
      </c>
      <c r="B1671" s="3">
        <v>46084</v>
      </c>
      <c r="C1671">
        <v>4010</v>
      </c>
      <c r="D1671" s="1">
        <v>0</v>
      </c>
      <c r="E1671" s="1">
        <v>10921.86</v>
      </c>
      <c r="F1671" t="s">
        <v>3269</v>
      </c>
      <c r="G1671" t="str">
        <f>_xlfn.XLOOKUP(C1671,tblCOA[AccountNo],tblCOA[AccountName],"Unmapped")</f>
        <v>Product Sales</v>
      </c>
      <c r="H1671" t="str">
        <f>_xlfn.XLOOKUP(C1671,tblCOA[AccountNo],tblCOA[Category],"Unmapped")</f>
        <v>Revenue</v>
      </c>
      <c r="I1671" s="4">
        <f t="shared" si="78"/>
        <v>-10921.86</v>
      </c>
      <c r="J1671">
        <f t="shared" si="79"/>
        <v>2026</v>
      </c>
      <c r="K1671" s="5">
        <f t="shared" si="80"/>
        <v>46082</v>
      </c>
    </row>
    <row r="1672" spans="1:11" x14ac:dyDescent="0.25">
      <c r="A1672" t="s">
        <v>3858</v>
      </c>
      <c r="B1672" s="3">
        <v>46085</v>
      </c>
      <c r="C1672">
        <v>1200</v>
      </c>
      <c r="D1672" s="1">
        <v>12315.36</v>
      </c>
      <c r="E1672" s="1">
        <v>0</v>
      </c>
      <c r="F1672" t="s">
        <v>3859</v>
      </c>
      <c r="G1672" t="str">
        <f>_xlfn.XLOOKUP(C1672,tblCOA[AccountNo],tblCOA[AccountName],"Unmapped")</f>
        <v>Accounts Receivable</v>
      </c>
      <c r="H1672" t="str">
        <f>_xlfn.XLOOKUP(C1672,tblCOA[AccountNo],tblCOA[Category],"Unmapped")</f>
        <v>Assets</v>
      </c>
      <c r="I1672" s="4">
        <f t="shared" si="78"/>
        <v>12315.36</v>
      </c>
      <c r="J1672">
        <f t="shared" si="79"/>
        <v>2026</v>
      </c>
      <c r="K1672" s="5">
        <f t="shared" si="80"/>
        <v>46082</v>
      </c>
    </row>
    <row r="1673" spans="1:11" x14ac:dyDescent="0.25">
      <c r="A1673" t="s">
        <v>3860</v>
      </c>
      <c r="B1673" s="3">
        <v>46085</v>
      </c>
      <c r="C1673">
        <v>4010</v>
      </c>
      <c r="D1673" s="1">
        <v>0</v>
      </c>
      <c r="E1673" s="1">
        <v>12315.36</v>
      </c>
      <c r="F1673" t="s">
        <v>3861</v>
      </c>
      <c r="G1673" t="str">
        <f>_xlfn.XLOOKUP(C1673,tblCOA[AccountNo],tblCOA[AccountName],"Unmapped")</f>
        <v>Product Sales</v>
      </c>
      <c r="H1673" t="str">
        <f>_xlfn.XLOOKUP(C1673,tblCOA[AccountNo],tblCOA[Category],"Unmapped")</f>
        <v>Revenue</v>
      </c>
      <c r="I1673" s="4">
        <f t="shared" si="78"/>
        <v>-12315.36</v>
      </c>
      <c r="J1673">
        <f t="shared" si="79"/>
        <v>2026</v>
      </c>
      <c r="K1673" s="5">
        <f t="shared" si="80"/>
        <v>46082</v>
      </c>
    </row>
    <row r="1674" spans="1:11" x14ac:dyDescent="0.25">
      <c r="A1674" t="s">
        <v>2610</v>
      </c>
      <c r="B1674" s="3">
        <v>46086</v>
      </c>
      <c r="C1674">
        <v>1200</v>
      </c>
      <c r="D1674" s="1">
        <v>28753.68</v>
      </c>
      <c r="E1674" s="1">
        <v>0</v>
      </c>
      <c r="F1674" t="s">
        <v>2611</v>
      </c>
      <c r="G1674" t="str">
        <f>_xlfn.XLOOKUP(C1674,tblCOA[AccountNo],tblCOA[AccountName],"Unmapped")</f>
        <v>Accounts Receivable</v>
      </c>
      <c r="H1674" t="str">
        <f>_xlfn.XLOOKUP(C1674,tblCOA[AccountNo],tblCOA[Category],"Unmapped")</f>
        <v>Assets</v>
      </c>
      <c r="I1674" s="4">
        <f t="shared" si="78"/>
        <v>28753.68</v>
      </c>
      <c r="J1674">
        <f t="shared" si="79"/>
        <v>2026</v>
      </c>
      <c r="K1674" s="5">
        <f t="shared" si="80"/>
        <v>46082</v>
      </c>
    </row>
    <row r="1675" spans="1:11" x14ac:dyDescent="0.25">
      <c r="A1675" t="s">
        <v>2612</v>
      </c>
      <c r="B1675" s="3">
        <v>46086</v>
      </c>
      <c r="C1675">
        <v>4010</v>
      </c>
      <c r="D1675" s="1">
        <v>0</v>
      </c>
      <c r="E1675" s="1">
        <v>28753.68</v>
      </c>
      <c r="F1675" t="s">
        <v>2613</v>
      </c>
      <c r="G1675" t="str">
        <f>_xlfn.XLOOKUP(C1675,tblCOA[AccountNo],tblCOA[AccountName],"Unmapped")</f>
        <v>Product Sales</v>
      </c>
      <c r="H1675" t="str">
        <f>_xlfn.XLOOKUP(C1675,tblCOA[AccountNo],tblCOA[Category],"Unmapped")</f>
        <v>Revenue</v>
      </c>
      <c r="I1675" s="4">
        <f t="shared" si="78"/>
        <v>-28753.68</v>
      </c>
      <c r="J1675">
        <f t="shared" si="79"/>
        <v>2026</v>
      </c>
      <c r="K1675" s="5">
        <f t="shared" si="80"/>
        <v>46082</v>
      </c>
    </row>
    <row r="1676" spans="1:11" x14ac:dyDescent="0.25">
      <c r="A1676" t="s">
        <v>3306</v>
      </c>
      <c r="B1676" s="3">
        <v>46088</v>
      </c>
      <c r="C1676">
        <v>1200</v>
      </c>
      <c r="D1676" s="1">
        <v>21838.46</v>
      </c>
      <c r="E1676" s="1">
        <v>0</v>
      </c>
      <c r="F1676" t="s">
        <v>3307</v>
      </c>
      <c r="G1676" t="str">
        <f>_xlfn.XLOOKUP(C1676,tblCOA[AccountNo],tblCOA[AccountName],"Unmapped")</f>
        <v>Accounts Receivable</v>
      </c>
      <c r="H1676" t="str">
        <f>_xlfn.XLOOKUP(C1676,tblCOA[AccountNo],tblCOA[Category],"Unmapped")</f>
        <v>Assets</v>
      </c>
      <c r="I1676" s="4">
        <f t="shared" si="78"/>
        <v>21838.46</v>
      </c>
      <c r="J1676">
        <f t="shared" si="79"/>
        <v>2026</v>
      </c>
      <c r="K1676" s="5">
        <f t="shared" si="80"/>
        <v>46082</v>
      </c>
    </row>
    <row r="1677" spans="1:11" x14ac:dyDescent="0.25">
      <c r="A1677" t="s">
        <v>3308</v>
      </c>
      <c r="B1677" s="3">
        <v>46088</v>
      </c>
      <c r="C1677">
        <v>4010</v>
      </c>
      <c r="D1677" s="1">
        <v>0</v>
      </c>
      <c r="E1677" s="1">
        <v>21838.46</v>
      </c>
      <c r="F1677" t="s">
        <v>3309</v>
      </c>
      <c r="G1677" t="str">
        <f>_xlfn.XLOOKUP(C1677,tblCOA[AccountNo],tblCOA[AccountName],"Unmapped")</f>
        <v>Product Sales</v>
      </c>
      <c r="H1677" t="str">
        <f>_xlfn.XLOOKUP(C1677,tblCOA[AccountNo],tblCOA[Category],"Unmapped")</f>
        <v>Revenue</v>
      </c>
      <c r="I1677" s="4">
        <f t="shared" si="78"/>
        <v>-21838.46</v>
      </c>
      <c r="J1677">
        <f t="shared" si="79"/>
        <v>2026</v>
      </c>
      <c r="K1677" s="5">
        <f t="shared" si="80"/>
        <v>46082</v>
      </c>
    </row>
    <row r="1678" spans="1:11" x14ac:dyDescent="0.25">
      <c r="A1678" t="s">
        <v>534</v>
      </c>
      <c r="B1678" s="3">
        <v>46088</v>
      </c>
      <c r="C1678">
        <v>5010</v>
      </c>
      <c r="D1678" s="1">
        <v>11997.53</v>
      </c>
      <c r="E1678" s="1">
        <v>0</v>
      </c>
      <c r="F1678" t="s">
        <v>535</v>
      </c>
      <c r="G1678" t="str">
        <f>_xlfn.XLOOKUP(C1678,tblCOA[AccountNo],tblCOA[AccountName],"Unmapped")</f>
        <v>Cost of Goods Sold</v>
      </c>
      <c r="H1678" t="str">
        <f>_xlfn.XLOOKUP(C1678,tblCOA[AccountNo],tblCOA[Category],"Unmapped")</f>
        <v>Expenses</v>
      </c>
      <c r="I1678" s="4">
        <f t="shared" si="78"/>
        <v>11997.53</v>
      </c>
      <c r="J1678">
        <f t="shared" si="79"/>
        <v>2026</v>
      </c>
      <c r="K1678" s="5">
        <f t="shared" si="80"/>
        <v>46082</v>
      </c>
    </row>
    <row r="1679" spans="1:11" x14ac:dyDescent="0.25">
      <c r="A1679" t="s">
        <v>536</v>
      </c>
      <c r="B1679" s="3">
        <v>46088</v>
      </c>
      <c r="C1679">
        <v>2010</v>
      </c>
      <c r="D1679" s="1">
        <v>0</v>
      </c>
      <c r="E1679" s="1">
        <v>11997.53</v>
      </c>
      <c r="F1679" t="s">
        <v>537</v>
      </c>
      <c r="G1679" t="str">
        <f>_xlfn.XLOOKUP(C1679,tblCOA[AccountNo],tblCOA[AccountName],"Unmapped")</f>
        <v>Accounts Payable</v>
      </c>
      <c r="H1679" t="str">
        <f>_xlfn.XLOOKUP(C1679,tblCOA[AccountNo],tblCOA[Category],"Unmapped")</f>
        <v>Liabilities</v>
      </c>
      <c r="I1679" s="4">
        <f t="shared" si="78"/>
        <v>-11997.53</v>
      </c>
      <c r="J1679">
        <f t="shared" si="79"/>
        <v>2026</v>
      </c>
      <c r="K1679" s="5">
        <f t="shared" si="80"/>
        <v>46082</v>
      </c>
    </row>
    <row r="1680" spans="1:11" x14ac:dyDescent="0.25">
      <c r="A1680" t="s">
        <v>2998</v>
      </c>
      <c r="B1680" s="3">
        <v>46089</v>
      </c>
      <c r="C1680">
        <v>5010</v>
      </c>
      <c r="D1680" s="1">
        <v>8009.05</v>
      </c>
      <c r="E1680" s="1">
        <v>0</v>
      </c>
      <c r="F1680" t="s">
        <v>2999</v>
      </c>
      <c r="G1680" t="str">
        <f>_xlfn.XLOOKUP(C1680,tblCOA[AccountNo],tblCOA[AccountName],"Unmapped")</f>
        <v>Cost of Goods Sold</v>
      </c>
      <c r="H1680" t="str">
        <f>_xlfn.XLOOKUP(C1680,tblCOA[AccountNo],tblCOA[Category],"Unmapped")</f>
        <v>Expenses</v>
      </c>
      <c r="I1680" s="4">
        <f t="shared" si="78"/>
        <v>8009.05</v>
      </c>
      <c r="J1680">
        <f t="shared" si="79"/>
        <v>2026</v>
      </c>
      <c r="K1680" s="5">
        <f t="shared" si="80"/>
        <v>46082</v>
      </c>
    </row>
    <row r="1681" spans="1:11" x14ac:dyDescent="0.25">
      <c r="A1681" t="s">
        <v>3000</v>
      </c>
      <c r="B1681" s="3">
        <v>46089</v>
      </c>
      <c r="C1681">
        <v>2010</v>
      </c>
      <c r="D1681" s="1">
        <v>0</v>
      </c>
      <c r="E1681" s="1">
        <v>8009.05</v>
      </c>
      <c r="F1681" t="s">
        <v>3001</v>
      </c>
      <c r="G1681" t="str">
        <f>_xlfn.XLOOKUP(C1681,tblCOA[AccountNo],tblCOA[AccountName],"Unmapped")</f>
        <v>Accounts Payable</v>
      </c>
      <c r="H1681" t="str">
        <f>_xlfn.XLOOKUP(C1681,tblCOA[AccountNo],tblCOA[Category],"Unmapped")</f>
        <v>Liabilities</v>
      </c>
      <c r="I1681" s="4">
        <f t="shared" si="78"/>
        <v>-8009.05</v>
      </c>
      <c r="J1681">
        <f t="shared" si="79"/>
        <v>2026</v>
      </c>
      <c r="K1681" s="5">
        <f t="shared" si="80"/>
        <v>46082</v>
      </c>
    </row>
    <row r="1682" spans="1:11" x14ac:dyDescent="0.25">
      <c r="A1682" t="s">
        <v>1914</v>
      </c>
      <c r="B1682" s="3">
        <v>46092</v>
      </c>
      <c r="C1682">
        <v>1200</v>
      </c>
      <c r="D1682" s="1">
        <v>46753.38</v>
      </c>
      <c r="E1682" s="1">
        <v>0</v>
      </c>
      <c r="F1682" t="s">
        <v>1915</v>
      </c>
      <c r="G1682" t="str">
        <f>_xlfn.XLOOKUP(C1682,tblCOA[AccountNo],tblCOA[AccountName],"Unmapped")</f>
        <v>Accounts Receivable</v>
      </c>
      <c r="H1682" t="str">
        <f>_xlfn.XLOOKUP(C1682,tblCOA[AccountNo],tblCOA[Category],"Unmapped")</f>
        <v>Assets</v>
      </c>
      <c r="I1682" s="4">
        <f t="shared" si="78"/>
        <v>46753.38</v>
      </c>
      <c r="J1682">
        <f t="shared" si="79"/>
        <v>2026</v>
      </c>
      <c r="K1682" s="5">
        <f t="shared" si="80"/>
        <v>46082</v>
      </c>
    </row>
    <row r="1683" spans="1:11" x14ac:dyDescent="0.25">
      <c r="A1683" t="s">
        <v>1916</v>
      </c>
      <c r="B1683" s="3">
        <v>46092</v>
      </c>
      <c r="C1683">
        <v>4010</v>
      </c>
      <c r="D1683" s="1">
        <v>0</v>
      </c>
      <c r="E1683" s="1">
        <v>46753.38</v>
      </c>
      <c r="F1683" t="s">
        <v>1917</v>
      </c>
      <c r="G1683" t="str">
        <f>_xlfn.XLOOKUP(C1683,tblCOA[AccountNo],tblCOA[AccountName],"Unmapped")</f>
        <v>Product Sales</v>
      </c>
      <c r="H1683" t="str">
        <f>_xlfn.XLOOKUP(C1683,tblCOA[AccountNo],tblCOA[Category],"Unmapped")</f>
        <v>Revenue</v>
      </c>
      <c r="I1683" s="4">
        <f t="shared" si="78"/>
        <v>-46753.38</v>
      </c>
      <c r="J1683">
        <f t="shared" si="79"/>
        <v>2026</v>
      </c>
      <c r="K1683" s="5">
        <f t="shared" si="80"/>
        <v>46082</v>
      </c>
    </row>
    <row r="1684" spans="1:11" x14ac:dyDescent="0.25">
      <c r="A1684" t="s">
        <v>3922</v>
      </c>
      <c r="B1684" s="3">
        <v>46094</v>
      </c>
      <c r="C1684">
        <v>1200</v>
      </c>
      <c r="D1684" s="1">
        <v>5963.79</v>
      </c>
      <c r="E1684" s="1">
        <v>0</v>
      </c>
      <c r="F1684" t="s">
        <v>3923</v>
      </c>
      <c r="G1684" t="str">
        <f>_xlfn.XLOOKUP(C1684,tblCOA[AccountNo],tblCOA[AccountName],"Unmapped")</f>
        <v>Accounts Receivable</v>
      </c>
      <c r="H1684" t="str">
        <f>_xlfn.XLOOKUP(C1684,tblCOA[AccountNo],tblCOA[Category],"Unmapped")</f>
        <v>Assets</v>
      </c>
      <c r="I1684" s="4">
        <f t="shared" si="78"/>
        <v>5963.79</v>
      </c>
      <c r="J1684">
        <f t="shared" si="79"/>
        <v>2026</v>
      </c>
      <c r="K1684" s="5">
        <f t="shared" si="80"/>
        <v>46082</v>
      </c>
    </row>
    <row r="1685" spans="1:11" x14ac:dyDescent="0.25">
      <c r="A1685" t="s">
        <v>3924</v>
      </c>
      <c r="B1685" s="3">
        <v>46094</v>
      </c>
      <c r="C1685">
        <v>4010</v>
      </c>
      <c r="D1685" s="1">
        <v>0</v>
      </c>
      <c r="E1685" s="1">
        <v>5963.79</v>
      </c>
      <c r="F1685" t="s">
        <v>3925</v>
      </c>
      <c r="G1685" t="str">
        <f>_xlfn.XLOOKUP(C1685,tblCOA[AccountNo],tblCOA[AccountName],"Unmapped")</f>
        <v>Product Sales</v>
      </c>
      <c r="H1685" t="str">
        <f>_xlfn.XLOOKUP(C1685,tblCOA[AccountNo],tblCOA[Category],"Unmapped")</f>
        <v>Revenue</v>
      </c>
      <c r="I1685" s="4">
        <f t="shared" si="78"/>
        <v>-5963.79</v>
      </c>
      <c r="J1685">
        <f t="shared" si="79"/>
        <v>2026</v>
      </c>
      <c r="K1685" s="5">
        <f t="shared" si="80"/>
        <v>46082</v>
      </c>
    </row>
    <row r="1686" spans="1:11" x14ac:dyDescent="0.25">
      <c r="A1686" t="s">
        <v>3134</v>
      </c>
      <c r="B1686" s="3">
        <v>46097</v>
      </c>
      <c r="C1686">
        <v>5010</v>
      </c>
      <c r="D1686" s="1">
        <v>12134.57</v>
      </c>
      <c r="E1686" s="1">
        <v>0</v>
      </c>
      <c r="F1686" t="s">
        <v>3135</v>
      </c>
      <c r="G1686" t="str">
        <f>_xlfn.XLOOKUP(C1686,tblCOA[AccountNo],tblCOA[AccountName],"Unmapped")</f>
        <v>Cost of Goods Sold</v>
      </c>
      <c r="H1686" t="str">
        <f>_xlfn.XLOOKUP(C1686,tblCOA[AccountNo],tblCOA[Category],"Unmapped")</f>
        <v>Expenses</v>
      </c>
      <c r="I1686" s="4">
        <f t="shared" si="78"/>
        <v>12134.57</v>
      </c>
      <c r="J1686">
        <f t="shared" si="79"/>
        <v>2026</v>
      </c>
      <c r="K1686" s="5">
        <f t="shared" si="80"/>
        <v>46082</v>
      </c>
    </row>
    <row r="1687" spans="1:11" x14ac:dyDescent="0.25">
      <c r="A1687" t="s">
        <v>3136</v>
      </c>
      <c r="B1687" s="3">
        <v>46097</v>
      </c>
      <c r="C1687">
        <v>2010</v>
      </c>
      <c r="D1687" s="1">
        <v>0</v>
      </c>
      <c r="E1687" s="1">
        <v>12134.57</v>
      </c>
      <c r="F1687" t="s">
        <v>3137</v>
      </c>
      <c r="G1687" t="str">
        <f>_xlfn.XLOOKUP(C1687,tblCOA[AccountNo],tblCOA[AccountName],"Unmapped")</f>
        <v>Accounts Payable</v>
      </c>
      <c r="H1687" t="str">
        <f>_xlfn.XLOOKUP(C1687,tblCOA[AccountNo],tblCOA[Category],"Unmapped")</f>
        <v>Liabilities</v>
      </c>
      <c r="I1687" s="4">
        <f t="shared" si="78"/>
        <v>-12134.57</v>
      </c>
      <c r="J1687">
        <f t="shared" si="79"/>
        <v>2026</v>
      </c>
      <c r="K1687" s="5">
        <f t="shared" si="80"/>
        <v>46082</v>
      </c>
    </row>
    <row r="1688" spans="1:11" x14ac:dyDescent="0.25">
      <c r="A1688" t="s">
        <v>1130</v>
      </c>
      <c r="B1688" s="3">
        <v>46099</v>
      </c>
      <c r="C1688">
        <v>1200</v>
      </c>
      <c r="D1688" s="1">
        <v>20567.25</v>
      </c>
      <c r="E1688" s="1">
        <v>0</v>
      </c>
      <c r="F1688" t="s">
        <v>1131</v>
      </c>
      <c r="G1688" t="str">
        <f>_xlfn.XLOOKUP(C1688,tblCOA[AccountNo],tblCOA[AccountName],"Unmapped")</f>
        <v>Accounts Receivable</v>
      </c>
      <c r="H1688" t="str">
        <f>_xlfn.XLOOKUP(C1688,tblCOA[AccountNo],tblCOA[Category],"Unmapped")</f>
        <v>Assets</v>
      </c>
      <c r="I1688" s="4">
        <f t="shared" si="78"/>
        <v>20567.25</v>
      </c>
      <c r="J1688">
        <f t="shared" si="79"/>
        <v>2026</v>
      </c>
      <c r="K1688" s="5">
        <f t="shared" si="80"/>
        <v>46082</v>
      </c>
    </row>
    <row r="1689" spans="1:11" x14ac:dyDescent="0.25">
      <c r="A1689" t="s">
        <v>1132</v>
      </c>
      <c r="B1689" s="3">
        <v>46099</v>
      </c>
      <c r="C1689">
        <v>4010</v>
      </c>
      <c r="D1689" s="1">
        <v>0</v>
      </c>
      <c r="E1689" s="1">
        <v>20567.25</v>
      </c>
      <c r="F1689" t="s">
        <v>1133</v>
      </c>
      <c r="G1689" t="str">
        <f>_xlfn.XLOOKUP(C1689,tblCOA[AccountNo],tblCOA[AccountName],"Unmapped")</f>
        <v>Product Sales</v>
      </c>
      <c r="H1689" t="str">
        <f>_xlfn.XLOOKUP(C1689,tblCOA[AccountNo],tblCOA[Category],"Unmapped")</f>
        <v>Revenue</v>
      </c>
      <c r="I1689" s="4">
        <f t="shared" si="78"/>
        <v>-20567.25</v>
      </c>
      <c r="J1689">
        <f t="shared" si="79"/>
        <v>2026</v>
      </c>
      <c r="K1689" s="5">
        <f t="shared" si="80"/>
        <v>46082</v>
      </c>
    </row>
    <row r="1690" spans="1:11" x14ac:dyDescent="0.25">
      <c r="A1690" t="s">
        <v>2326</v>
      </c>
      <c r="B1690" s="3">
        <v>46100</v>
      </c>
      <c r="C1690">
        <v>5010</v>
      </c>
      <c r="D1690" s="1">
        <v>14004.33</v>
      </c>
      <c r="E1690" s="1">
        <v>0</v>
      </c>
      <c r="F1690" t="s">
        <v>2327</v>
      </c>
      <c r="G1690" t="str">
        <f>_xlfn.XLOOKUP(C1690,tblCOA[AccountNo],tblCOA[AccountName],"Unmapped")</f>
        <v>Cost of Goods Sold</v>
      </c>
      <c r="H1690" t="str">
        <f>_xlfn.XLOOKUP(C1690,tblCOA[AccountNo],tblCOA[Category],"Unmapped")</f>
        <v>Expenses</v>
      </c>
      <c r="I1690" s="4">
        <f t="shared" si="78"/>
        <v>14004.33</v>
      </c>
      <c r="J1690">
        <f t="shared" si="79"/>
        <v>2026</v>
      </c>
      <c r="K1690" s="5">
        <f t="shared" si="80"/>
        <v>46082</v>
      </c>
    </row>
    <row r="1691" spans="1:11" x14ac:dyDescent="0.25">
      <c r="A1691" t="s">
        <v>2328</v>
      </c>
      <c r="B1691" s="3">
        <v>46100</v>
      </c>
      <c r="C1691">
        <v>2010</v>
      </c>
      <c r="D1691" s="1">
        <v>0</v>
      </c>
      <c r="E1691" s="1">
        <v>14004.33</v>
      </c>
      <c r="F1691" t="s">
        <v>2329</v>
      </c>
      <c r="G1691" t="str">
        <f>_xlfn.XLOOKUP(C1691,tblCOA[AccountNo],tblCOA[AccountName],"Unmapped")</f>
        <v>Accounts Payable</v>
      </c>
      <c r="H1691" t="str">
        <f>_xlfn.XLOOKUP(C1691,tblCOA[AccountNo],tblCOA[Category],"Unmapped")</f>
        <v>Liabilities</v>
      </c>
      <c r="I1691" s="4">
        <f t="shared" si="78"/>
        <v>-14004.33</v>
      </c>
      <c r="J1691">
        <f t="shared" si="79"/>
        <v>2026</v>
      </c>
      <c r="K1691" s="5">
        <f t="shared" si="80"/>
        <v>46082</v>
      </c>
    </row>
    <row r="1692" spans="1:11" x14ac:dyDescent="0.25">
      <c r="A1692" t="s">
        <v>2502</v>
      </c>
      <c r="B1692" s="3">
        <v>46100</v>
      </c>
      <c r="C1692">
        <v>5010</v>
      </c>
      <c r="D1692" s="1">
        <v>15384.05</v>
      </c>
      <c r="E1692" s="1">
        <v>0</v>
      </c>
      <c r="F1692" t="s">
        <v>2503</v>
      </c>
      <c r="G1692" t="str">
        <f>_xlfn.XLOOKUP(C1692,tblCOA[AccountNo],tblCOA[AccountName],"Unmapped")</f>
        <v>Cost of Goods Sold</v>
      </c>
      <c r="H1692" t="str">
        <f>_xlfn.XLOOKUP(C1692,tblCOA[AccountNo],tblCOA[Category],"Unmapped")</f>
        <v>Expenses</v>
      </c>
      <c r="I1692" s="4">
        <f t="shared" si="78"/>
        <v>15384.05</v>
      </c>
      <c r="J1692">
        <f t="shared" si="79"/>
        <v>2026</v>
      </c>
      <c r="K1692" s="5">
        <f t="shared" si="80"/>
        <v>46082</v>
      </c>
    </row>
    <row r="1693" spans="1:11" x14ac:dyDescent="0.25">
      <c r="A1693" t="s">
        <v>2504</v>
      </c>
      <c r="B1693" s="3">
        <v>46100</v>
      </c>
      <c r="C1693">
        <v>2010</v>
      </c>
      <c r="D1693" s="1">
        <v>0</v>
      </c>
      <c r="E1693" s="1">
        <v>15384.05</v>
      </c>
      <c r="F1693" t="s">
        <v>2505</v>
      </c>
      <c r="G1693" t="str">
        <f>_xlfn.XLOOKUP(C1693,tblCOA[AccountNo],tblCOA[AccountName],"Unmapped")</f>
        <v>Accounts Payable</v>
      </c>
      <c r="H1693" t="str">
        <f>_xlfn.XLOOKUP(C1693,tblCOA[AccountNo],tblCOA[Category],"Unmapped")</f>
        <v>Liabilities</v>
      </c>
      <c r="I1693" s="4">
        <f t="shared" si="78"/>
        <v>-15384.05</v>
      </c>
      <c r="J1693">
        <f t="shared" si="79"/>
        <v>2026</v>
      </c>
      <c r="K1693" s="5">
        <f t="shared" si="80"/>
        <v>46082</v>
      </c>
    </row>
    <row r="1694" spans="1:11" x14ac:dyDescent="0.25">
      <c r="A1694" t="s">
        <v>3338</v>
      </c>
      <c r="B1694" s="3">
        <v>46100</v>
      </c>
      <c r="C1694">
        <v>1200</v>
      </c>
      <c r="D1694" s="1">
        <v>27335.05</v>
      </c>
      <c r="E1694" s="1">
        <v>0</v>
      </c>
      <c r="F1694" t="s">
        <v>3339</v>
      </c>
      <c r="G1694" t="str">
        <f>_xlfn.XLOOKUP(C1694,tblCOA[AccountNo],tblCOA[AccountName],"Unmapped")</f>
        <v>Accounts Receivable</v>
      </c>
      <c r="H1694" t="str">
        <f>_xlfn.XLOOKUP(C1694,tblCOA[AccountNo],tblCOA[Category],"Unmapped")</f>
        <v>Assets</v>
      </c>
      <c r="I1694" s="4">
        <f t="shared" si="78"/>
        <v>27335.05</v>
      </c>
      <c r="J1694">
        <f t="shared" si="79"/>
        <v>2026</v>
      </c>
      <c r="K1694" s="5">
        <f t="shared" si="80"/>
        <v>46082</v>
      </c>
    </row>
    <row r="1695" spans="1:11" x14ac:dyDescent="0.25">
      <c r="A1695" t="s">
        <v>3340</v>
      </c>
      <c r="B1695" s="3">
        <v>46100</v>
      </c>
      <c r="C1695">
        <v>4010</v>
      </c>
      <c r="D1695" s="1">
        <v>0</v>
      </c>
      <c r="E1695" s="1">
        <v>27335.05</v>
      </c>
      <c r="F1695" t="s">
        <v>3341</v>
      </c>
      <c r="G1695" t="str">
        <f>_xlfn.XLOOKUP(C1695,tblCOA[AccountNo],tblCOA[AccountName],"Unmapped")</f>
        <v>Product Sales</v>
      </c>
      <c r="H1695" t="str">
        <f>_xlfn.XLOOKUP(C1695,tblCOA[AccountNo],tblCOA[Category],"Unmapped")</f>
        <v>Revenue</v>
      </c>
      <c r="I1695" s="4">
        <f t="shared" si="78"/>
        <v>-27335.05</v>
      </c>
      <c r="J1695">
        <f t="shared" si="79"/>
        <v>2026</v>
      </c>
      <c r="K1695" s="5">
        <f t="shared" si="80"/>
        <v>46082</v>
      </c>
    </row>
    <row r="1696" spans="1:11" x14ac:dyDescent="0.25">
      <c r="A1696" t="s">
        <v>3454</v>
      </c>
      <c r="B1696" s="3">
        <v>46101</v>
      </c>
      <c r="C1696">
        <v>5010</v>
      </c>
      <c r="D1696" s="1">
        <v>10383.530000000001</v>
      </c>
      <c r="E1696" s="1">
        <v>0</v>
      </c>
      <c r="F1696" t="s">
        <v>3455</v>
      </c>
      <c r="G1696" t="str">
        <f>_xlfn.XLOOKUP(C1696,tblCOA[AccountNo],tblCOA[AccountName],"Unmapped")</f>
        <v>Cost of Goods Sold</v>
      </c>
      <c r="H1696" t="str">
        <f>_xlfn.XLOOKUP(C1696,tblCOA[AccountNo],tblCOA[Category],"Unmapped")</f>
        <v>Expenses</v>
      </c>
      <c r="I1696" s="4">
        <f t="shared" si="78"/>
        <v>10383.530000000001</v>
      </c>
      <c r="J1696">
        <f t="shared" si="79"/>
        <v>2026</v>
      </c>
      <c r="K1696" s="5">
        <f t="shared" si="80"/>
        <v>46082</v>
      </c>
    </row>
    <row r="1697" spans="1:11" x14ac:dyDescent="0.25">
      <c r="A1697" t="s">
        <v>3456</v>
      </c>
      <c r="B1697" s="3">
        <v>46101</v>
      </c>
      <c r="C1697">
        <v>2010</v>
      </c>
      <c r="D1697" s="1">
        <v>0</v>
      </c>
      <c r="E1697" s="1">
        <v>10383.530000000001</v>
      </c>
      <c r="F1697" t="s">
        <v>3457</v>
      </c>
      <c r="G1697" t="str">
        <f>_xlfn.XLOOKUP(C1697,tblCOA[AccountNo],tblCOA[AccountName],"Unmapped")</f>
        <v>Accounts Payable</v>
      </c>
      <c r="H1697" t="str">
        <f>_xlfn.XLOOKUP(C1697,tblCOA[AccountNo],tblCOA[Category],"Unmapped")</f>
        <v>Liabilities</v>
      </c>
      <c r="I1697" s="4">
        <f t="shared" si="78"/>
        <v>-10383.530000000001</v>
      </c>
      <c r="J1697">
        <f t="shared" si="79"/>
        <v>2026</v>
      </c>
      <c r="K1697" s="5">
        <f t="shared" si="80"/>
        <v>46082</v>
      </c>
    </row>
    <row r="1698" spans="1:11" x14ac:dyDescent="0.25">
      <c r="A1698" t="s">
        <v>598</v>
      </c>
      <c r="B1698" s="3">
        <v>46101</v>
      </c>
      <c r="C1698">
        <v>5010</v>
      </c>
      <c r="D1698" s="1">
        <v>7978.29</v>
      </c>
      <c r="E1698" s="1">
        <v>0</v>
      </c>
      <c r="F1698" t="s">
        <v>599</v>
      </c>
      <c r="G1698" t="str">
        <f>_xlfn.XLOOKUP(C1698,tblCOA[AccountNo],tblCOA[AccountName],"Unmapped")</f>
        <v>Cost of Goods Sold</v>
      </c>
      <c r="H1698" t="str">
        <f>_xlfn.XLOOKUP(C1698,tblCOA[AccountNo],tblCOA[Category],"Unmapped")</f>
        <v>Expenses</v>
      </c>
      <c r="I1698" s="4">
        <f t="shared" si="78"/>
        <v>7978.29</v>
      </c>
      <c r="J1698">
        <f t="shared" si="79"/>
        <v>2026</v>
      </c>
      <c r="K1698" s="5">
        <f t="shared" si="80"/>
        <v>46082</v>
      </c>
    </row>
    <row r="1699" spans="1:11" x14ac:dyDescent="0.25">
      <c r="A1699" t="s">
        <v>600</v>
      </c>
      <c r="B1699" s="3">
        <v>46101</v>
      </c>
      <c r="C1699">
        <v>2010</v>
      </c>
      <c r="D1699" s="1">
        <v>0</v>
      </c>
      <c r="E1699" s="1">
        <v>7978.29</v>
      </c>
      <c r="F1699" t="s">
        <v>601</v>
      </c>
      <c r="G1699" t="str">
        <f>_xlfn.XLOOKUP(C1699,tblCOA[AccountNo],tblCOA[AccountName],"Unmapped")</f>
        <v>Accounts Payable</v>
      </c>
      <c r="H1699" t="str">
        <f>_xlfn.XLOOKUP(C1699,tblCOA[AccountNo],tblCOA[Category],"Unmapped")</f>
        <v>Liabilities</v>
      </c>
      <c r="I1699" s="4">
        <f t="shared" si="78"/>
        <v>-7978.29</v>
      </c>
      <c r="J1699">
        <f t="shared" si="79"/>
        <v>2026</v>
      </c>
      <c r="K1699" s="5">
        <f t="shared" si="80"/>
        <v>46082</v>
      </c>
    </row>
    <row r="1700" spans="1:11" x14ac:dyDescent="0.25">
      <c r="A1700" t="s">
        <v>1298</v>
      </c>
      <c r="B1700" s="3">
        <v>46101</v>
      </c>
      <c r="C1700">
        <v>1200</v>
      </c>
      <c r="D1700" s="1">
        <v>26336.14</v>
      </c>
      <c r="E1700" s="1">
        <v>0</v>
      </c>
      <c r="F1700" t="s">
        <v>1299</v>
      </c>
      <c r="G1700" t="str">
        <f>_xlfn.XLOOKUP(C1700,tblCOA[AccountNo],tblCOA[AccountName],"Unmapped")</f>
        <v>Accounts Receivable</v>
      </c>
      <c r="H1700" t="str">
        <f>_xlfn.XLOOKUP(C1700,tblCOA[AccountNo],tblCOA[Category],"Unmapped")</f>
        <v>Assets</v>
      </c>
      <c r="I1700" s="4">
        <f t="shared" si="78"/>
        <v>26336.14</v>
      </c>
      <c r="J1700">
        <f t="shared" si="79"/>
        <v>2026</v>
      </c>
      <c r="K1700" s="5">
        <f t="shared" si="80"/>
        <v>46082</v>
      </c>
    </row>
    <row r="1701" spans="1:11" x14ac:dyDescent="0.25">
      <c r="A1701" t="s">
        <v>1300</v>
      </c>
      <c r="B1701" s="3">
        <v>46101</v>
      </c>
      <c r="C1701">
        <v>4010</v>
      </c>
      <c r="D1701" s="1">
        <v>0</v>
      </c>
      <c r="E1701" s="1">
        <v>26336.14</v>
      </c>
      <c r="F1701" t="s">
        <v>1301</v>
      </c>
      <c r="G1701" t="str">
        <f>_xlfn.XLOOKUP(C1701,tblCOA[AccountNo],tblCOA[AccountName],"Unmapped")</f>
        <v>Product Sales</v>
      </c>
      <c r="H1701" t="str">
        <f>_xlfn.XLOOKUP(C1701,tblCOA[AccountNo],tblCOA[Category],"Unmapped")</f>
        <v>Revenue</v>
      </c>
      <c r="I1701" s="4">
        <f t="shared" si="78"/>
        <v>-26336.14</v>
      </c>
      <c r="J1701">
        <f t="shared" si="79"/>
        <v>2026</v>
      </c>
      <c r="K1701" s="5">
        <f t="shared" si="80"/>
        <v>46082</v>
      </c>
    </row>
    <row r="1702" spans="1:11" x14ac:dyDescent="0.25">
      <c r="A1702" t="s">
        <v>3846</v>
      </c>
      <c r="B1702" s="3">
        <v>46102</v>
      </c>
      <c r="C1702">
        <v>5010</v>
      </c>
      <c r="D1702" s="1">
        <v>14010.05</v>
      </c>
      <c r="E1702" s="1">
        <v>0</v>
      </c>
      <c r="F1702" t="s">
        <v>3847</v>
      </c>
      <c r="G1702" t="str">
        <f>_xlfn.XLOOKUP(C1702,tblCOA[AccountNo],tblCOA[AccountName],"Unmapped")</f>
        <v>Cost of Goods Sold</v>
      </c>
      <c r="H1702" t="str">
        <f>_xlfn.XLOOKUP(C1702,tblCOA[AccountNo],tblCOA[Category],"Unmapped")</f>
        <v>Expenses</v>
      </c>
      <c r="I1702" s="4">
        <f t="shared" si="78"/>
        <v>14010.05</v>
      </c>
      <c r="J1702">
        <f t="shared" si="79"/>
        <v>2026</v>
      </c>
      <c r="K1702" s="5">
        <f t="shared" si="80"/>
        <v>46082</v>
      </c>
    </row>
    <row r="1703" spans="1:11" x14ac:dyDescent="0.25">
      <c r="A1703" t="s">
        <v>3848</v>
      </c>
      <c r="B1703" s="3">
        <v>46102</v>
      </c>
      <c r="C1703">
        <v>2010</v>
      </c>
      <c r="D1703" s="1">
        <v>0</v>
      </c>
      <c r="E1703" s="1">
        <v>14010.05</v>
      </c>
      <c r="F1703" t="s">
        <v>3849</v>
      </c>
      <c r="G1703" t="str">
        <f>_xlfn.XLOOKUP(C1703,tblCOA[AccountNo],tblCOA[AccountName],"Unmapped")</f>
        <v>Accounts Payable</v>
      </c>
      <c r="H1703" t="str">
        <f>_xlfn.XLOOKUP(C1703,tblCOA[AccountNo],tblCOA[Category],"Unmapped")</f>
        <v>Liabilities</v>
      </c>
      <c r="I1703" s="4">
        <f t="shared" si="78"/>
        <v>-14010.05</v>
      </c>
      <c r="J1703">
        <f t="shared" si="79"/>
        <v>2026</v>
      </c>
      <c r="K1703" s="5">
        <f t="shared" si="80"/>
        <v>46082</v>
      </c>
    </row>
    <row r="1704" spans="1:11" x14ac:dyDescent="0.25">
      <c r="A1704" t="s">
        <v>278</v>
      </c>
      <c r="B1704" s="3">
        <v>46105</v>
      </c>
      <c r="C1704">
        <v>5010</v>
      </c>
      <c r="D1704" s="1">
        <v>14883.07</v>
      </c>
      <c r="E1704" s="1">
        <v>0</v>
      </c>
      <c r="F1704" t="s">
        <v>279</v>
      </c>
      <c r="G1704" t="str">
        <f>_xlfn.XLOOKUP(C1704,tblCOA[AccountNo],tblCOA[AccountName],"Unmapped")</f>
        <v>Cost of Goods Sold</v>
      </c>
      <c r="H1704" t="str">
        <f>_xlfn.XLOOKUP(C1704,tblCOA[AccountNo],tblCOA[Category],"Unmapped")</f>
        <v>Expenses</v>
      </c>
      <c r="I1704" s="4">
        <f t="shared" si="78"/>
        <v>14883.07</v>
      </c>
      <c r="J1704">
        <f t="shared" si="79"/>
        <v>2026</v>
      </c>
      <c r="K1704" s="5">
        <f t="shared" si="80"/>
        <v>46082</v>
      </c>
    </row>
    <row r="1705" spans="1:11" x14ac:dyDescent="0.25">
      <c r="A1705" t="s">
        <v>280</v>
      </c>
      <c r="B1705" s="3">
        <v>46105</v>
      </c>
      <c r="C1705">
        <v>2010</v>
      </c>
      <c r="D1705" s="1">
        <v>0</v>
      </c>
      <c r="E1705" s="1">
        <v>14883.07</v>
      </c>
      <c r="F1705" t="s">
        <v>281</v>
      </c>
      <c r="G1705" t="str">
        <f>_xlfn.XLOOKUP(C1705,tblCOA[AccountNo],tblCOA[AccountName],"Unmapped")</f>
        <v>Accounts Payable</v>
      </c>
      <c r="H1705" t="str">
        <f>_xlfn.XLOOKUP(C1705,tblCOA[AccountNo],tblCOA[Category],"Unmapped")</f>
        <v>Liabilities</v>
      </c>
      <c r="I1705" s="4">
        <f t="shared" si="78"/>
        <v>-14883.07</v>
      </c>
      <c r="J1705">
        <f t="shared" si="79"/>
        <v>2026</v>
      </c>
      <c r="K1705" s="5">
        <f t="shared" si="80"/>
        <v>46082</v>
      </c>
    </row>
    <row r="1706" spans="1:11" x14ac:dyDescent="0.25">
      <c r="A1706" t="s">
        <v>3378</v>
      </c>
      <c r="B1706" s="3">
        <v>46105</v>
      </c>
      <c r="C1706">
        <v>1200</v>
      </c>
      <c r="D1706" s="1">
        <v>4818.49</v>
      </c>
      <c r="E1706" s="1">
        <v>0</v>
      </c>
      <c r="F1706" t="s">
        <v>3379</v>
      </c>
      <c r="G1706" t="str">
        <f>_xlfn.XLOOKUP(C1706,tblCOA[AccountNo],tblCOA[AccountName],"Unmapped")</f>
        <v>Accounts Receivable</v>
      </c>
      <c r="H1706" t="str">
        <f>_xlfn.XLOOKUP(C1706,tblCOA[AccountNo],tblCOA[Category],"Unmapped")</f>
        <v>Assets</v>
      </c>
      <c r="I1706" s="4">
        <f t="shared" si="78"/>
        <v>4818.49</v>
      </c>
      <c r="J1706">
        <f t="shared" si="79"/>
        <v>2026</v>
      </c>
      <c r="K1706" s="5">
        <f t="shared" si="80"/>
        <v>46082</v>
      </c>
    </row>
    <row r="1707" spans="1:11" x14ac:dyDescent="0.25">
      <c r="A1707" t="s">
        <v>3380</v>
      </c>
      <c r="B1707" s="3">
        <v>46105</v>
      </c>
      <c r="C1707">
        <v>4010</v>
      </c>
      <c r="D1707" s="1">
        <v>0</v>
      </c>
      <c r="E1707" s="1">
        <v>4818.49</v>
      </c>
      <c r="F1707" t="s">
        <v>3381</v>
      </c>
      <c r="G1707" t="str">
        <f>_xlfn.XLOOKUP(C1707,tblCOA[AccountNo],tblCOA[AccountName],"Unmapped")</f>
        <v>Product Sales</v>
      </c>
      <c r="H1707" t="str">
        <f>_xlfn.XLOOKUP(C1707,tblCOA[AccountNo],tblCOA[Category],"Unmapped")</f>
        <v>Revenue</v>
      </c>
      <c r="I1707" s="4">
        <f t="shared" si="78"/>
        <v>-4818.49</v>
      </c>
      <c r="J1707">
        <f t="shared" si="79"/>
        <v>2026</v>
      </c>
      <c r="K1707" s="5">
        <f t="shared" si="80"/>
        <v>46082</v>
      </c>
    </row>
    <row r="1708" spans="1:11" x14ac:dyDescent="0.25">
      <c r="A1708" t="s">
        <v>2798</v>
      </c>
      <c r="B1708" s="3">
        <v>46106</v>
      </c>
      <c r="C1708">
        <v>5010</v>
      </c>
      <c r="D1708" s="1">
        <v>8162.57</v>
      </c>
      <c r="E1708" s="1">
        <v>0</v>
      </c>
      <c r="F1708" t="s">
        <v>2799</v>
      </c>
      <c r="G1708" t="str">
        <f>_xlfn.XLOOKUP(C1708,tblCOA[AccountNo],tblCOA[AccountName],"Unmapped")</f>
        <v>Cost of Goods Sold</v>
      </c>
      <c r="H1708" t="str">
        <f>_xlfn.XLOOKUP(C1708,tblCOA[AccountNo],tblCOA[Category],"Unmapped")</f>
        <v>Expenses</v>
      </c>
      <c r="I1708" s="4">
        <f t="shared" si="78"/>
        <v>8162.57</v>
      </c>
      <c r="J1708">
        <f t="shared" si="79"/>
        <v>2026</v>
      </c>
      <c r="K1708" s="5">
        <f t="shared" si="80"/>
        <v>46082</v>
      </c>
    </row>
    <row r="1709" spans="1:11" x14ac:dyDescent="0.25">
      <c r="A1709" t="s">
        <v>2800</v>
      </c>
      <c r="B1709" s="3">
        <v>46106</v>
      </c>
      <c r="C1709">
        <v>2010</v>
      </c>
      <c r="D1709" s="1">
        <v>0</v>
      </c>
      <c r="E1709" s="1">
        <v>8162.57</v>
      </c>
      <c r="F1709" t="s">
        <v>2801</v>
      </c>
      <c r="G1709" t="str">
        <f>_xlfn.XLOOKUP(C1709,tblCOA[AccountNo],tblCOA[AccountName],"Unmapped")</f>
        <v>Accounts Payable</v>
      </c>
      <c r="H1709" t="str">
        <f>_xlfn.XLOOKUP(C1709,tblCOA[AccountNo],tblCOA[Category],"Unmapped")</f>
        <v>Liabilities</v>
      </c>
      <c r="I1709" s="4">
        <f t="shared" si="78"/>
        <v>-8162.57</v>
      </c>
      <c r="J1709">
        <f t="shared" si="79"/>
        <v>2026</v>
      </c>
      <c r="K1709" s="5">
        <f t="shared" si="80"/>
        <v>46082</v>
      </c>
    </row>
    <row r="1710" spans="1:11" x14ac:dyDescent="0.25">
      <c r="A1710" t="s">
        <v>1522</v>
      </c>
      <c r="B1710" s="3">
        <v>46106</v>
      </c>
      <c r="C1710">
        <v>1200</v>
      </c>
      <c r="D1710" s="1">
        <v>29137.01</v>
      </c>
      <c r="E1710" s="1">
        <v>0</v>
      </c>
      <c r="F1710" t="s">
        <v>1523</v>
      </c>
      <c r="G1710" t="str">
        <f>_xlfn.XLOOKUP(C1710,tblCOA[AccountNo],tblCOA[AccountName],"Unmapped")</f>
        <v>Accounts Receivable</v>
      </c>
      <c r="H1710" t="str">
        <f>_xlfn.XLOOKUP(C1710,tblCOA[AccountNo],tblCOA[Category],"Unmapped")</f>
        <v>Assets</v>
      </c>
      <c r="I1710" s="4">
        <f t="shared" si="78"/>
        <v>29137.01</v>
      </c>
      <c r="J1710">
        <f t="shared" si="79"/>
        <v>2026</v>
      </c>
      <c r="K1710" s="5">
        <f t="shared" si="80"/>
        <v>46082</v>
      </c>
    </row>
    <row r="1711" spans="1:11" x14ac:dyDescent="0.25">
      <c r="A1711" t="s">
        <v>1524</v>
      </c>
      <c r="B1711" s="3">
        <v>46106</v>
      </c>
      <c r="C1711">
        <v>4010</v>
      </c>
      <c r="D1711" s="1">
        <v>0</v>
      </c>
      <c r="E1711" s="1">
        <v>29137.01</v>
      </c>
      <c r="F1711" t="s">
        <v>1525</v>
      </c>
      <c r="G1711" t="str">
        <f>_xlfn.XLOOKUP(C1711,tblCOA[AccountNo],tblCOA[AccountName],"Unmapped")</f>
        <v>Product Sales</v>
      </c>
      <c r="H1711" t="str">
        <f>_xlfn.XLOOKUP(C1711,tblCOA[AccountNo],tblCOA[Category],"Unmapped")</f>
        <v>Revenue</v>
      </c>
      <c r="I1711" s="4">
        <f t="shared" si="78"/>
        <v>-29137.01</v>
      </c>
      <c r="J1711">
        <f t="shared" si="79"/>
        <v>2026</v>
      </c>
      <c r="K1711" s="5">
        <f t="shared" si="80"/>
        <v>46082</v>
      </c>
    </row>
    <row r="1712" spans="1:11" x14ac:dyDescent="0.25">
      <c r="A1712" t="s">
        <v>330</v>
      </c>
      <c r="B1712" s="3">
        <v>46109</v>
      </c>
      <c r="C1712">
        <v>1200</v>
      </c>
      <c r="D1712" s="1">
        <v>49542.58</v>
      </c>
      <c r="E1712" s="1">
        <v>0</v>
      </c>
      <c r="F1712" t="s">
        <v>331</v>
      </c>
      <c r="G1712" t="str">
        <f>_xlfn.XLOOKUP(C1712,tblCOA[AccountNo],tblCOA[AccountName],"Unmapped")</f>
        <v>Accounts Receivable</v>
      </c>
      <c r="H1712" t="str">
        <f>_xlfn.XLOOKUP(C1712,tblCOA[AccountNo],tblCOA[Category],"Unmapped")</f>
        <v>Assets</v>
      </c>
      <c r="I1712" s="4">
        <f t="shared" si="78"/>
        <v>49542.58</v>
      </c>
      <c r="J1712">
        <f t="shared" si="79"/>
        <v>2026</v>
      </c>
      <c r="K1712" s="5">
        <f t="shared" si="80"/>
        <v>46082</v>
      </c>
    </row>
    <row r="1713" spans="1:11" x14ac:dyDescent="0.25">
      <c r="A1713" t="s">
        <v>332</v>
      </c>
      <c r="B1713" s="3">
        <v>46109</v>
      </c>
      <c r="C1713">
        <v>4010</v>
      </c>
      <c r="D1713" s="1">
        <v>0</v>
      </c>
      <c r="E1713" s="1">
        <v>49542.58</v>
      </c>
      <c r="F1713" t="s">
        <v>333</v>
      </c>
      <c r="G1713" t="str">
        <f>_xlfn.XLOOKUP(C1713,tblCOA[AccountNo],tblCOA[AccountName],"Unmapped")</f>
        <v>Product Sales</v>
      </c>
      <c r="H1713" t="str">
        <f>_xlfn.XLOOKUP(C1713,tblCOA[AccountNo],tblCOA[Category],"Unmapped")</f>
        <v>Revenue</v>
      </c>
      <c r="I1713" s="4">
        <f t="shared" si="78"/>
        <v>-49542.58</v>
      </c>
      <c r="J1713">
        <f t="shared" si="79"/>
        <v>2026</v>
      </c>
      <c r="K1713" s="5">
        <f t="shared" si="80"/>
        <v>46082</v>
      </c>
    </row>
    <row r="1714" spans="1:11" x14ac:dyDescent="0.25">
      <c r="A1714" t="s">
        <v>386</v>
      </c>
      <c r="B1714" s="3">
        <v>46109</v>
      </c>
      <c r="C1714">
        <v>1200</v>
      </c>
      <c r="D1714" s="1">
        <v>48228.07</v>
      </c>
      <c r="E1714" s="1">
        <v>0</v>
      </c>
      <c r="F1714" t="s">
        <v>387</v>
      </c>
      <c r="G1714" t="str">
        <f>_xlfn.XLOOKUP(C1714,tblCOA[AccountNo],tblCOA[AccountName],"Unmapped")</f>
        <v>Accounts Receivable</v>
      </c>
      <c r="H1714" t="str">
        <f>_xlfn.XLOOKUP(C1714,tblCOA[AccountNo],tblCOA[Category],"Unmapped")</f>
        <v>Assets</v>
      </c>
      <c r="I1714" s="4">
        <f t="shared" si="78"/>
        <v>48228.07</v>
      </c>
      <c r="J1714">
        <f t="shared" si="79"/>
        <v>2026</v>
      </c>
      <c r="K1714" s="5">
        <f t="shared" si="80"/>
        <v>46082</v>
      </c>
    </row>
    <row r="1715" spans="1:11" x14ac:dyDescent="0.25">
      <c r="A1715" t="s">
        <v>388</v>
      </c>
      <c r="B1715" s="3">
        <v>46109</v>
      </c>
      <c r="C1715">
        <v>4010</v>
      </c>
      <c r="D1715" s="1">
        <v>0</v>
      </c>
      <c r="E1715" s="1">
        <v>48228.07</v>
      </c>
      <c r="F1715" t="s">
        <v>389</v>
      </c>
      <c r="G1715" t="str">
        <f>_xlfn.XLOOKUP(C1715,tblCOA[AccountNo],tblCOA[AccountName],"Unmapped")</f>
        <v>Product Sales</v>
      </c>
      <c r="H1715" t="str">
        <f>_xlfn.XLOOKUP(C1715,tblCOA[AccountNo],tblCOA[Category],"Unmapped")</f>
        <v>Revenue</v>
      </c>
      <c r="I1715" s="4">
        <f t="shared" si="78"/>
        <v>-48228.07</v>
      </c>
      <c r="J1715">
        <f t="shared" si="79"/>
        <v>2026</v>
      </c>
      <c r="K1715" s="5">
        <f t="shared" si="80"/>
        <v>46082</v>
      </c>
    </row>
    <row r="1716" spans="1:11" x14ac:dyDescent="0.25">
      <c r="A1716" t="s">
        <v>1690</v>
      </c>
      <c r="B1716" s="3">
        <v>46109</v>
      </c>
      <c r="C1716">
        <v>1200</v>
      </c>
      <c r="D1716" s="1">
        <v>24852.47</v>
      </c>
      <c r="E1716" s="1">
        <v>0</v>
      </c>
      <c r="F1716" t="s">
        <v>1691</v>
      </c>
      <c r="G1716" t="str">
        <f>_xlfn.XLOOKUP(C1716,tblCOA[AccountNo],tblCOA[AccountName],"Unmapped")</f>
        <v>Accounts Receivable</v>
      </c>
      <c r="H1716" t="str">
        <f>_xlfn.XLOOKUP(C1716,tblCOA[AccountNo],tblCOA[Category],"Unmapped")</f>
        <v>Assets</v>
      </c>
      <c r="I1716" s="4">
        <f t="shared" si="78"/>
        <v>24852.47</v>
      </c>
      <c r="J1716">
        <f t="shared" si="79"/>
        <v>2026</v>
      </c>
      <c r="K1716" s="5">
        <f t="shared" si="80"/>
        <v>46082</v>
      </c>
    </row>
    <row r="1717" spans="1:11" x14ac:dyDescent="0.25">
      <c r="A1717" t="s">
        <v>1692</v>
      </c>
      <c r="B1717" s="3">
        <v>46109</v>
      </c>
      <c r="C1717">
        <v>4010</v>
      </c>
      <c r="D1717" s="1">
        <v>0</v>
      </c>
      <c r="E1717" s="1">
        <v>24852.47</v>
      </c>
      <c r="F1717" t="s">
        <v>1693</v>
      </c>
      <c r="G1717" t="str">
        <f>_xlfn.XLOOKUP(C1717,tblCOA[AccountNo],tblCOA[AccountName],"Unmapped")</f>
        <v>Product Sales</v>
      </c>
      <c r="H1717" t="str">
        <f>_xlfn.XLOOKUP(C1717,tblCOA[AccountNo],tblCOA[Category],"Unmapped")</f>
        <v>Revenue</v>
      </c>
      <c r="I1717" s="4">
        <f t="shared" si="78"/>
        <v>-24852.47</v>
      </c>
      <c r="J1717">
        <f t="shared" si="79"/>
        <v>2026</v>
      </c>
      <c r="K1717" s="5">
        <f t="shared" si="80"/>
        <v>46082</v>
      </c>
    </row>
    <row r="1718" spans="1:11" x14ac:dyDescent="0.25">
      <c r="A1718" t="s">
        <v>3730</v>
      </c>
      <c r="B1718" s="3">
        <v>46111</v>
      </c>
      <c r="C1718">
        <v>1200</v>
      </c>
      <c r="D1718" s="1">
        <v>14802.08</v>
      </c>
      <c r="E1718" s="1">
        <v>0</v>
      </c>
      <c r="F1718" t="s">
        <v>3731</v>
      </c>
      <c r="G1718" t="str">
        <f>_xlfn.XLOOKUP(C1718,tblCOA[AccountNo],tblCOA[AccountName],"Unmapped")</f>
        <v>Accounts Receivable</v>
      </c>
      <c r="H1718" t="str">
        <f>_xlfn.XLOOKUP(C1718,tblCOA[AccountNo],tblCOA[Category],"Unmapped")</f>
        <v>Assets</v>
      </c>
      <c r="I1718" s="4">
        <f t="shared" si="78"/>
        <v>14802.08</v>
      </c>
      <c r="J1718">
        <f t="shared" si="79"/>
        <v>2026</v>
      </c>
      <c r="K1718" s="5">
        <f t="shared" si="80"/>
        <v>46082</v>
      </c>
    </row>
    <row r="1719" spans="1:11" x14ac:dyDescent="0.25">
      <c r="A1719" t="s">
        <v>3732</v>
      </c>
      <c r="B1719" s="3">
        <v>46111</v>
      </c>
      <c r="C1719">
        <v>4010</v>
      </c>
      <c r="D1719" s="1">
        <v>0</v>
      </c>
      <c r="E1719" s="1">
        <v>14802.08</v>
      </c>
      <c r="F1719" t="s">
        <v>3733</v>
      </c>
      <c r="G1719" t="str">
        <f>_xlfn.XLOOKUP(C1719,tblCOA[AccountNo],tblCOA[AccountName],"Unmapped")</f>
        <v>Product Sales</v>
      </c>
      <c r="H1719" t="str">
        <f>_xlfn.XLOOKUP(C1719,tblCOA[AccountNo],tblCOA[Category],"Unmapped")</f>
        <v>Revenue</v>
      </c>
      <c r="I1719" s="4">
        <f t="shared" si="78"/>
        <v>-14802.08</v>
      </c>
      <c r="J1719">
        <f t="shared" si="79"/>
        <v>2026</v>
      </c>
      <c r="K1719" s="5">
        <f t="shared" si="80"/>
        <v>46082</v>
      </c>
    </row>
    <row r="1720" spans="1:11" x14ac:dyDescent="0.25">
      <c r="A1720" t="s">
        <v>3406</v>
      </c>
      <c r="B1720" s="3">
        <v>46112</v>
      </c>
      <c r="C1720">
        <v>5010</v>
      </c>
      <c r="D1720" s="1">
        <v>6629.79</v>
      </c>
      <c r="E1720" s="1">
        <v>0</v>
      </c>
      <c r="F1720" t="s">
        <v>3407</v>
      </c>
      <c r="G1720" t="str">
        <f>_xlfn.XLOOKUP(C1720,tblCOA[AccountNo],tblCOA[AccountName],"Unmapped")</f>
        <v>Cost of Goods Sold</v>
      </c>
      <c r="H1720" t="str">
        <f>_xlfn.XLOOKUP(C1720,tblCOA[AccountNo],tblCOA[Category],"Unmapped")</f>
        <v>Expenses</v>
      </c>
      <c r="I1720" s="4">
        <f t="shared" si="78"/>
        <v>6629.79</v>
      </c>
      <c r="J1720">
        <f t="shared" si="79"/>
        <v>2026</v>
      </c>
      <c r="K1720" s="5">
        <f t="shared" si="80"/>
        <v>46082</v>
      </c>
    </row>
    <row r="1721" spans="1:11" x14ac:dyDescent="0.25">
      <c r="A1721" t="s">
        <v>3408</v>
      </c>
      <c r="B1721" s="3">
        <v>46112</v>
      </c>
      <c r="C1721">
        <v>2010</v>
      </c>
      <c r="D1721" s="1">
        <v>0</v>
      </c>
      <c r="E1721" s="1">
        <v>6629.79</v>
      </c>
      <c r="F1721" t="s">
        <v>3409</v>
      </c>
      <c r="G1721" t="str">
        <f>_xlfn.XLOOKUP(C1721,tblCOA[AccountNo],tblCOA[AccountName],"Unmapped")</f>
        <v>Accounts Payable</v>
      </c>
      <c r="H1721" t="str">
        <f>_xlfn.XLOOKUP(C1721,tblCOA[AccountNo],tblCOA[Category],"Unmapped")</f>
        <v>Liabilities</v>
      </c>
      <c r="I1721" s="4">
        <f t="shared" si="78"/>
        <v>-6629.79</v>
      </c>
      <c r="J1721">
        <f t="shared" si="79"/>
        <v>2026</v>
      </c>
      <c r="K1721" s="5">
        <f t="shared" si="80"/>
        <v>46082</v>
      </c>
    </row>
    <row r="1722" spans="1:11" x14ac:dyDescent="0.25">
      <c r="A1722" t="s">
        <v>3522</v>
      </c>
      <c r="B1722" s="3">
        <v>46113</v>
      </c>
      <c r="C1722">
        <v>1200</v>
      </c>
      <c r="D1722" s="1">
        <v>18285.150000000001</v>
      </c>
      <c r="E1722" s="1">
        <v>0</v>
      </c>
      <c r="F1722" t="s">
        <v>3523</v>
      </c>
      <c r="G1722" t="str">
        <f>_xlfn.XLOOKUP(C1722,tblCOA[AccountNo],tblCOA[AccountName],"Unmapped")</f>
        <v>Accounts Receivable</v>
      </c>
      <c r="H1722" t="str">
        <f>_xlfn.XLOOKUP(C1722,tblCOA[AccountNo],tblCOA[Category],"Unmapped")</f>
        <v>Assets</v>
      </c>
      <c r="I1722" s="4">
        <f t="shared" si="78"/>
        <v>18285.150000000001</v>
      </c>
      <c r="J1722">
        <f t="shared" si="79"/>
        <v>2026</v>
      </c>
      <c r="K1722" s="5">
        <f t="shared" si="80"/>
        <v>46113</v>
      </c>
    </row>
    <row r="1723" spans="1:11" x14ac:dyDescent="0.25">
      <c r="A1723" t="s">
        <v>3524</v>
      </c>
      <c r="B1723" s="3">
        <v>46113</v>
      </c>
      <c r="C1723">
        <v>4010</v>
      </c>
      <c r="D1723" s="1">
        <v>0</v>
      </c>
      <c r="E1723" s="1">
        <v>18285.150000000001</v>
      </c>
      <c r="F1723" t="s">
        <v>3525</v>
      </c>
      <c r="G1723" t="str">
        <f>_xlfn.XLOOKUP(C1723,tblCOA[AccountNo],tblCOA[AccountName],"Unmapped")</f>
        <v>Product Sales</v>
      </c>
      <c r="H1723" t="str">
        <f>_xlfn.XLOOKUP(C1723,tblCOA[AccountNo],tblCOA[Category],"Unmapped")</f>
        <v>Revenue</v>
      </c>
      <c r="I1723" s="4">
        <f t="shared" si="78"/>
        <v>-18285.150000000001</v>
      </c>
      <c r="J1723">
        <f t="shared" si="79"/>
        <v>2026</v>
      </c>
      <c r="K1723" s="5">
        <f t="shared" si="80"/>
        <v>46113</v>
      </c>
    </row>
    <row r="1724" spans="1:11" x14ac:dyDescent="0.25">
      <c r="A1724" t="s">
        <v>3470</v>
      </c>
      <c r="B1724" s="3">
        <v>46117</v>
      </c>
      <c r="C1724">
        <v>5010</v>
      </c>
      <c r="D1724" s="1">
        <v>11074.94</v>
      </c>
      <c r="E1724" s="1">
        <v>0</v>
      </c>
      <c r="F1724" t="s">
        <v>3471</v>
      </c>
      <c r="G1724" t="str">
        <f>_xlfn.XLOOKUP(C1724,tblCOA[AccountNo],tblCOA[AccountName],"Unmapped")</f>
        <v>Cost of Goods Sold</v>
      </c>
      <c r="H1724" t="str">
        <f>_xlfn.XLOOKUP(C1724,tblCOA[AccountNo],tblCOA[Category],"Unmapped")</f>
        <v>Expenses</v>
      </c>
      <c r="I1724" s="4">
        <f t="shared" si="78"/>
        <v>11074.94</v>
      </c>
      <c r="J1724">
        <f t="shared" si="79"/>
        <v>2026</v>
      </c>
      <c r="K1724" s="5">
        <f t="shared" si="80"/>
        <v>46113</v>
      </c>
    </row>
    <row r="1725" spans="1:11" x14ac:dyDescent="0.25">
      <c r="A1725" t="s">
        <v>3472</v>
      </c>
      <c r="B1725" s="3">
        <v>46117</v>
      </c>
      <c r="C1725">
        <v>2010</v>
      </c>
      <c r="D1725" s="1">
        <v>0</v>
      </c>
      <c r="E1725" s="1">
        <v>11074.94</v>
      </c>
      <c r="F1725" t="s">
        <v>3473</v>
      </c>
      <c r="G1725" t="str">
        <f>_xlfn.XLOOKUP(C1725,tblCOA[AccountNo],tblCOA[AccountName],"Unmapped")</f>
        <v>Accounts Payable</v>
      </c>
      <c r="H1725" t="str">
        <f>_xlfn.XLOOKUP(C1725,tblCOA[AccountNo],tblCOA[Category],"Unmapped")</f>
        <v>Liabilities</v>
      </c>
      <c r="I1725" s="4">
        <f t="shared" si="78"/>
        <v>-11074.94</v>
      </c>
      <c r="J1725">
        <f t="shared" si="79"/>
        <v>2026</v>
      </c>
      <c r="K1725" s="5">
        <f t="shared" si="80"/>
        <v>46113</v>
      </c>
    </row>
    <row r="1726" spans="1:11" x14ac:dyDescent="0.25">
      <c r="A1726" t="s">
        <v>130</v>
      </c>
      <c r="B1726" s="3">
        <v>46119</v>
      </c>
      <c r="C1726">
        <v>1200</v>
      </c>
      <c r="D1726" s="1">
        <v>2273.7600000000002</v>
      </c>
      <c r="E1726" s="1">
        <v>0</v>
      </c>
      <c r="F1726" t="s">
        <v>131</v>
      </c>
      <c r="G1726" t="str">
        <f>_xlfn.XLOOKUP(C1726,tblCOA[AccountNo],tblCOA[AccountName],"Unmapped")</f>
        <v>Accounts Receivable</v>
      </c>
      <c r="H1726" t="str">
        <f>_xlfn.XLOOKUP(C1726,tblCOA[AccountNo],tblCOA[Category],"Unmapped")</f>
        <v>Assets</v>
      </c>
      <c r="I1726" s="4">
        <f t="shared" si="78"/>
        <v>2273.7600000000002</v>
      </c>
      <c r="J1726">
        <f t="shared" si="79"/>
        <v>2026</v>
      </c>
      <c r="K1726" s="5">
        <f t="shared" si="80"/>
        <v>46113</v>
      </c>
    </row>
    <row r="1727" spans="1:11" x14ac:dyDescent="0.25">
      <c r="A1727" t="s">
        <v>132</v>
      </c>
      <c r="B1727" s="3">
        <v>46119</v>
      </c>
      <c r="C1727">
        <v>4010</v>
      </c>
      <c r="D1727" s="1">
        <v>0</v>
      </c>
      <c r="E1727" s="1">
        <v>2273.7600000000002</v>
      </c>
      <c r="F1727" t="s">
        <v>133</v>
      </c>
      <c r="G1727" t="str">
        <f>_xlfn.XLOOKUP(C1727,tblCOA[AccountNo],tblCOA[AccountName],"Unmapped")</f>
        <v>Product Sales</v>
      </c>
      <c r="H1727" t="str">
        <f>_xlfn.XLOOKUP(C1727,tblCOA[AccountNo],tblCOA[Category],"Unmapped")</f>
        <v>Revenue</v>
      </c>
      <c r="I1727" s="4">
        <f t="shared" si="78"/>
        <v>-2273.7600000000002</v>
      </c>
      <c r="J1727">
        <f t="shared" si="79"/>
        <v>2026</v>
      </c>
      <c r="K1727" s="5">
        <f t="shared" si="80"/>
        <v>46113</v>
      </c>
    </row>
    <row r="1728" spans="1:11" x14ac:dyDescent="0.25">
      <c r="A1728" t="s">
        <v>682</v>
      </c>
      <c r="B1728" s="3">
        <v>46120</v>
      </c>
      <c r="C1728">
        <v>1200</v>
      </c>
      <c r="D1728" s="1">
        <v>5665.07</v>
      </c>
      <c r="E1728" s="1">
        <v>0</v>
      </c>
      <c r="F1728" t="s">
        <v>683</v>
      </c>
      <c r="G1728" t="str">
        <f>_xlfn.XLOOKUP(C1728,tblCOA[AccountNo],tblCOA[AccountName],"Unmapped")</f>
        <v>Accounts Receivable</v>
      </c>
      <c r="H1728" t="str">
        <f>_xlfn.XLOOKUP(C1728,tblCOA[AccountNo],tblCOA[Category],"Unmapped")</f>
        <v>Assets</v>
      </c>
      <c r="I1728" s="4">
        <f t="shared" si="78"/>
        <v>5665.07</v>
      </c>
      <c r="J1728">
        <f t="shared" si="79"/>
        <v>2026</v>
      </c>
      <c r="K1728" s="5">
        <f t="shared" si="80"/>
        <v>46113</v>
      </c>
    </row>
    <row r="1729" spans="1:11" x14ac:dyDescent="0.25">
      <c r="A1729" t="s">
        <v>684</v>
      </c>
      <c r="B1729" s="3">
        <v>46120</v>
      </c>
      <c r="C1729">
        <v>4010</v>
      </c>
      <c r="D1729" s="1">
        <v>0</v>
      </c>
      <c r="E1729" s="1">
        <v>5665.07</v>
      </c>
      <c r="F1729" t="s">
        <v>685</v>
      </c>
      <c r="G1729" t="str">
        <f>_xlfn.XLOOKUP(C1729,tblCOA[AccountNo],tblCOA[AccountName],"Unmapped")</f>
        <v>Product Sales</v>
      </c>
      <c r="H1729" t="str">
        <f>_xlfn.XLOOKUP(C1729,tblCOA[AccountNo],tblCOA[Category],"Unmapped")</f>
        <v>Revenue</v>
      </c>
      <c r="I1729" s="4">
        <f t="shared" si="78"/>
        <v>-5665.07</v>
      </c>
      <c r="J1729">
        <f t="shared" si="79"/>
        <v>2026</v>
      </c>
      <c r="K1729" s="5">
        <f t="shared" si="80"/>
        <v>46113</v>
      </c>
    </row>
    <row r="1730" spans="1:11" x14ac:dyDescent="0.25">
      <c r="A1730" t="s">
        <v>262</v>
      </c>
      <c r="B1730" s="3">
        <v>46122</v>
      </c>
      <c r="C1730">
        <v>5010</v>
      </c>
      <c r="D1730" s="1">
        <v>6612.42</v>
      </c>
      <c r="E1730" s="1">
        <v>0</v>
      </c>
      <c r="F1730" t="s">
        <v>263</v>
      </c>
      <c r="G1730" t="str">
        <f>_xlfn.XLOOKUP(C1730,tblCOA[AccountNo],tblCOA[AccountName],"Unmapped")</f>
        <v>Cost of Goods Sold</v>
      </c>
      <c r="H1730" t="str">
        <f>_xlfn.XLOOKUP(C1730,tblCOA[AccountNo],tblCOA[Category],"Unmapped")</f>
        <v>Expenses</v>
      </c>
      <c r="I1730" s="4">
        <f t="shared" ref="I1730:I1793" si="81">D1730-E1730</f>
        <v>6612.42</v>
      </c>
      <c r="J1730">
        <f t="shared" ref="J1730:J1793" si="82">YEAR(B1730)</f>
        <v>2026</v>
      </c>
      <c r="K1730" s="5">
        <f t="shared" ref="K1730:K1793" si="83">DATE(YEAR(B1730),MONTH(B1730),1)</f>
        <v>46113</v>
      </c>
    </row>
    <row r="1731" spans="1:11" x14ac:dyDescent="0.25">
      <c r="A1731" t="s">
        <v>264</v>
      </c>
      <c r="B1731" s="3">
        <v>46122</v>
      </c>
      <c r="C1731">
        <v>2010</v>
      </c>
      <c r="D1731" s="1">
        <v>0</v>
      </c>
      <c r="E1731" s="1">
        <v>6612.42</v>
      </c>
      <c r="F1731" t="s">
        <v>265</v>
      </c>
      <c r="G1731" t="str">
        <f>_xlfn.XLOOKUP(C1731,tblCOA[AccountNo],tblCOA[AccountName],"Unmapped")</f>
        <v>Accounts Payable</v>
      </c>
      <c r="H1731" t="str">
        <f>_xlfn.XLOOKUP(C1731,tblCOA[AccountNo],tblCOA[Category],"Unmapped")</f>
        <v>Liabilities</v>
      </c>
      <c r="I1731" s="4">
        <f t="shared" si="81"/>
        <v>-6612.42</v>
      </c>
      <c r="J1731">
        <f t="shared" si="82"/>
        <v>2026</v>
      </c>
      <c r="K1731" s="5">
        <f t="shared" si="83"/>
        <v>46113</v>
      </c>
    </row>
    <row r="1732" spans="1:11" x14ac:dyDescent="0.25">
      <c r="A1732" t="s">
        <v>3330</v>
      </c>
      <c r="B1732" s="3">
        <v>46122</v>
      </c>
      <c r="C1732">
        <v>1200</v>
      </c>
      <c r="D1732" s="1">
        <v>17306.099999999999</v>
      </c>
      <c r="E1732" s="1">
        <v>0</v>
      </c>
      <c r="F1732" t="s">
        <v>3331</v>
      </c>
      <c r="G1732" t="str">
        <f>_xlfn.XLOOKUP(C1732,tblCOA[AccountNo],tblCOA[AccountName],"Unmapped")</f>
        <v>Accounts Receivable</v>
      </c>
      <c r="H1732" t="str">
        <f>_xlfn.XLOOKUP(C1732,tblCOA[AccountNo],tblCOA[Category],"Unmapped")</f>
        <v>Assets</v>
      </c>
      <c r="I1732" s="4">
        <f t="shared" si="81"/>
        <v>17306.099999999999</v>
      </c>
      <c r="J1732">
        <f t="shared" si="82"/>
        <v>2026</v>
      </c>
      <c r="K1732" s="5">
        <f t="shared" si="83"/>
        <v>46113</v>
      </c>
    </row>
    <row r="1733" spans="1:11" x14ac:dyDescent="0.25">
      <c r="A1733" t="s">
        <v>3332</v>
      </c>
      <c r="B1733" s="3">
        <v>46122</v>
      </c>
      <c r="C1733">
        <v>4010</v>
      </c>
      <c r="D1733" s="1">
        <v>0</v>
      </c>
      <c r="E1733" s="1">
        <v>17306.099999999999</v>
      </c>
      <c r="F1733" t="s">
        <v>3333</v>
      </c>
      <c r="G1733" t="str">
        <f>_xlfn.XLOOKUP(C1733,tblCOA[AccountNo],tblCOA[AccountName],"Unmapped")</f>
        <v>Product Sales</v>
      </c>
      <c r="H1733" t="str">
        <f>_xlfn.XLOOKUP(C1733,tblCOA[AccountNo],tblCOA[Category],"Unmapped")</f>
        <v>Revenue</v>
      </c>
      <c r="I1733" s="4">
        <f t="shared" si="81"/>
        <v>-17306.099999999999</v>
      </c>
      <c r="J1733">
        <f t="shared" si="82"/>
        <v>2026</v>
      </c>
      <c r="K1733" s="5">
        <f t="shared" si="83"/>
        <v>46113</v>
      </c>
    </row>
    <row r="1734" spans="1:11" x14ac:dyDescent="0.25">
      <c r="A1734" t="s">
        <v>3426</v>
      </c>
      <c r="B1734" s="3">
        <v>46122</v>
      </c>
      <c r="C1734">
        <v>1200</v>
      </c>
      <c r="D1734" s="1">
        <v>41825.69</v>
      </c>
      <c r="E1734" s="1">
        <v>0</v>
      </c>
      <c r="F1734" t="s">
        <v>3427</v>
      </c>
      <c r="G1734" t="str">
        <f>_xlfn.XLOOKUP(C1734,tblCOA[AccountNo],tblCOA[AccountName],"Unmapped")</f>
        <v>Accounts Receivable</v>
      </c>
      <c r="H1734" t="str">
        <f>_xlfn.XLOOKUP(C1734,tblCOA[AccountNo],tblCOA[Category],"Unmapped")</f>
        <v>Assets</v>
      </c>
      <c r="I1734" s="4">
        <f t="shared" si="81"/>
        <v>41825.69</v>
      </c>
      <c r="J1734">
        <f t="shared" si="82"/>
        <v>2026</v>
      </c>
      <c r="K1734" s="5">
        <f t="shared" si="83"/>
        <v>46113</v>
      </c>
    </row>
    <row r="1735" spans="1:11" x14ac:dyDescent="0.25">
      <c r="A1735" t="s">
        <v>3428</v>
      </c>
      <c r="B1735" s="3">
        <v>46122</v>
      </c>
      <c r="C1735">
        <v>4010</v>
      </c>
      <c r="D1735" s="1">
        <v>0</v>
      </c>
      <c r="E1735" s="1">
        <v>41825.69</v>
      </c>
      <c r="F1735" t="s">
        <v>3429</v>
      </c>
      <c r="G1735" t="str">
        <f>_xlfn.XLOOKUP(C1735,tblCOA[AccountNo],tblCOA[AccountName],"Unmapped")</f>
        <v>Product Sales</v>
      </c>
      <c r="H1735" t="str">
        <f>_xlfn.XLOOKUP(C1735,tblCOA[AccountNo],tblCOA[Category],"Unmapped")</f>
        <v>Revenue</v>
      </c>
      <c r="I1735" s="4">
        <f t="shared" si="81"/>
        <v>-41825.69</v>
      </c>
      <c r="J1735">
        <f t="shared" si="82"/>
        <v>2026</v>
      </c>
      <c r="K1735" s="5">
        <f t="shared" si="83"/>
        <v>46113</v>
      </c>
    </row>
    <row r="1736" spans="1:11" x14ac:dyDescent="0.25">
      <c r="A1736" t="s">
        <v>3818</v>
      </c>
      <c r="B1736" s="3">
        <v>46122</v>
      </c>
      <c r="C1736">
        <v>1200</v>
      </c>
      <c r="D1736" s="1">
        <v>46316.36</v>
      </c>
      <c r="E1736" s="1">
        <v>0</v>
      </c>
      <c r="F1736" t="s">
        <v>3819</v>
      </c>
      <c r="G1736" t="str">
        <f>_xlfn.XLOOKUP(C1736,tblCOA[AccountNo],tblCOA[AccountName],"Unmapped")</f>
        <v>Accounts Receivable</v>
      </c>
      <c r="H1736" t="str">
        <f>_xlfn.XLOOKUP(C1736,tblCOA[AccountNo],tblCOA[Category],"Unmapped")</f>
        <v>Assets</v>
      </c>
      <c r="I1736" s="4">
        <f t="shared" si="81"/>
        <v>46316.36</v>
      </c>
      <c r="J1736">
        <f t="shared" si="82"/>
        <v>2026</v>
      </c>
      <c r="K1736" s="5">
        <f t="shared" si="83"/>
        <v>46113</v>
      </c>
    </row>
    <row r="1737" spans="1:11" x14ac:dyDescent="0.25">
      <c r="A1737" t="s">
        <v>3820</v>
      </c>
      <c r="B1737" s="3">
        <v>46122</v>
      </c>
      <c r="C1737">
        <v>4010</v>
      </c>
      <c r="D1737" s="1">
        <v>0</v>
      </c>
      <c r="E1737" s="1">
        <v>46316.36</v>
      </c>
      <c r="F1737" t="s">
        <v>3821</v>
      </c>
      <c r="G1737" t="str">
        <f>_xlfn.XLOOKUP(C1737,tblCOA[AccountNo],tblCOA[AccountName],"Unmapped")</f>
        <v>Product Sales</v>
      </c>
      <c r="H1737" t="str">
        <f>_xlfn.XLOOKUP(C1737,tblCOA[AccountNo],tblCOA[Category],"Unmapped")</f>
        <v>Revenue</v>
      </c>
      <c r="I1737" s="4">
        <f t="shared" si="81"/>
        <v>-46316.36</v>
      </c>
      <c r="J1737">
        <f t="shared" si="82"/>
        <v>2026</v>
      </c>
      <c r="K1737" s="5">
        <f t="shared" si="83"/>
        <v>46113</v>
      </c>
    </row>
    <row r="1738" spans="1:11" x14ac:dyDescent="0.25">
      <c r="A1738" t="s">
        <v>2482</v>
      </c>
      <c r="B1738" s="3">
        <v>46124</v>
      </c>
      <c r="C1738">
        <v>1200</v>
      </c>
      <c r="D1738" s="1">
        <v>35732.06</v>
      </c>
      <c r="E1738" s="1">
        <v>0</v>
      </c>
      <c r="F1738" t="s">
        <v>2483</v>
      </c>
      <c r="G1738" t="str">
        <f>_xlfn.XLOOKUP(C1738,tblCOA[AccountNo],tblCOA[AccountName],"Unmapped")</f>
        <v>Accounts Receivable</v>
      </c>
      <c r="H1738" t="str">
        <f>_xlfn.XLOOKUP(C1738,tblCOA[AccountNo],tblCOA[Category],"Unmapped")</f>
        <v>Assets</v>
      </c>
      <c r="I1738" s="4">
        <f t="shared" si="81"/>
        <v>35732.06</v>
      </c>
      <c r="J1738">
        <f t="shared" si="82"/>
        <v>2026</v>
      </c>
      <c r="K1738" s="5">
        <f t="shared" si="83"/>
        <v>46113</v>
      </c>
    </row>
    <row r="1739" spans="1:11" x14ac:dyDescent="0.25">
      <c r="A1739" t="s">
        <v>2484</v>
      </c>
      <c r="B1739" s="3">
        <v>46124</v>
      </c>
      <c r="C1739">
        <v>4010</v>
      </c>
      <c r="D1739" s="1">
        <v>0</v>
      </c>
      <c r="E1739" s="1">
        <v>35732.06</v>
      </c>
      <c r="F1739" t="s">
        <v>2485</v>
      </c>
      <c r="G1739" t="str">
        <f>_xlfn.XLOOKUP(C1739,tblCOA[AccountNo],tblCOA[AccountName],"Unmapped")</f>
        <v>Product Sales</v>
      </c>
      <c r="H1739" t="str">
        <f>_xlfn.XLOOKUP(C1739,tblCOA[AccountNo],tblCOA[Category],"Unmapped")</f>
        <v>Revenue</v>
      </c>
      <c r="I1739" s="4">
        <f t="shared" si="81"/>
        <v>-35732.06</v>
      </c>
      <c r="J1739">
        <f t="shared" si="82"/>
        <v>2026</v>
      </c>
      <c r="K1739" s="5">
        <f t="shared" si="83"/>
        <v>46113</v>
      </c>
    </row>
    <row r="1740" spans="1:11" x14ac:dyDescent="0.25">
      <c r="A1740" t="s">
        <v>3126</v>
      </c>
      <c r="B1740" s="3">
        <v>46124</v>
      </c>
      <c r="C1740">
        <v>5010</v>
      </c>
      <c r="D1740" s="1">
        <v>8582</v>
      </c>
      <c r="E1740" s="1">
        <v>0</v>
      </c>
      <c r="F1740" t="s">
        <v>3127</v>
      </c>
      <c r="G1740" t="str">
        <f>_xlfn.XLOOKUP(C1740,tblCOA[AccountNo],tblCOA[AccountName],"Unmapped")</f>
        <v>Cost of Goods Sold</v>
      </c>
      <c r="H1740" t="str">
        <f>_xlfn.XLOOKUP(C1740,tblCOA[AccountNo],tblCOA[Category],"Unmapped")</f>
        <v>Expenses</v>
      </c>
      <c r="I1740" s="4">
        <f t="shared" si="81"/>
        <v>8582</v>
      </c>
      <c r="J1740">
        <f t="shared" si="82"/>
        <v>2026</v>
      </c>
      <c r="K1740" s="5">
        <f t="shared" si="83"/>
        <v>46113</v>
      </c>
    </row>
    <row r="1741" spans="1:11" x14ac:dyDescent="0.25">
      <c r="A1741" t="s">
        <v>3128</v>
      </c>
      <c r="B1741" s="3">
        <v>46124</v>
      </c>
      <c r="C1741">
        <v>2010</v>
      </c>
      <c r="D1741" s="1">
        <v>0</v>
      </c>
      <c r="E1741" s="1">
        <v>8582</v>
      </c>
      <c r="F1741" t="s">
        <v>3129</v>
      </c>
      <c r="G1741" t="str">
        <f>_xlfn.XLOOKUP(C1741,tblCOA[AccountNo],tblCOA[AccountName],"Unmapped")</f>
        <v>Accounts Payable</v>
      </c>
      <c r="H1741" t="str">
        <f>_xlfn.XLOOKUP(C1741,tblCOA[AccountNo],tblCOA[Category],"Unmapped")</f>
        <v>Liabilities</v>
      </c>
      <c r="I1741" s="4">
        <f t="shared" si="81"/>
        <v>-8582</v>
      </c>
      <c r="J1741">
        <f t="shared" si="82"/>
        <v>2026</v>
      </c>
      <c r="K1741" s="5">
        <f t="shared" si="83"/>
        <v>46113</v>
      </c>
    </row>
    <row r="1742" spans="1:11" x14ac:dyDescent="0.25">
      <c r="A1742" t="s">
        <v>3174</v>
      </c>
      <c r="B1742" s="3">
        <v>46124</v>
      </c>
      <c r="C1742">
        <v>5010</v>
      </c>
      <c r="D1742" s="1">
        <v>14701.26</v>
      </c>
      <c r="E1742" s="1">
        <v>0</v>
      </c>
      <c r="F1742" t="s">
        <v>3175</v>
      </c>
      <c r="G1742" t="str">
        <f>_xlfn.XLOOKUP(C1742,tblCOA[AccountNo],tblCOA[AccountName],"Unmapped")</f>
        <v>Cost of Goods Sold</v>
      </c>
      <c r="H1742" t="str">
        <f>_xlfn.XLOOKUP(C1742,tblCOA[AccountNo],tblCOA[Category],"Unmapped")</f>
        <v>Expenses</v>
      </c>
      <c r="I1742" s="4">
        <f t="shared" si="81"/>
        <v>14701.26</v>
      </c>
      <c r="J1742">
        <f t="shared" si="82"/>
        <v>2026</v>
      </c>
      <c r="K1742" s="5">
        <f t="shared" si="83"/>
        <v>46113</v>
      </c>
    </row>
    <row r="1743" spans="1:11" x14ac:dyDescent="0.25">
      <c r="A1743" t="s">
        <v>3176</v>
      </c>
      <c r="B1743" s="3">
        <v>46124</v>
      </c>
      <c r="C1743">
        <v>2010</v>
      </c>
      <c r="D1743" s="1">
        <v>0</v>
      </c>
      <c r="E1743" s="1">
        <v>14701.26</v>
      </c>
      <c r="F1743" t="s">
        <v>3177</v>
      </c>
      <c r="G1743" t="str">
        <f>_xlfn.XLOOKUP(C1743,tblCOA[AccountNo],tblCOA[AccountName],"Unmapped")</f>
        <v>Accounts Payable</v>
      </c>
      <c r="H1743" t="str">
        <f>_xlfn.XLOOKUP(C1743,tblCOA[AccountNo],tblCOA[Category],"Unmapped")</f>
        <v>Liabilities</v>
      </c>
      <c r="I1743" s="4">
        <f t="shared" si="81"/>
        <v>-14701.26</v>
      </c>
      <c r="J1743">
        <f t="shared" si="82"/>
        <v>2026</v>
      </c>
      <c r="K1743" s="5">
        <f t="shared" si="83"/>
        <v>46113</v>
      </c>
    </row>
    <row r="1744" spans="1:11" x14ac:dyDescent="0.25">
      <c r="A1744" t="s">
        <v>962</v>
      </c>
      <c r="B1744" s="3">
        <v>46124</v>
      </c>
      <c r="C1744">
        <v>1200</v>
      </c>
      <c r="D1744" s="1">
        <v>2218.31</v>
      </c>
      <c r="E1744" s="1">
        <v>0</v>
      </c>
      <c r="F1744" t="s">
        <v>963</v>
      </c>
      <c r="G1744" t="str">
        <f>_xlfn.XLOOKUP(C1744,tblCOA[AccountNo],tblCOA[AccountName],"Unmapped")</f>
        <v>Accounts Receivable</v>
      </c>
      <c r="H1744" t="str">
        <f>_xlfn.XLOOKUP(C1744,tblCOA[AccountNo],tblCOA[Category],"Unmapped")</f>
        <v>Assets</v>
      </c>
      <c r="I1744" s="4">
        <f t="shared" si="81"/>
        <v>2218.31</v>
      </c>
      <c r="J1744">
        <f t="shared" si="82"/>
        <v>2026</v>
      </c>
      <c r="K1744" s="5">
        <f t="shared" si="83"/>
        <v>46113</v>
      </c>
    </row>
    <row r="1745" spans="1:11" x14ac:dyDescent="0.25">
      <c r="A1745" t="s">
        <v>964</v>
      </c>
      <c r="B1745" s="3">
        <v>46124</v>
      </c>
      <c r="C1745">
        <v>4010</v>
      </c>
      <c r="D1745" s="1">
        <v>0</v>
      </c>
      <c r="E1745" s="1">
        <v>2218.31</v>
      </c>
      <c r="F1745" t="s">
        <v>965</v>
      </c>
      <c r="G1745" t="str">
        <f>_xlfn.XLOOKUP(C1745,tblCOA[AccountNo],tblCOA[AccountName],"Unmapped")</f>
        <v>Product Sales</v>
      </c>
      <c r="H1745" t="str">
        <f>_xlfn.XLOOKUP(C1745,tblCOA[AccountNo],tblCOA[Category],"Unmapped")</f>
        <v>Revenue</v>
      </c>
      <c r="I1745" s="4">
        <f t="shared" si="81"/>
        <v>-2218.31</v>
      </c>
      <c r="J1745">
        <f t="shared" si="82"/>
        <v>2026</v>
      </c>
      <c r="K1745" s="5">
        <f t="shared" si="83"/>
        <v>46113</v>
      </c>
    </row>
    <row r="1746" spans="1:11" x14ac:dyDescent="0.25">
      <c r="A1746" t="s">
        <v>614</v>
      </c>
      <c r="B1746" s="3">
        <v>46125</v>
      </c>
      <c r="C1746">
        <v>5010</v>
      </c>
      <c r="D1746" s="1">
        <v>18482.5</v>
      </c>
      <c r="E1746" s="1">
        <v>0</v>
      </c>
      <c r="F1746" t="s">
        <v>615</v>
      </c>
      <c r="G1746" t="str">
        <f>_xlfn.XLOOKUP(C1746,tblCOA[AccountNo],tblCOA[AccountName],"Unmapped")</f>
        <v>Cost of Goods Sold</v>
      </c>
      <c r="H1746" t="str">
        <f>_xlfn.XLOOKUP(C1746,tblCOA[AccountNo],tblCOA[Category],"Unmapped")</f>
        <v>Expenses</v>
      </c>
      <c r="I1746" s="4">
        <f t="shared" si="81"/>
        <v>18482.5</v>
      </c>
      <c r="J1746">
        <f t="shared" si="82"/>
        <v>2026</v>
      </c>
      <c r="K1746" s="5">
        <f t="shared" si="83"/>
        <v>46113</v>
      </c>
    </row>
    <row r="1747" spans="1:11" x14ac:dyDescent="0.25">
      <c r="A1747" t="s">
        <v>616</v>
      </c>
      <c r="B1747" s="3">
        <v>46125</v>
      </c>
      <c r="C1747">
        <v>2010</v>
      </c>
      <c r="D1747" s="1">
        <v>0</v>
      </c>
      <c r="E1747" s="1">
        <v>18482.5</v>
      </c>
      <c r="F1747" t="s">
        <v>617</v>
      </c>
      <c r="G1747" t="str">
        <f>_xlfn.XLOOKUP(C1747,tblCOA[AccountNo],tblCOA[AccountName],"Unmapped")</f>
        <v>Accounts Payable</v>
      </c>
      <c r="H1747" t="str">
        <f>_xlfn.XLOOKUP(C1747,tblCOA[AccountNo],tblCOA[Category],"Unmapped")</f>
        <v>Liabilities</v>
      </c>
      <c r="I1747" s="4">
        <f t="shared" si="81"/>
        <v>-18482.5</v>
      </c>
      <c r="J1747">
        <f t="shared" si="82"/>
        <v>2026</v>
      </c>
      <c r="K1747" s="5">
        <f t="shared" si="83"/>
        <v>46113</v>
      </c>
    </row>
    <row r="1748" spans="1:11" x14ac:dyDescent="0.25">
      <c r="A1748" t="s">
        <v>1074</v>
      </c>
      <c r="B1748" s="3">
        <v>46125</v>
      </c>
      <c r="C1748">
        <v>1200</v>
      </c>
      <c r="D1748" s="1">
        <v>25334.99</v>
      </c>
      <c r="E1748" s="1">
        <v>0</v>
      </c>
      <c r="F1748" t="s">
        <v>1075</v>
      </c>
      <c r="G1748" t="str">
        <f>_xlfn.XLOOKUP(C1748,tblCOA[AccountNo],tblCOA[AccountName],"Unmapped")</f>
        <v>Accounts Receivable</v>
      </c>
      <c r="H1748" t="str">
        <f>_xlfn.XLOOKUP(C1748,tblCOA[AccountNo],tblCOA[Category],"Unmapped")</f>
        <v>Assets</v>
      </c>
      <c r="I1748" s="4">
        <f t="shared" si="81"/>
        <v>25334.99</v>
      </c>
      <c r="J1748">
        <f t="shared" si="82"/>
        <v>2026</v>
      </c>
      <c r="K1748" s="5">
        <f t="shared" si="83"/>
        <v>46113</v>
      </c>
    </row>
    <row r="1749" spans="1:11" x14ac:dyDescent="0.25">
      <c r="A1749" t="s">
        <v>1076</v>
      </c>
      <c r="B1749" s="3">
        <v>46125</v>
      </c>
      <c r="C1749">
        <v>4010</v>
      </c>
      <c r="D1749" s="1">
        <v>0</v>
      </c>
      <c r="E1749" s="1">
        <v>25334.99</v>
      </c>
      <c r="F1749" t="s">
        <v>1077</v>
      </c>
      <c r="G1749" t="str">
        <f>_xlfn.XLOOKUP(C1749,tblCOA[AccountNo],tblCOA[AccountName],"Unmapped")</f>
        <v>Product Sales</v>
      </c>
      <c r="H1749" t="str">
        <f>_xlfn.XLOOKUP(C1749,tblCOA[AccountNo],tblCOA[Category],"Unmapped")</f>
        <v>Revenue</v>
      </c>
      <c r="I1749" s="4">
        <f t="shared" si="81"/>
        <v>-25334.99</v>
      </c>
      <c r="J1749">
        <f t="shared" si="82"/>
        <v>2026</v>
      </c>
      <c r="K1749" s="5">
        <f t="shared" si="83"/>
        <v>46113</v>
      </c>
    </row>
    <row r="1750" spans="1:11" x14ac:dyDescent="0.25">
      <c r="A1750" t="s">
        <v>174</v>
      </c>
      <c r="B1750" s="3">
        <v>46127</v>
      </c>
      <c r="C1750">
        <v>5010</v>
      </c>
      <c r="D1750" s="1">
        <v>1541.05</v>
      </c>
      <c r="E1750" s="1">
        <v>0</v>
      </c>
      <c r="F1750" t="s">
        <v>175</v>
      </c>
      <c r="G1750" t="str">
        <f>_xlfn.XLOOKUP(C1750,tblCOA[AccountNo],tblCOA[AccountName],"Unmapped")</f>
        <v>Cost of Goods Sold</v>
      </c>
      <c r="H1750" t="str">
        <f>_xlfn.XLOOKUP(C1750,tblCOA[AccountNo],tblCOA[Category],"Unmapped")</f>
        <v>Expenses</v>
      </c>
      <c r="I1750" s="4">
        <f t="shared" si="81"/>
        <v>1541.05</v>
      </c>
      <c r="J1750">
        <f t="shared" si="82"/>
        <v>2026</v>
      </c>
      <c r="K1750" s="5">
        <f t="shared" si="83"/>
        <v>46113</v>
      </c>
    </row>
    <row r="1751" spans="1:11" x14ac:dyDescent="0.25">
      <c r="A1751" t="s">
        <v>176</v>
      </c>
      <c r="B1751" s="3">
        <v>46127</v>
      </c>
      <c r="C1751">
        <v>2010</v>
      </c>
      <c r="D1751" s="1">
        <v>0</v>
      </c>
      <c r="E1751" s="1">
        <v>1541.05</v>
      </c>
      <c r="F1751" t="s">
        <v>177</v>
      </c>
      <c r="G1751" t="str">
        <f>_xlfn.XLOOKUP(C1751,tblCOA[AccountNo],tblCOA[AccountName],"Unmapped")</f>
        <v>Accounts Payable</v>
      </c>
      <c r="H1751" t="str">
        <f>_xlfn.XLOOKUP(C1751,tblCOA[AccountNo],tblCOA[Category],"Unmapped")</f>
        <v>Liabilities</v>
      </c>
      <c r="I1751" s="4">
        <f t="shared" si="81"/>
        <v>-1541.05</v>
      </c>
      <c r="J1751">
        <f t="shared" si="82"/>
        <v>2026</v>
      </c>
      <c r="K1751" s="5">
        <f t="shared" si="83"/>
        <v>46113</v>
      </c>
    </row>
    <row r="1752" spans="1:11" x14ac:dyDescent="0.25">
      <c r="A1752" t="s">
        <v>2222</v>
      </c>
      <c r="B1752" s="3">
        <v>46128</v>
      </c>
      <c r="C1752">
        <v>5010</v>
      </c>
      <c r="D1752" s="1">
        <v>1898.01</v>
      </c>
      <c r="E1752" s="1">
        <v>0</v>
      </c>
      <c r="F1752" t="s">
        <v>2223</v>
      </c>
      <c r="G1752" t="str">
        <f>_xlfn.XLOOKUP(C1752,tblCOA[AccountNo],tblCOA[AccountName],"Unmapped")</f>
        <v>Cost of Goods Sold</v>
      </c>
      <c r="H1752" t="str">
        <f>_xlfn.XLOOKUP(C1752,tblCOA[AccountNo],tblCOA[Category],"Unmapped")</f>
        <v>Expenses</v>
      </c>
      <c r="I1752" s="4">
        <f t="shared" si="81"/>
        <v>1898.01</v>
      </c>
      <c r="J1752">
        <f t="shared" si="82"/>
        <v>2026</v>
      </c>
      <c r="K1752" s="5">
        <f t="shared" si="83"/>
        <v>46113</v>
      </c>
    </row>
    <row r="1753" spans="1:11" x14ac:dyDescent="0.25">
      <c r="A1753" t="s">
        <v>2224</v>
      </c>
      <c r="B1753" s="3">
        <v>46128</v>
      </c>
      <c r="C1753">
        <v>2010</v>
      </c>
      <c r="D1753" s="1">
        <v>0</v>
      </c>
      <c r="E1753" s="1">
        <v>1898.01</v>
      </c>
      <c r="F1753" t="s">
        <v>2225</v>
      </c>
      <c r="G1753" t="str">
        <f>_xlfn.XLOOKUP(C1753,tblCOA[AccountNo],tblCOA[AccountName],"Unmapped")</f>
        <v>Accounts Payable</v>
      </c>
      <c r="H1753" t="str">
        <f>_xlfn.XLOOKUP(C1753,tblCOA[AccountNo],tblCOA[Category],"Unmapped")</f>
        <v>Liabilities</v>
      </c>
      <c r="I1753" s="4">
        <f t="shared" si="81"/>
        <v>-1898.01</v>
      </c>
      <c r="J1753">
        <f t="shared" si="82"/>
        <v>2026</v>
      </c>
      <c r="K1753" s="5">
        <f t="shared" si="83"/>
        <v>46113</v>
      </c>
    </row>
    <row r="1754" spans="1:11" x14ac:dyDescent="0.25">
      <c r="A1754" t="s">
        <v>2350</v>
      </c>
      <c r="B1754" s="3">
        <v>46129</v>
      </c>
      <c r="C1754">
        <v>5010</v>
      </c>
      <c r="D1754" s="1">
        <v>3438.35</v>
      </c>
      <c r="E1754" s="1">
        <v>0</v>
      </c>
      <c r="F1754" t="s">
        <v>2351</v>
      </c>
      <c r="G1754" t="str">
        <f>_xlfn.XLOOKUP(C1754,tblCOA[AccountNo],tblCOA[AccountName],"Unmapped")</f>
        <v>Cost of Goods Sold</v>
      </c>
      <c r="H1754" t="str">
        <f>_xlfn.XLOOKUP(C1754,tblCOA[AccountNo],tblCOA[Category],"Unmapped")</f>
        <v>Expenses</v>
      </c>
      <c r="I1754" s="4">
        <f t="shared" si="81"/>
        <v>3438.35</v>
      </c>
      <c r="J1754">
        <f t="shared" si="82"/>
        <v>2026</v>
      </c>
      <c r="K1754" s="5">
        <f t="shared" si="83"/>
        <v>46113</v>
      </c>
    </row>
    <row r="1755" spans="1:11" x14ac:dyDescent="0.25">
      <c r="A1755" t="s">
        <v>2352</v>
      </c>
      <c r="B1755" s="3">
        <v>46129</v>
      </c>
      <c r="C1755">
        <v>2010</v>
      </c>
      <c r="D1755" s="1">
        <v>0</v>
      </c>
      <c r="E1755" s="1">
        <v>3438.35</v>
      </c>
      <c r="F1755" t="s">
        <v>2353</v>
      </c>
      <c r="G1755" t="str">
        <f>_xlfn.XLOOKUP(C1755,tblCOA[AccountNo],tblCOA[AccountName],"Unmapped")</f>
        <v>Accounts Payable</v>
      </c>
      <c r="H1755" t="str">
        <f>_xlfn.XLOOKUP(C1755,tblCOA[AccountNo],tblCOA[Category],"Unmapped")</f>
        <v>Liabilities</v>
      </c>
      <c r="I1755" s="4">
        <f t="shared" si="81"/>
        <v>-3438.35</v>
      </c>
      <c r="J1755">
        <f t="shared" si="82"/>
        <v>2026</v>
      </c>
      <c r="K1755" s="5">
        <f t="shared" si="83"/>
        <v>46113</v>
      </c>
    </row>
    <row r="1756" spans="1:11" x14ac:dyDescent="0.25">
      <c r="A1756" t="s">
        <v>2230</v>
      </c>
      <c r="B1756" s="3">
        <v>46131</v>
      </c>
      <c r="C1756">
        <v>5010</v>
      </c>
      <c r="D1756" s="1">
        <v>725.87</v>
      </c>
      <c r="E1756" s="1">
        <v>0</v>
      </c>
      <c r="F1756" t="s">
        <v>2231</v>
      </c>
      <c r="G1756" t="str">
        <f>_xlfn.XLOOKUP(C1756,tblCOA[AccountNo],tblCOA[AccountName],"Unmapped")</f>
        <v>Cost of Goods Sold</v>
      </c>
      <c r="H1756" t="str">
        <f>_xlfn.XLOOKUP(C1756,tblCOA[AccountNo],tblCOA[Category],"Unmapped")</f>
        <v>Expenses</v>
      </c>
      <c r="I1756" s="4">
        <f t="shared" si="81"/>
        <v>725.87</v>
      </c>
      <c r="J1756">
        <f t="shared" si="82"/>
        <v>2026</v>
      </c>
      <c r="K1756" s="5">
        <f t="shared" si="83"/>
        <v>46113</v>
      </c>
    </row>
    <row r="1757" spans="1:11" x14ac:dyDescent="0.25">
      <c r="A1757" t="s">
        <v>2232</v>
      </c>
      <c r="B1757" s="3">
        <v>46131</v>
      </c>
      <c r="C1757">
        <v>2010</v>
      </c>
      <c r="D1757" s="1">
        <v>0</v>
      </c>
      <c r="E1757" s="1">
        <v>725.87</v>
      </c>
      <c r="F1757" t="s">
        <v>2233</v>
      </c>
      <c r="G1757" t="str">
        <f>_xlfn.XLOOKUP(C1757,tblCOA[AccountNo],tblCOA[AccountName],"Unmapped")</f>
        <v>Accounts Payable</v>
      </c>
      <c r="H1757" t="str">
        <f>_xlfn.XLOOKUP(C1757,tblCOA[AccountNo],tblCOA[Category],"Unmapped")</f>
        <v>Liabilities</v>
      </c>
      <c r="I1757" s="4">
        <f t="shared" si="81"/>
        <v>-725.87</v>
      </c>
      <c r="J1757">
        <f t="shared" si="82"/>
        <v>2026</v>
      </c>
      <c r="K1757" s="5">
        <f t="shared" si="83"/>
        <v>46113</v>
      </c>
    </row>
    <row r="1758" spans="1:11" x14ac:dyDescent="0.25">
      <c r="A1758" t="s">
        <v>562</v>
      </c>
      <c r="B1758" s="3">
        <v>46134</v>
      </c>
      <c r="C1758">
        <v>1200</v>
      </c>
      <c r="D1758" s="1">
        <v>23295.86</v>
      </c>
      <c r="E1758" s="1">
        <v>0</v>
      </c>
      <c r="F1758" t="s">
        <v>563</v>
      </c>
      <c r="G1758" t="str">
        <f>_xlfn.XLOOKUP(C1758,tblCOA[AccountNo],tblCOA[AccountName],"Unmapped")</f>
        <v>Accounts Receivable</v>
      </c>
      <c r="H1758" t="str">
        <f>_xlfn.XLOOKUP(C1758,tblCOA[AccountNo],tblCOA[Category],"Unmapped")</f>
        <v>Assets</v>
      </c>
      <c r="I1758" s="4">
        <f t="shared" si="81"/>
        <v>23295.86</v>
      </c>
      <c r="J1758">
        <f t="shared" si="82"/>
        <v>2026</v>
      </c>
      <c r="K1758" s="5">
        <f t="shared" si="83"/>
        <v>46113</v>
      </c>
    </row>
    <row r="1759" spans="1:11" x14ac:dyDescent="0.25">
      <c r="A1759" t="s">
        <v>564</v>
      </c>
      <c r="B1759" s="3">
        <v>46134</v>
      </c>
      <c r="C1759">
        <v>4010</v>
      </c>
      <c r="D1759" s="1">
        <v>0</v>
      </c>
      <c r="E1759" s="1">
        <v>23295.86</v>
      </c>
      <c r="F1759" t="s">
        <v>565</v>
      </c>
      <c r="G1759" t="str">
        <f>_xlfn.XLOOKUP(C1759,tblCOA[AccountNo],tblCOA[AccountName],"Unmapped")</f>
        <v>Product Sales</v>
      </c>
      <c r="H1759" t="str">
        <f>_xlfn.XLOOKUP(C1759,tblCOA[AccountNo],tblCOA[Category],"Unmapped")</f>
        <v>Revenue</v>
      </c>
      <c r="I1759" s="4">
        <f t="shared" si="81"/>
        <v>-23295.86</v>
      </c>
      <c r="J1759">
        <f t="shared" si="82"/>
        <v>2026</v>
      </c>
      <c r="K1759" s="5">
        <f t="shared" si="83"/>
        <v>46113</v>
      </c>
    </row>
    <row r="1760" spans="1:11" x14ac:dyDescent="0.25">
      <c r="A1760" t="s">
        <v>1414</v>
      </c>
      <c r="B1760" s="3">
        <v>46135</v>
      </c>
      <c r="C1760">
        <v>5010</v>
      </c>
      <c r="D1760" s="1">
        <v>1185.42</v>
      </c>
      <c r="E1760" s="1">
        <v>0</v>
      </c>
      <c r="F1760" t="s">
        <v>1415</v>
      </c>
      <c r="G1760" t="str">
        <f>_xlfn.XLOOKUP(C1760,tblCOA[AccountNo],tblCOA[AccountName],"Unmapped")</f>
        <v>Cost of Goods Sold</v>
      </c>
      <c r="H1760" t="str">
        <f>_xlfn.XLOOKUP(C1760,tblCOA[AccountNo],tblCOA[Category],"Unmapped")</f>
        <v>Expenses</v>
      </c>
      <c r="I1760" s="4">
        <f t="shared" si="81"/>
        <v>1185.42</v>
      </c>
      <c r="J1760">
        <f t="shared" si="82"/>
        <v>2026</v>
      </c>
      <c r="K1760" s="5">
        <f t="shared" si="83"/>
        <v>46113</v>
      </c>
    </row>
    <row r="1761" spans="1:11" x14ac:dyDescent="0.25">
      <c r="A1761" t="s">
        <v>1416</v>
      </c>
      <c r="B1761" s="3">
        <v>46135</v>
      </c>
      <c r="C1761">
        <v>2010</v>
      </c>
      <c r="D1761" s="1">
        <v>0</v>
      </c>
      <c r="E1761" s="1">
        <v>1185.42</v>
      </c>
      <c r="F1761" t="s">
        <v>1417</v>
      </c>
      <c r="G1761" t="str">
        <f>_xlfn.XLOOKUP(C1761,tblCOA[AccountNo],tblCOA[AccountName],"Unmapped")</f>
        <v>Accounts Payable</v>
      </c>
      <c r="H1761" t="str">
        <f>_xlfn.XLOOKUP(C1761,tblCOA[AccountNo],tblCOA[Category],"Unmapped")</f>
        <v>Liabilities</v>
      </c>
      <c r="I1761" s="4">
        <f t="shared" si="81"/>
        <v>-1185.42</v>
      </c>
      <c r="J1761">
        <f t="shared" si="82"/>
        <v>2026</v>
      </c>
      <c r="K1761" s="5">
        <f t="shared" si="83"/>
        <v>46113</v>
      </c>
    </row>
    <row r="1762" spans="1:11" x14ac:dyDescent="0.25">
      <c r="A1762" t="s">
        <v>1702</v>
      </c>
      <c r="B1762" s="3">
        <v>46135</v>
      </c>
      <c r="C1762">
        <v>5010</v>
      </c>
      <c r="D1762" s="1">
        <v>18458.46</v>
      </c>
      <c r="E1762" s="1">
        <v>0</v>
      </c>
      <c r="F1762" t="s">
        <v>1703</v>
      </c>
      <c r="G1762" t="str">
        <f>_xlfn.XLOOKUP(C1762,tblCOA[AccountNo],tblCOA[AccountName],"Unmapped")</f>
        <v>Cost of Goods Sold</v>
      </c>
      <c r="H1762" t="str">
        <f>_xlfn.XLOOKUP(C1762,tblCOA[AccountNo],tblCOA[Category],"Unmapped")</f>
        <v>Expenses</v>
      </c>
      <c r="I1762" s="4">
        <f t="shared" si="81"/>
        <v>18458.46</v>
      </c>
      <c r="J1762">
        <f t="shared" si="82"/>
        <v>2026</v>
      </c>
      <c r="K1762" s="5">
        <f t="shared" si="83"/>
        <v>46113</v>
      </c>
    </row>
    <row r="1763" spans="1:11" x14ac:dyDescent="0.25">
      <c r="A1763" t="s">
        <v>1704</v>
      </c>
      <c r="B1763" s="3">
        <v>46135</v>
      </c>
      <c r="C1763">
        <v>2010</v>
      </c>
      <c r="D1763" s="1">
        <v>0</v>
      </c>
      <c r="E1763" s="1">
        <v>18458.46</v>
      </c>
      <c r="F1763" t="s">
        <v>1705</v>
      </c>
      <c r="G1763" t="str">
        <f>_xlfn.XLOOKUP(C1763,tblCOA[AccountNo],tblCOA[AccountName],"Unmapped")</f>
        <v>Accounts Payable</v>
      </c>
      <c r="H1763" t="str">
        <f>_xlfn.XLOOKUP(C1763,tblCOA[AccountNo],tblCOA[Category],"Unmapped")</f>
        <v>Liabilities</v>
      </c>
      <c r="I1763" s="4">
        <f t="shared" si="81"/>
        <v>-18458.46</v>
      </c>
      <c r="J1763">
        <f t="shared" si="82"/>
        <v>2026</v>
      </c>
      <c r="K1763" s="5">
        <f t="shared" si="83"/>
        <v>46113</v>
      </c>
    </row>
    <row r="1764" spans="1:11" x14ac:dyDescent="0.25">
      <c r="A1764" t="s">
        <v>234</v>
      </c>
      <c r="B1764" s="3">
        <v>46136</v>
      </c>
      <c r="C1764">
        <v>1200</v>
      </c>
      <c r="D1764" s="1">
        <v>3931.07</v>
      </c>
      <c r="E1764" s="1">
        <v>0</v>
      </c>
      <c r="F1764" t="s">
        <v>235</v>
      </c>
      <c r="G1764" t="str">
        <f>_xlfn.XLOOKUP(C1764,tblCOA[AccountNo],tblCOA[AccountName],"Unmapped")</f>
        <v>Accounts Receivable</v>
      </c>
      <c r="H1764" t="str">
        <f>_xlfn.XLOOKUP(C1764,tblCOA[AccountNo],tblCOA[Category],"Unmapped")</f>
        <v>Assets</v>
      </c>
      <c r="I1764" s="4">
        <f t="shared" si="81"/>
        <v>3931.07</v>
      </c>
      <c r="J1764">
        <f t="shared" si="82"/>
        <v>2026</v>
      </c>
      <c r="K1764" s="5">
        <f t="shared" si="83"/>
        <v>46113</v>
      </c>
    </row>
    <row r="1765" spans="1:11" x14ac:dyDescent="0.25">
      <c r="A1765" t="s">
        <v>236</v>
      </c>
      <c r="B1765" s="3">
        <v>46136</v>
      </c>
      <c r="C1765">
        <v>4010</v>
      </c>
      <c r="D1765" s="1">
        <v>0</v>
      </c>
      <c r="E1765" s="1">
        <v>3931.07</v>
      </c>
      <c r="F1765" t="s">
        <v>237</v>
      </c>
      <c r="G1765" t="str">
        <f>_xlfn.XLOOKUP(C1765,tblCOA[AccountNo],tblCOA[AccountName],"Unmapped")</f>
        <v>Product Sales</v>
      </c>
      <c r="H1765" t="str">
        <f>_xlfn.XLOOKUP(C1765,tblCOA[AccountNo],tblCOA[Category],"Unmapped")</f>
        <v>Revenue</v>
      </c>
      <c r="I1765" s="4">
        <f t="shared" si="81"/>
        <v>-3931.07</v>
      </c>
      <c r="J1765">
        <f t="shared" si="82"/>
        <v>2026</v>
      </c>
      <c r="K1765" s="5">
        <f t="shared" si="83"/>
        <v>46113</v>
      </c>
    </row>
    <row r="1766" spans="1:11" x14ac:dyDescent="0.25">
      <c r="A1766" t="s">
        <v>3654</v>
      </c>
      <c r="B1766" s="3">
        <v>46139</v>
      </c>
      <c r="C1766">
        <v>5010</v>
      </c>
      <c r="D1766" s="1">
        <v>1225.94</v>
      </c>
      <c r="E1766" s="1">
        <v>0</v>
      </c>
      <c r="F1766" t="s">
        <v>3655</v>
      </c>
      <c r="G1766" t="str">
        <f>_xlfn.XLOOKUP(C1766,tblCOA[AccountNo],tblCOA[AccountName],"Unmapped")</f>
        <v>Cost of Goods Sold</v>
      </c>
      <c r="H1766" t="str">
        <f>_xlfn.XLOOKUP(C1766,tblCOA[AccountNo],tblCOA[Category],"Unmapped")</f>
        <v>Expenses</v>
      </c>
      <c r="I1766" s="4">
        <f t="shared" si="81"/>
        <v>1225.94</v>
      </c>
      <c r="J1766">
        <f t="shared" si="82"/>
        <v>2026</v>
      </c>
      <c r="K1766" s="5">
        <f t="shared" si="83"/>
        <v>46113</v>
      </c>
    </row>
    <row r="1767" spans="1:11" x14ac:dyDescent="0.25">
      <c r="A1767" t="s">
        <v>3656</v>
      </c>
      <c r="B1767" s="3">
        <v>46139</v>
      </c>
      <c r="C1767">
        <v>2010</v>
      </c>
      <c r="D1767" s="1">
        <v>0</v>
      </c>
      <c r="E1767" s="1">
        <v>1225.94</v>
      </c>
      <c r="F1767" t="s">
        <v>3657</v>
      </c>
      <c r="G1767" t="str">
        <f>_xlfn.XLOOKUP(C1767,tblCOA[AccountNo],tblCOA[AccountName],"Unmapped")</f>
        <v>Accounts Payable</v>
      </c>
      <c r="H1767" t="str">
        <f>_xlfn.XLOOKUP(C1767,tblCOA[AccountNo],tblCOA[Category],"Unmapped")</f>
        <v>Liabilities</v>
      </c>
      <c r="I1767" s="4">
        <f t="shared" si="81"/>
        <v>-1225.94</v>
      </c>
      <c r="J1767">
        <f t="shared" si="82"/>
        <v>2026</v>
      </c>
      <c r="K1767" s="5">
        <f t="shared" si="83"/>
        <v>46113</v>
      </c>
    </row>
    <row r="1768" spans="1:11" x14ac:dyDescent="0.25">
      <c r="A1768" t="s">
        <v>2890</v>
      </c>
      <c r="B1768" s="3">
        <v>46140</v>
      </c>
      <c r="C1768">
        <v>1200</v>
      </c>
      <c r="D1768" s="1">
        <v>31453.17</v>
      </c>
      <c r="E1768" s="1">
        <v>0</v>
      </c>
      <c r="F1768" t="s">
        <v>2891</v>
      </c>
      <c r="G1768" t="str">
        <f>_xlfn.XLOOKUP(C1768,tblCOA[AccountNo],tblCOA[AccountName],"Unmapped")</f>
        <v>Accounts Receivable</v>
      </c>
      <c r="H1768" t="str">
        <f>_xlfn.XLOOKUP(C1768,tblCOA[AccountNo],tblCOA[Category],"Unmapped")</f>
        <v>Assets</v>
      </c>
      <c r="I1768" s="4">
        <f t="shared" si="81"/>
        <v>31453.17</v>
      </c>
      <c r="J1768">
        <f t="shared" si="82"/>
        <v>2026</v>
      </c>
      <c r="K1768" s="5">
        <f t="shared" si="83"/>
        <v>46113</v>
      </c>
    </row>
    <row r="1769" spans="1:11" x14ac:dyDescent="0.25">
      <c r="A1769" t="s">
        <v>2892</v>
      </c>
      <c r="B1769" s="3">
        <v>46140</v>
      </c>
      <c r="C1769">
        <v>4010</v>
      </c>
      <c r="D1769" s="1">
        <v>0</v>
      </c>
      <c r="E1769" s="1">
        <v>31453.17</v>
      </c>
      <c r="F1769" t="s">
        <v>2893</v>
      </c>
      <c r="G1769" t="str">
        <f>_xlfn.XLOOKUP(C1769,tblCOA[AccountNo],tblCOA[AccountName],"Unmapped")</f>
        <v>Product Sales</v>
      </c>
      <c r="H1769" t="str">
        <f>_xlfn.XLOOKUP(C1769,tblCOA[AccountNo],tblCOA[Category],"Unmapped")</f>
        <v>Revenue</v>
      </c>
      <c r="I1769" s="4">
        <f t="shared" si="81"/>
        <v>-31453.17</v>
      </c>
      <c r="J1769">
        <f t="shared" si="82"/>
        <v>2026</v>
      </c>
      <c r="K1769" s="5">
        <f t="shared" si="83"/>
        <v>46113</v>
      </c>
    </row>
    <row r="1770" spans="1:11" x14ac:dyDescent="0.25">
      <c r="A1770" t="s">
        <v>3258</v>
      </c>
      <c r="B1770" s="3">
        <v>46140</v>
      </c>
      <c r="C1770">
        <v>1200</v>
      </c>
      <c r="D1770" s="1">
        <v>2550.83</v>
      </c>
      <c r="E1770" s="1">
        <v>0</v>
      </c>
      <c r="F1770" t="s">
        <v>3259</v>
      </c>
      <c r="G1770" t="str">
        <f>_xlfn.XLOOKUP(C1770,tblCOA[AccountNo],tblCOA[AccountName],"Unmapped")</f>
        <v>Accounts Receivable</v>
      </c>
      <c r="H1770" t="str">
        <f>_xlfn.XLOOKUP(C1770,tblCOA[AccountNo],tblCOA[Category],"Unmapped")</f>
        <v>Assets</v>
      </c>
      <c r="I1770" s="4">
        <f t="shared" si="81"/>
        <v>2550.83</v>
      </c>
      <c r="J1770">
        <f t="shared" si="82"/>
        <v>2026</v>
      </c>
      <c r="K1770" s="5">
        <f t="shared" si="83"/>
        <v>46113</v>
      </c>
    </row>
    <row r="1771" spans="1:11" x14ac:dyDescent="0.25">
      <c r="A1771" t="s">
        <v>3260</v>
      </c>
      <c r="B1771" s="3">
        <v>46140</v>
      </c>
      <c r="C1771">
        <v>4010</v>
      </c>
      <c r="D1771" s="1">
        <v>0</v>
      </c>
      <c r="E1771" s="1">
        <v>2550.83</v>
      </c>
      <c r="F1771" t="s">
        <v>3261</v>
      </c>
      <c r="G1771" t="str">
        <f>_xlfn.XLOOKUP(C1771,tblCOA[AccountNo],tblCOA[AccountName],"Unmapped")</f>
        <v>Product Sales</v>
      </c>
      <c r="H1771" t="str">
        <f>_xlfn.XLOOKUP(C1771,tblCOA[AccountNo],tblCOA[Category],"Unmapped")</f>
        <v>Revenue</v>
      </c>
      <c r="I1771" s="4">
        <f t="shared" si="81"/>
        <v>-2550.83</v>
      </c>
      <c r="J1771">
        <f t="shared" si="82"/>
        <v>2026</v>
      </c>
      <c r="K1771" s="5">
        <f t="shared" si="83"/>
        <v>46113</v>
      </c>
    </row>
    <row r="1772" spans="1:11" x14ac:dyDescent="0.25">
      <c r="A1772" t="s">
        <v>1174</v>
      </c>
      <c r="B1772" s="3">
        <v>46141</v>
      </c>
      <c r="C1772">
        <v>5010</v>
      </c>
      <c r="D1772" s="1">
        <v>4114.8100000000004</v>
      </c>
      <c r="E1772" s="1">
        <v>0</v>
      </c>
      <c r="F1772" t="s">
        <v>1175</v>
      </c>
      <c r="G1772" t="str">
        <f>_xlfn.XLOOKUP(C1772,tblCOA[AccountNo],tblCOA[AccountName],"Unmapped")</f>
        <v>Cost of Goods Sold</v>
      </c>
      <c r="H1772" t="str">
        <f>_xlfn.XLOOKUP(C1772,tblCOA[AccountNo],tblCOA[Category],"Unmapped")</f>
        <v>Expenses</v>
      </c>
      <c r="I1772" s="4">
        <f t="shared" si="81"/>
        <v>4114.8100000000004</v>
      </c>
      <c r="J1772">
        <f t="shared" si="82"/>
        <v>2026</v>
      </c>
      <c r="K1772" s="5">
        <f t="shared" si="83"/>
        <v>46113</v>
      </c>
    </row>
    <row r="1773" spans="1:11" x14ac:dyDescent="0.25">
      <c r="A1773" t="s">
        <v>1176</v>
      </c>
      <c r="B1773" s="3">
        <v>46141</v>
      </c>
      <c r="C1773">
        <v>2010</v>
      </c>
      <c r="D1773" s="1">
        <v>0</v>
      </c>
      <c r="E1773" s="1">
        <v>4114.8100000000004</v>
      </c>
      <c r="F1773" t="s">
        <v>1177</v>
      </c>
      <c r="G1773" t="str">
        <f>_xlfn.XLOOKUP(C1773,tblCOA[AccountNo],tblCOA[AccountName],"Unmapped")</f>
        <v>Accounts Payable</v>
      </c>
      <c r="H1773" t="str">
        <f>_xlfn.XLOOKUP(C1773,tblCOA[AccountNo],tblCOA[Category],"Unmapped")</f>
        <v>Liabilities</v>
      </c>
      <c r="I1773" s="4">
        <f t="shared" si="81"/>
        <v>-4114.8100000000004</v>
      </c>
      <c r="J1773">
        <f t="shared" si="82"/>
        <v>2026</v>
      </c>
      <c r="K1773" s="5">
        <f t="shared" si="83"/>
        <v>46113</v>
      </c>
    </row>
    <row r="1774" spans="1:11" x14ac:dyDescent="0.25">
      <c r="A1774" t="s">
        <v>1622</v>
      </c>
      <c r="B1774" s="3">
        <v>46141</v>
      </c>
      <c r="C1774">
        <v>5010</v>
      </c>
      <c r="D1774" s="1">
        <v>1344.37</v>
      </c>
      <c r="E1774" s="1">
        <v>0</v>
      </c>
      <c r="F1774" t="s">
        <v>1623</v>
      </c>
      <c r="G1774" t="str">
        <f>_xlfn.XLOOKUP(C1774,tblCOA[AccountNo],tblCOA[AccountName],"Unmapped")</f>
        <v>Cost of Goods Sold</v>
      </c>
      <c r="H1774" t="str">
        <f>_xlfn.XLOOKUP(C1774,tblCOA[AccountNo],tblCOA[Category],"Unmapped")</f>
        <v>Expenses</v>
      </c>
      <c r="I1774" s="4">
        <f t="shared" si="81"/>
        <v>1344.37</v>
      </c>
      <c r="J1774">
        <f t="shared" si="82"/>
        <v>2026</v>
      </c>
      <c r="K1774" s="5">
        <f t="shared" si="83"/>
        <v>46113</v>
      </c>
    </row>
    <row r="1775" spans="1:11" x14ac:dyDescent="0.25">
      <c r="A1775" t="s">
        <v>1624</v>
      </c>
      <c r="B1775" s="3">
        <v>46141</v>
      </c>
      <c r="C1775">
        <v>2010</v>
      </c>
      <c r="D1775" s="1">
        <v>0</v>
      </c>
      <c r="E1775" s="1">
        <v>1344.37</v>
      </c>
      <c r="F1775" t="s">
        <v>1625</v>
      </c>
      <c r="G1775" t="str">
        <f>_xlfn.XLOOKUP(C1775,tblCOA[AccountNo],tblCOA[AccountName],"Unmapped")</f>
        <v>Accounts Payable</v>
      </c>
      <c r="H1775" t="str">
        <f>_xlfn.XLOOKUP(C1775,tblCOA[AccountNo],tblCOA[Category],"Unmapped")</f>
        <v>Liabilities</v>
      </c>
      <c r="I1775" s="4">
        <f t="shared" si="81"/>
        <v>-1344.37</v>
      </c>
      <c r="J1775">
        <f t="shared" si="82"/>
        <v>2026</v>
      </c>
      <c r="K1775" s="5">
        <f t="shared" si="83"/>
        <v>46113</v>
      </c>
    </row>
    <row r="1776" spans="1:11" x14ac:dyDescent="0.25">
      <c r="A1776" t="s">
        <v>3666</v>
      </c>
      <c r="B1776" s="3">
        <v>46143</v>
      </c>
      <c r="C1776">
        <v>1200</v>
      </c>
      <c r="D1776" s="1">
        <v>39690.17</v>
      </c>
      <c r="E1776" s="1">
        <v>0</v>
      </c>
      <c r="F1776" t="s">
        <v>3667</v>
      </c>
      <c r="G1776" t="str">
        <f>_xlfn.XLOOKUP(C1776,tblCOA[AccountNo],tblCOA[AccountName],"Unmapped")</f>
        <v>Accounts Receivable</v>
      </c>
      <c r="H1776" t="str">
        <f>_xlfn.XLOOKUP(C1776,tblCOA[AccountNo],tblCOA[Category],"Unmapped")</f>
        <v>Assets</v>
      </c>
      <c r="I1776" s="4">
        <f t="shared" si="81"/>
        <v>39690.17</v>
      </c>
      <c r="J1776">
        <f t="shared" si="82"/>
        <v>2026</v>
      </c>
      <c r="K1776" s="5">
        <f t="shared" si="83"/>
        <v>46143</v>
      </c>
    </row>
    <row r="1777" spans="1:11" x14ac:dyDescent="0.25">
      <c r="A1777" t="s">
        <v>3668</v>
      </c>
      <c r="B1777" s="3">
        <v>46143</v>
      </c>
      <c r="C1777">
        <v>4010</v>
      </c>
      <c r="D1777" s="1">
        <v>0</v>
      </c>
      <c r="E1777" s="1">
        <v>39690.17</v>
      </c>
      <c r="F1777" t="s">
        <v>3669</v>
      </c>
      <c r="G1777" t="str">
        <f>_xlfn.XLOOKUP(C1777,tblCOA[AccountNo],tblCOA[AccountName],"Unmapped")</f>
        <v>Product Sales</v>
      </c>
      <c r="H1777" t="str">
        <f>_xlfn.XLOOKUP(C1777,tblCOA[AccountNo],tblCOA[Category],"Unmapped")</f>
        <v>Revenue</v>
      </c>
      <c r="I1777" s="4">
        <f t="shared" si="81"/>
        <v>-39690.17</v>
      </c>
      <c r="J1777">
        <f t="shared" si="82"/>
        <v>2026</v>
      </c>
      <c r="K1777" s="5">
        <f t="shared" si="83"/>
        <v>46143</v>
      </c>
    </row>
    <row r="1778" spans="1:11" x14ac:dyDescent="0.25">
      <c r="A1778" t="s">
        <v>1986</v>
      </c>
      <c r="B1778" s="3">
        <v>46145</v>
      </c>
      <c r="C1778">
        <v>1200</v>
      </c>
      <c r="D1778" s="1">
        <v>17057.55</v>
      </c>
      <c r="E1778" s="1">
        <v>0</v>
      </c>
      <c r="F1778" t="s">
        <v>1987</v>
      </c>
      <c r="G1778" t="str">
        <f>_xlfn.XLOOKUP(C1778,tblCOA[AccountNo],tblCOA[AccountName],"Unmapped")</f>
        <v>Accounts Receivable</v>
      </c>
      <c r="H1778" t="str">
        <f>_xlfn.XLOOKUP(C1778,tblCOA[AccountNo],tblCOA[Category],"Unmapped")</f>
        <v>Assets</v>
      </c>
      <c r="I1778" s="4">
        <f t="shared" si="81"/>
        <v>17057.55</v>
      </c>
      <c r="J1778">
        <f t="shared" si="82"/>
        <v>2026</v>
      </c>
      <c r="K1778" s="5">
        <f t="shared" si="83"/>
        <v>46143</v>
      </c>
    </row>
    <row r="1779" spans="1:11" x14ac:dyDescent="0.25">
      <c r="A1779" t="s">
        <v>1988</v>
      </c>
      <c r="B1779" s="3">
        <v>46145</v>
      </c>
      <c r="C1779">
        <v>4010</v>
      </c>
      <c r="D1779" s="1">
        <v>0</v>
      </c>
      <c r="E1779" s="1">
        <v>17057.55</v>
      </c>
      <c r="F1779" t="s">
        <v>1989</v>
      </c>
      <c r="G1779" t="str">
        <f>_xlfn.XLOOKUP(C1779,tblCOA[AccountNo],tblCOA[AccountName],"Unmapped")</f>
        <v>Product Sales</v>
      </c>
      <c r="H1779" t="str">
        <f>_xlfn.XLOOKUP(C1779,tblCOA[AccountNo],tblCOA[Category],"Unmapped")</f>
        <v>Revenue</v>
      </c>
      <c r="I1779" s="4">
        <f t="shared" si="81"/>
        <v>-17057.55</v>
      </c>
      <c r="J1779">
        <f t="shared" si="82"/>
        <v>2026</v>
      </c>
      <c r="K1779" s="5">
        <f t="shared" si="83"/>
        <v>46143</v>
      </c>
    </row>
    <row r="1780" spans="1:11" x14ac:dyDescent="0.25">
      <c r="A1780" t="s">
        <v>862</v>
      </c>
      <c r="B1780" s="3">
        <v>46148</v>
      </c>
      <c r="C1780">
        <v>5010</v>
      </c>
      <c r="D1780" s="1">
        <v>6140</v>
      </c>
      <c r="E1780" s="1">
        <v>0</v>
      </c>
      <c r="F1780" t="s">
        <v>863</v>
      </c>
      <c r="G1780" t="str">
        <f>_xlfn.XLOOKUP(C1780,tblCOA[AccountNo],tblCOA[AccountName],"Unmapped")</f>
        <v>Cost of Goods Sold</v>
      </c>
      <c r="H1780" t="str">
        <f>_xlfn.XLOOKUP(C1780,tblCOA[AccountNo],tblCOA[Category],"Unmapped")</f>
        <v>Expenses</v>
      </c>
      <c r="I1780" s="4">
        <f t="shared" si="81"/>
        <v>6140</v>
      </c>
      <c r="J1780">
        <f t="shared" si="82"/>
        <v>2026</v>
      </c>
      <c r="K1780" s="5">
        <f t="shared" si="83"/>
        <v>46143</v>
      </c>
    </row>
    <row r="1781" spans="1:11" x14ac:dyDescent="0.25">
      <c r="A1781" t="s">
        <v>864</v>
      </c>
      <c r="B1781" s="3">
        <v>46148</v>
      </c>
      <c r="C1781">
        <v>2010</v>
      </c>
      <c r="D1781" s="1">
        <v>0</v>
      </c>
      <c r="E1781" s="1">
        <v>6140</v>
      </c>
      <c r="F1781" t="s">
        <v>865</v>
      </c>
      <c r="G1781" t="str">
        <f>_xlfn.XLOOKUP(C1781,tblCOA[AccountNo],tblCOA[AccountName],"Unmapped")</f>
        <v>Accounts Payable</v>
      </c>
      <c r="H1781" t="str">
        <f>_xlfn.XLOOKUP(C1781,tblCOA[AccountNo],tblCOA[Category],"Unmapped")</f>
        <v>Liabilities</v>
      </c>
      <c r="I1781" s="4">
        <f t="shared" si="81"/>
        <v>-6140</v>
      </c>
      <c r="J1781">
        <f t="shared" si="82"/>
        <v>2026</v>
      </c>
      <c r="K1781" s="5">
        <f t="shared" si="83"/>
        <v>46143</v>
      </c>
    </row>
    <row r="1782" spans="1:11" x14ac:dyDescent="0.25">
      <c r="A1782" t="s">
        <v>282</v>
      </c>
      <c r="B1782" s="3">
        <v>46151</v>
      </c>
      <c r="C1782">
        <v>1200</v>
      </c>
      <c r="D1782" s="1">
        <v>42226.9</v>
      </c>
      <c r="E1782" s="1">
        <v>0</v>
      </c>
      <c r="F1782" t="s">
        <v>283</v>
      </c>
      <c r="G1782" t="str">
        <f>_xlfn.XLOOKUP(C1782,tblCOA[AccountNo],tblCOA[AccountName],"Unmapped")</f>
        <v>Accounts Receivable</v>
      </c>
      <c r="H1782" t="str">
        <f>_xlfn.XLOOKUP(C1782,tblCOA[AccountNo],tblCOA[Category],"Unmapped")</f>
        <v>Assets</v>
      </c>
      <c r="I1782" s="4">
        <f t="shared" si="81"/>
        <v>42226.9</v>
      </c>
      <c r="J1782">
        <f t="shared" si="82"/>
        <v>2026</v>
      </c>
      <c r="K1782" s="5">
        <f t="shared" si="83"/>
        <v>46143</v>
      </c>
    </row>
    <row r="1783" spans="1:11" x14ac:dyDescent="0.25">
      <c r="A1783" t="s">
        <v>284</v>
      </c>
      <c r="B1783" s="3">
        <v>46151</v>
      </c>
      <c r="C1783">
        <v>4010</v>
      </c>
      <c r="D1783" s="1">
        <v>0</v>
      </c>
      <c r="E1783" s="1">
        <v>42226.9</v>
      </c>
      <c r="F1783" t="s">
        <v>285</v>
      </c>
      <c r="G1783" t="str">
        <f>_xlfn.XLOOKUP(C1783,tblCOA[AccountNo],tblCOA[AccountName],"Unmapped")</f>
        <v>Product Sales</v>
      </c>
      <c r="H1783" t="str">
        <f>_xlfn.XLOOKUP(C1783,tblCOA[AccountNo],tblCOA[Category],"Unmapped")</f>
        <v>Revenue</v>
      </c>
      <c r="I1783" s="4">
        <f t="shared" si="81"/>
        <v>-42226.9</v>
      </c>
      <c r="J1783">
        <f t="shared" si="82"/>
        <v>2026</v>
      </c>
      <c r="K1783" s="5">
        <f t="shared" si="83"/>
        <v>46143</v>
      </c>
    </row>
    <row r="1784" spans="1:11" x14ac:dyDescent="0.25">
      <c r="A1784" t="s">
        <v>10</v>
      </c>
      <c r="B1784" s="3">
        <v>46152</v>
      </c>
      <c r="C1784">
        <v>1200</v>
      </c>
      <c r="D1784" s="1">
        <v>4765.5600000000004</v>
      </c>
      <c r="E1784" s="1">
        <v>0</v>
      </c>
      <c r="F1784" t="s">
        <v>11</v>
      </c>
      <c r="G1784" t="str">
        <f>_xlfn.XLOOKUP(C1784,tblCOA[AccountNo],tblCOA[AccountName],"Unmapped")</f>
        <v>Accounts Receivable</v>
      </c>
      <c r="H1784" t="str">
        <f>_xlfn.XLOOKUP(C1784,tblCOA[AccountNo],tblCOA[Category],"Unmapped")</f>
        <v>Assets</v>
      </c>
      <c r="I1784" s="4">
        <f t="shared" si="81"/>
        <v>4765.5600000000004</v>
      </c>
      <c r="J1784">
        <f t="shared" si="82"/>
        <v>2026</v>
      </c>
      <c r="K1784" s="5">
        <f t="shared" si="83"/>
        <v>46143</v>
      </c>
    </row>
    <row r="1785" spans="1:11" x14ac:dyDescent="0.25">
      <c r="A1785" t="s">
        <v>12</v>
      </c>
      <c r="B1785" s="3">
        <v>46152</v>
      </c>
      <c r="C1785">
        <v>4010</v>
      </c>
      <c r="D1785" s="1">
        <v>0</v>
      </c>
      <c r="E1785" s="1">
        <v>4765.5600000000004</v>
      </c>
      <c r="F1785" t="s">
        <v>13</v>
      </c>
      <c r="G1785" t="str">
        <f>_xlfn.XLOOKUP(C1785,tblCOA[AccountNo],tblCOA[AccountName],"Unmapped")</f>
        <v>Product Sales</v>
      </c>
      <c r="H1785" t="str">
        <f>_xlfn.XLOOKUP(C1785,tblCOA[AccountNo],tblCOA[Category],"Unmapped")</f>
        <v>Revenue</v>
      </c>
      <c r="I1785" s="4">
        <f t="shared" si="81"/>
        <v>-4765.5600000000004</v>
      </c>
      <c r="J1785">
        <f t="shared" si="82"/>
        <v>2026</v>
      </c>
      <c r="K1785" s="5">
        <f t="shared" si="83"/>
        <v>46143</v>
      </c>
    </row>
    <row r="1786" spans="1:11" x14ac:dyDescent="0.25">
      <c r="A1786" t="s">
        <v>318</v>
      </c>
      <c r="B1786" s="3">
        <v>46162</v>
      </c>
      <c r="C1786">
        <v>5010</v>
      </c>
      <c r="D1786" s="1">
        <v>18941.439999999999</v>
      </c>
      <c r="E1786" s="1">
        <v>0</v>
      </c>
      <c r="F1786" t="s">
        <v>319</v>
      </c>
      <c r="G1786" t="str">
        <f>_xlfn.XLOOKUP(C1786,tblCOA[AccountNo],tblCOA[AccountName],"Unmapped")</f>
        <v>Cost of Goods Sold</v>
      </c>
      <c r="H1786" t="str">
        <f>_xlfn.XLOOKUP(C1786,tblCOA[AccountNo],tblCOA[Category],"Unmapped")</f>
        <v>Expenses</v>
      </c>
      <c r="I1786" s="4">
        <f t="shared" si="81"/>
        <v>18941.439999999999</v>
      </c>
      <c r="J1786">
        <f t="shared" si="82"/>
        <v>2026</v>
      </c>
      <c r="K1786" s="5">
        <f t="shared" si="83"/>
        <v>46143</v>
      </c>
    </row>
    <row r="1787" spans="1:11" x14ac:dyDescent="0.25">
      <c r="A1787" t="s">
        <v>320</v>
      </c>
      <c r="B1787" s="3">
        <v>46162</v>
      </c>
      <c r="C1787">
        <v>2010</v>
      </c>
      <c r="D1787" s="1">
        <v>0</v>
      </c>
      <c r="E1787" s="1">
        <v>18941.439999999999</v>
      </c>
      <c r="F1787" t="s">
        <v>321</v>
      </c>
      <c r="G1787" t="str">
        <f>_xlfn.XLOOKUP(C1787,tblCOA[AccountNo],tblCOA[AccountName],"Unmapped")</f>
        <v>Accounts Payable</v>
      </c>
      <c r="H1787" t="str">
        <f>_xlfn.XLOOKUP(C1787,tblCOA[AccountNo],tblCOA[Category],"Unmapped")</f>
        <v>Liabilities</v>
      </c>
      <c r="I1787" s="4">
        <f t="shared" si="81"/>
        <v>-18941.439999999999</v>
      </c>
      <c r="J1787">
        <f t="shared" si="82"/>
        <v>2026</v>
      </c>
      <c r="K1787" s="5">
        <f t="shared" si="83"/>
        <v>46143</v>
      </c>
    </row>
    <row r="1788" spans="1:11" x14ac:dyDescent="0.25">
      <c r="A1788" t="s">
        <v>2270</v>
      </c>
      <c r="B1788" s="3">
        <v>46166</v>
      </c>
      <c r="C1788">
        <v>5010</v>
      </c>
      <c r="D1788" s="1">
        <v>2213.61</v>
      </c>
      <c r="E1788" s="1">
        <v>0</v>
      </c>
      <c r="F1788" t="s">
        <v>2271</v>
      </c>
      <c r="G1788" t="str">
        <f>_xlfn.XLOOKUP(C1788,tblCOA[AccountNo],tblCOA[AccountName],"Unmapped")</f>
        <v>Cost of Goods Sold</v>
      </c>
      <c r="H1788" t="str">
        <f>_xlfn.XLOOKUP(C1788,tblCOA[AccountNo],tblCOA[Category],"Unmapped")</f>
        <v>Expenses</v>
      </c>
      <c r="I1788" s="4">
        <f t="shared" si="81"/>
        <v>2213.61</v>
      </c>
      <c r="J1788">
        <f t="shared" si="82"/>
        <v>2026</v>
      </c>
      <c r="K1788" s="5">
        <f t="shared" si="83"/>
        <v>46143</v>
      </c>
    </row>
    <row r="1789" spans="1:11" x14ac:dyDescent="0.25">
      <c r="A1789" t="s">
        <v>2272</v>
      </c>
      <c r="B1789" s="3">
        <v>46166</v>
      </c>
      <c r="C1789">
        <v>2010</v>
      </c>
      <c r="D1789" s="1">
        <v>0</v>
      </c>
      <c r="E1789" s="1">
        <v>2213.61</v>
      </c>
      <c r="F1789" t="s">
        <v>2273</v>
      </c>
      <c r="G1789" t="str">
        <f>_xlfn.XLOOKUP(C1789,tblCOA[AccountNo],tblCOA[AccountName],"Unmapped")</f>
        <v>Accounts Payable</v>
      </c>
      <c r="H1789" t="str">
        <f>_xlfn.XLOOKUP(C1789,tblCOA[AccountNo],tblCOA[Category],"Unmapped")</f>
        <v>Liabilities</v>
      </c>
      <c r="I1789" s="4">
        <f t="shared" si="81"/>
        <v>-2213.61</v>
      </c>
      <c r="J1789">
        <f t="shared" si="82"/>
        <v>2026</v>
      </c>
      <c r="K1789" s="5">
        <f t="shared" si="83"/>
        <v>46143</v>
      </c>
    </row>
    <row r="1790" spans="1:11" x14ac:dyDescent="0.25">
      <c r="A1790" t="s">
        <v>1538</v>
      </c>
      <c r="B1790" s="3">
        <v>46167</v>
      </c>
      <c r="C1790">
        <v>1200</v>
      </c>
      <c r="D1790" s="1">
        <v>20167.36</v>
      </c>
      <c r="E1790" s="1">
        <v>0</v>
      </c>
      <c r="F1790" t="s">
        <v>1539</v>
      </c>
      <c r="G1790" t="str">
        <f>_xlfn.XLOOKUP(C1790,tblCOA[AccountNo],tblCOA[AccountName],"Unmapped")</f>
        <v>Accounts Receivable</v>
      </c>
      <c r="H1790" t="str">
        <f>_xlfn.XLOOKUP(C1790,tblCOA[AccountNo],tblCOA[Category],"Unmapped")</f>
        <v>Assets</v>
      </c>
      <c r="I1790" s="4">
        <f t="shared" si="81"/>
        <v>20167.36</v>
      </c>
      <c r="J1790">
        <f t="shared" si="82"/>
        <v>2026</v>
      </c>
      <c r="K1790" s="5">
        <f t="shared" si="83"/>
        <v>46143</v>
      </c>
    </row>
    <row r="1791" spans="1:11" x14ac:dyDescent="0.25">
      <c r="A1791" t="s">
        <v>1540</v>
      </c>
      <c r="B1791" s="3">
        <v>46167</v>
      </c>
      <c r="C1791">
        <v>4010</v>
      </c>
      <c r="D1791" s="1">
        <v>0</v>
      </c>
      <c r="E1791" s="1">
        <v>20167.36</v>
      </c>
      <c r="F1791" t="s">
        <v>1541</v>
      </c>
      <c r="G1791" t="str">
        <f>_xlfn.XLOOKUP(C1791,tblCOA[AccountNo],tblCOA[AccountName],"Unmapped")</f>
        <v>Product Sales</v>
      </c>
      <c r="H1791" t="str">
        <f>_xlfn.XLOOKUP(C1791,tblCOA[AccountNo],tblCOA[Category],"Unmapped")</f>
        <v>Revenue</v>
      </c>
      <c r="I1791" s="4">
        <f t="shared" si="81"/>
        <v>-20167.36</v>
      </c>
      <c r="J1791">
        <f t="shared" si="82"/>
        <v>2026</v>
      </c>
      <c r="K1791" s="5">
        <f t="shared" si="83"/>
        <v>46143</v>
      </c>
    </row>
    <row r="1792" spans="1:11" x14ac:dyDescent="0.25">
      <c r="A1792" t="s">
        <v>2874</v>
      </c>
      <c r="B1792" s="3">
        <v>46168</v>
      </c>
      <c r="C1792">
        <v>1200</v>
      </c>
      <c r="D1792" s="1">
        <v>47950.67</v>
      </c>
      <c r="E1792" s="1">
        <v>0</v>
      </c>
      <c r="F1792" t="s">
        <v>2875</v>
      </c>
      <c r="G1792" t="str">
        <f>_xlfn.XLOOKUP(C1792,tblCOA[AccountNo],tblCOA[AccountName],"Unmapped")</f>
        <v>Accounts Receivable</v>
      </c>
      <c r="H1792" t="str">
        <f>_xlfn.XLOOKUP(C1792,tblCOA[AccountNo],tblCOA[Category],"Unmapped")</f>
        <v>Assets</v>
      </c>
      <c r="I1792" s="4">
        <f t="shared" si="81"/>
        <v>47950.67</v>
      </c>
      <c r="J1792">
        <f t="shared" si="82"/>
        <v>2026</v>
      </c>
      <c r="K1792" s="5">
        <f t="shared" si="83"/>
        <v>46143</v>
      </c>
    </row>
    <row r="1793" spans="1:11" x14ac:dyDescent="0.25">
      <c r="A1793" t="s">
        <v>2876</v>
      </c>
      <c r="B1793" s="3">
        <v>46168</v>
      </c>
      <c r="C1793">
        <v>4010</v>
      </c>
      <c r="D1793" s="1">
        <v>0</v>
      </c>
      <c r="E1793" s="1">
        <v>47950.67</v>
      </c>
      <c r="F1793" t="s">
        <v>2877</v>
      </c>
      <c r="G1793" t="str">
        <f>_xlfn.XLOOKUP(C1793,tblCOA[AccountNo],tblCOA[AccountName],"Unmapped")</f>
        <v>Product Sales</v>
      </c>
      <c r="H1793" t="str">
        <f>_xlfn.XLOOKUP(C1793,tblCOA[AccountNo],tblCOA[Category],"Unmapped")</f>
        <v>Revenue</v>
      </c>
      <c r="I1793" s="4">
        <f t="shared" si="81"/>
        <v>-47950.67</v>
      </c>
      <c r="J1793">
        <f t="shared" si="82"/>
        <v>2026</v>
      </c>
      <c r="K1793" s="5">
        <f t="shared" si="83"/>
        <v>46143</v>
      </c>
    </row>
    <row r="1794" spans="1:11" x14ac:dyDescent="0.25">
      <c r="A1794" t="s">
        <v>2562</v>
      </c>
      <c r="B1794" s="3">
        <v>46173</v>
      </c>
      <c r="C1794">
        <v>1200</v>
      </c>
      <c r="D1794" s="1">
        <v>17828.72</v>
      </c>
      <c r="E1794" s="1">
        <v>0</v>
      </c>
      <c r="F1794" t="s">
        <v>2563</v>
      </c>
      <c r="G1794" t="str">
        <f>_xlfn.XLOOKUP(C1794,tblCOA[AccountNo],tblCOA[AccountName],"Unmapped")</f>
        <v>Accounts Receivable</v>
      </c>
      <c r="H1794" t="str">
        <f>_xlfn.XLOOKUP(C1794,tblCOA[AccountNo],tblCOA[Category],"Unmapped")</f>
        <v>Assets</v>
      </c>
      <c r="I1794" s="4">
        <f t="shared" ref="I1794:I1857" si="84">D1794-E1794</f>
        <v>17828.72</v>
      </c>
      <c r="J1794">
        <f t="shared" ref="J1794:J1857" si="85">YEAR(B1794)</f>
        <v>2026</v>
      </c>
      <c r="K1794" s="5">
        <f t="shared" ref="K1794:K1857" si="86">DATE(YEAR(B1794),MONTH(B1794),1)</f>
        <v>46143</v>
      </c>
    </row>
    <row r="1795" spans="1:11" x14ac:dyDescent="0.25">
      <c r="A1795" t="s">
        <v>2564</v>
      </c>
      <c r="B1795" s="3">
        <v>46173</v>
      </c>
      <c r="C1795">
        <v>4010</v>
      </c>
      <c r="D1795" s="1">
        <v>0</v>
      </c>
      <c r="E1795" s="1">
        <v>17828.72</v>
      </c>
      <c r="F1795" t="s">
        <v>2565</v>
      </c>
      <c r="G1795" t="str">
        <f>_xlfn.XLOOKUP(C1795,tblCOA[AccountNo],tblCOA[AccountName],"Unmapped")</f>
        <v>Product Sales</v>
      </c>
      <c r="H1795" t="str">
        <f>_xlfn.XLOOKUP(C1795,tblCOA[AccountNo],tblCOA[Category],"Unmapped")</f>
        <v>Revenue</v>
      </c>
      <c r="I1795" s="4">
        <f t="shared" si="84"/>
        <v>-17828.72</v>
      </c>
      <c r="J1795">
        <f t="shared" si="85"/>
        <v>2026</v>
      </c>
      <c r="K1795" s="5">
        <f t="shared" si="86"/>
        <v>46143</v>
      </c>
    </row>
    <row r="1796" spans="1:11" x14ac:dyDescent="0.25">
      <c r="A1796" t="s">
        <v>3246</v>
      </c>
      <c r="B1796" s="3">
        <v>46174</v>
      </c>
      <c r="C1796">
        <v>5010</v>
      </c>
      <c r="D1796" s="1">
        <v>9576.74</v>
      </c>
      <c r="E1796" s="1">
        <v>0</v>
      </c>
      <c r="F1796" t="s">
        <v>3247</v>
      </c>
      <c r="G1796" t="str">
        <f>_xlfn.XLOOKUP(C1796,tblCOA[AccountNo],tblCOA[AccountName],"Unmapped")</f>
        <v>Cost of Goods Sold</v>
      </c>
      <c r="H1796" t="str">
        <f>_xlfn.XLOOKUP(C1796,tblCOA[AccountNo],tblCOA[Category],"Unmapped")</f>
        <v>Expenses</v>
      </c>
      <c r="I1796" s="4">
        <f t="shared" si="84"/>
        <v>9576.74</v>
      </c>
      <c r="J1796">
        <f t="shared" si="85"/>
        <v>2026</v>
      </c>
      <c r="K1796" s="5">
        <f t="shared" si="86"/>
        <v>46174</v>
      </c>
    </row>
    <row r="1797" spans="1:11" x14ac:dyDescent="0.25">
      <c r="A1797" t="s">
        <v>3248</v>
      </c>
      <c r="B1797" s="3">
        <v>46174</v>
      </c>
      <c r="C1797">
        <v>2010</v>
      </c>
      <c r="D1797" s="1">
        <v>0</v>
      </c>
      <c r="E1797" s="1">
        <v>9576.74</v>
      </c>
      <c r="F1797" t="s">
        <v>3249</v>
      </c>
      <c r="G1797" t="str">
        <f>_xlfn.XLOOKUP(C1797,tblCOA[AccountNo],tblCOA[AccountName],"Unmapped")</f>
        <v>Accounts Payable</v>
      </c>
      <c r="H1797" t="str">
        <f>_xlfn.XLOOKUP(C1797,tblCOA[AccountNo],tblCOA[Category],"Unmapped")</f>
        <v>Liabilities</v>
      </c>
      <c r="I1797" s="4">
        <f t="shared" si="84"/>
        <v>-9576.74</v>
      </c>
      <c r="J1797">
        <f t="shared" si="85"/>
        <v>2026</v>
      </c>
      <c r="K1797" s="5">
        <f t="shared" si="86"/>
        <v>46174</v>
      </c>
    </row>
    <row r="1798" spans="1:11" x14ac:dyDescent="0.25">
      <c r="A1798" t="s">
        <v>406</v>
      </c>
      <c r="B1798" s="3">
        <v>46174</v>
      </c>
      <c r="C1798">
        <v>5010</v>
      </c>
      <c r="D1798" s="1">
        <v>6105.55</v>
      </c>
      <c r="E1798" s="1">
        <v>0</v>
      </c>
      <c r="F1798" t="s">
        <v>407</v>
      </c>
      <c r="G1798" t="str">
        <f>_xlfn.XLOOKUP(C1798,tblCOA[AccountNo],tblCOA[AccountName],"Unmapped")</f>
        <v>Cost of Goods Sold</v>
      </c>
      <c r="H1798" t="str">
        <f>_xlfn.XLOOKUP(C1798,tblCOA[AccountNo],tblCOA[Category],"Unmapped")</f>
        <v>Expenses</v>
      </c>
      <c r="I1798" s="4">
        <f t="shared" si="84"/>
        <v>6105.55</v>
      </c>
      <c r="J1798">
        <f t="shared" si="85"/>
        <v>2026</v>
      </c>
      <c r="K1798" s="5">
        <f t="shared" si="86"/>
        <v>46174</v>
      </c>
    </row>
    <row r="1799" spans="1:11" x14ac:dyDescent="0.25">
      <c r="A1799" t="s">
        <v>408</v>
      </c>
      <c r="B1799" s="3">
        <v>46174</v>
      </c>
      <c r="C1799">
        <v>2010</v>
      </c>
      <c r="D1799" s="1">
        <v>0</v>
      </c>
      <c r="E1799" s="1">
        <v>6105.55</v>
      </c>
      <c r="F1799" t="s">
        <v>409</v>
      </c>
      <c r="G1799" t="str">
        <f>_xlfn.XLOOKUP(C1799,tblCOA[AccountNo],tblCOA[AccountName],"Unmapped")</f>
        <v>Accounts Payable</v>
      </c>
      <c r="H1799" t="str">
        <f>_xlfn.XLOOKUP(C1799,tblCOA[AccountNo],tblCOA[Category],"Unmapped")</f>
        <v>Liabilities</v>
      </c>
      <c r="I1799" s="4">
        <f t="shared" si="84"/>
        <v>-6105.55</v>
      </c>
      <c r="J1799">
        <f t="shared" si="85"/>
        <v>2026</v>
      </c>
      <c r="K1799" s="5">
        <f t="shared" si="86"/>
        <v>46174</v>
      </c>
    </row>
    <row r="1800" spans="1:11" x14ac:dyDescent="0.25">
      <c r="A1800" t="s">
        <v>1318</v>
      </c>
      <c r="B1800" s="3">
        <v>46175</v>
      </c>
      <c r="C1800">
        <v>5010</v>
      </c>
      <c r="D1800" s="1">
        <v>15386.75</v>
      </c>
      <c r="E1800" s="1">
        <v>0</v>
      </c>
      <c r="F1800" t="s">
        <v>1319</v>
      </c>
      <c r="G1800" t="str">
        <f>_xlfn.XLOOKUP(C1800,tblCOA[AccountNo],tblCOA[AccountName],"Unmapped")</f>
        <v>Cost of Goods Sold</v>
      </c>
      <c r="H1800" t="str">
        <f>_xlfn.XLOOKUP(C1800,tblCOA[AccountNo],tblCOA[Category],"Unmapped")</f>
        <v>Expenses</v>
      </c>
      <c r="I1800" s="4">
        <f t="shared" si="84"/>
        <v>15386.75</v>
      </c>
      <c r="J1800">
        <f t="shared" si="85"/>
        <v>2026</v>
      </c>
      <c r="K1800" s="5">
        <f t="shared" si="86"/>
        <v>46174</v>
      </c>
    </row>
    <row r="1801" spans="1:11" x14ac:dyDescent="0.25">
      <c r="A1801" t="s">
        <v>1320</v>
      </c>
      <c r="B1801" s="3">
        <v>46175</v>
      </c>
      <c r="C1801">
        <v>2010</v>
      </c>
      <c r="D1801" s="1">
        <v>0</v>
      </c>
      <c r="E1801" s="1">
        <v>15386.75</v>
      </c>
      <c r="F1801" t="s">
        <v>1321</v>
      </c>
      <c r="G1801" t="str">
        <f>_xlfn.XLOOKUP(C1801,tblCOA[AccountNo],tblCOA[AccountName],"Unmapped")</f>
        <v>Accounts Payable</v>
      </c>
      <c r="H1801" t="str">
        <f>_xlfn.XLOOKUP(C1801,tblCOA[AccountNo],tblCOA[Category],"Unmapped")</f>
        <v>Liabilities</v>
      </c>
      <c r="I1801" s="4">
        <f t="shared" si="84"/>
        <v>-15386.75</v>
      </c>
      <c r="J1801">
        <f t="shared" si="85"/>
        <v>2026</v>
      </c>
      <c r="K1801" s="5">
        <f t="shared" si="86"/>
        <v>46174</v>
      </c>
    </row>
    <row r="1802" spans="1:11" x14ac:dyDescent="0.25">
      <c r="A1802" t="s">
        <v>274</v>
      </c>
      <c r="B1802" s="3">
        <v>46176</v>
      </c>
      <c r="C1802">
        <v>1200</v>
      </c>
      <c r="D1802" s="1">
        <v>38288.699999999997</v>
      </c>
      <c r="E1802" s="1">
        <v>0</v>
      </c>
      <c r="F1802" t="s">
        <v>275</v>
      </c>
      <c r="G1802" t="str">
        <f>_xlfn.XLOOKUP(C1802,tblCOA[AccountNo],tblCOA[AccountName],"Unmapped")</f>
        <v>Accounts Receivable</v>
      </c>
      <c r="H1802" t="str">
        <f>_xlfn.XLOOKUP(C1802,tblCOA[AccountNo],tblCOA[Category],"Unmapped")</f>
        <v>Assets</v>
      </c>
      <c r="I1802" s="4">
        <f t="shared" si="84"/>
        <v>38288.699999999997</v>
      </c>
      <c r="J1802">
        <f t="shared" si="85"/>
        <v>2026</v>
      </c>
      <c r="K1802" s="5">
        <f t="shared" si="86"/>
        <v>46174</v>
      </c>
    </row>
    <row r="1803" spans="1:11" x14ac:dyDescent="0.25">
      <c r="A1803" t="s">
        <v>276</v>
      </c>
      <c r="B1803" s="3">
        <v>46176</v>
      </c>
      <c r="C1803">
        <v>4010</v>
      </c>
      <c r="D1803" s="1">
        <v>0</v>
      </c>
      <c r="E1803" s="1">
        <v>38288.699999999997</v>
      </c>
      <c r="F1803" t="s">
        <v>277</v>
      </c>
      <c r="G1803" t="str">
        <f>_xlfn.XLOOKUP(C1803,tblCOA[AccountNo],tblCOA[AccountName],"Unmapped")</f>
        <v>Product Sales</v>
      </c>
      <c r="H1803" t="str">
        <f>_xlfn.XLOOKUP(C1803,tblCOA[AccountNo],tblCOA[Category],"Unmapped")</f>
        <v>Revenue</v>
      </c>
      <c r="I1803" s="4">
        <f t="shared" si="84"/>
        <v>-38288.699999999997</v>
      </c>
      <c r="J1803">
        <f t="shared" si="85"/>
        <v>2026</v>
      </c>
      <c r="K1803" s="5">
        <f t="shared" si="86"/>
        <v>46174</v>
      </c>
    </row>
    <row r="1804" spans="1:11" x14ac:dyDescent="0.25">
      <c r="A1804" t="s">
        <v>1762</v>
      </c>
      <c r="B1804" s="3">
        <v>46179</v>
      </c>
      <c r="C1804">
        <v>1200</v>
      </c>
      <c r="D1804" s="1">
        <v>22532.959999999999</v>
      </c>
      <c r="E1804" s="1">
        <v>0</v>
      </c>
      <c r="F1804" t="s">
        <v>1763</v>
      </c>
      <c r="G1804" t="str">
        <f>_xlfn.XLOOKUP(C1804,tblCOA[AccountNo],tblCOA[AccountName],"Unmapped")</f>
        <v>Accounts Receivable</v>
      </c>
      <c r="H1804" t="str">
        <f>_xlfn.XLOOKUP(C1804,tblCOA[AccountNo],tblCOA[Category],"Unmapped")</f>
        <v>Assets</v>
      </c>
      <c r="I1804" s="4">
        <f t="shared" si="84"/>
        <v>22532.959999999999</v>
      </c>
      <c r="J1804">
        <f t="shared" si="85"/>
        <v>2026</v>
      </c>
      <c r="K1804" s="5">
        <f t="shared" si="86"/>
        <v>46174</v>
      </c>
    </row>
    <row r="1805" spans="1:11" x14ac:dyDescent="0.25">
      <c r="A1805" t="s">
        <v>1764</v>
      </c>
      <c r="B1805" s="3">
        <v>46179</v>
      </c>
      <c r="C1805">
        <v>4010</v>
      </c>
      <c r="D1805" s="1">
        <v>0</v>
      </c>
      <c r="E1805" s="1">
        <v>22532.959999999999</v>
      </c>
      <c r="F1805" t="s">
        <v>1765</v>
      </c>
      <c r="G1805" t="str">
        <f>_xlfn.XLOOKUP(C1805,tblCOA[AccountNo],tblCOA[AccountName],"Unmapped")</f>
        <v>Product Sales</v>
      </c>
      <c r="H1805" t="str">
        <f>_xlfn.XLOOKUP(C1805,tblCOA[AccountNo],tblCOA[Category],"Unmapped")</f>
        <v>Revenue</v>
      </c>
      <c r="I1805" s="4">
        <f t="shared" si="84"/>
        <v>-22532.959999999999</v>
      </c>
      <c r="J1805">
        <f t="shared" si="85"/>
        <v>2026</v>
      </c>
      <c r="K1805" s="5">
        <f t="shared" si="86"/>
        <v>46174</v>
      </c>
    </row>
    <row r="1806" spans="1:11" x14ac:dyDescent="0.25">
      <c r="A1806" t="s">
        <v>1198</v>
      </c>
      <c r="B1806" s="3">
        <v>46181</v>
      </c>
      <c r="C1806">
        <v>5010</v>
      </c>
      <c r="D1806" s="1">
        <v>11806.97</v>
      </c>
      <c r="E1806" s="1">
        <v>0</v>
      </c>
      <c r="F1806" t="s">
        <v>1199</v>
      </c>
      <c r="G1806" t="str">
        <f>_xlfn.XLOOKUP(C1806,tblCOA[AccountNo],tblCOA[AccountName],"Unmapped")</f>
        <v>Cost of Goods Sold</v>
      </c>
      <c r="H1806" t="str">
        <f>_xlfn.XLOOKUP(C1806,tblCOA[AccountNo],tblCOA[Category],"Unmapped")</f>
        <v>Expenses</v>
      </c>
      <c r="I1806" s="4">
        <f t="shared" si="84"/>
        <v>11806.97</v>
      </c>
      <c r="J1806">
        <f t="shared" si="85"/>
        <v>2026</v>
      </c>
      <c r="K1806" s="5">
        <f t="shared" si="86"/>
        <v>46174</v>
      </c>
    </row>
    <row r="1807" spans="1:11" x14ac:dyDescent="0.25">
      <c r="A1807" t="s">
        <v>1200</v>
      </c>
      <c r="B1807" s="3">
        <v>46181</v>
      </c>
      <c r="C1807">
        <v>2010</v>
      </c>
      <c r="D1807" s="1">
        <v>0</v>
      </c>
      <c r="E1807" s="1">
        <v>11806.97</v>
      </c>
      <c r="F1807" t="s">
        <v>1201</v>
      </c>
      <c r="G1807" t="str">
        <f>_xlfn.XLOOKUP(C1807,tblCOA[AccountNo],tblCOA[AccountName],"Unmapped")</f>
        <v>Accounts Payable</v>
      </c>
      <c r="H1807" t="str">
        <f>_xlfn.XLOOKUP(C1807,tblCOA[AccountNo],tblCOA[Category],"Unmapped")</f>
        <v>Liabilities</v>
      </c>
      <c r="I1807" s="4">
        <f t="shared" si="84"/>
        <v>-11806.97</v>
      </c>
      <c r="J1807">
        <f t="shared" si="85"/>
        <v>2026</v>
      </c>
      <c r="K1807" s="5">
        <f t="shared" si="86"/>
        <v>46174</v>
      </c>
    </row>
    <row r="1808" spans="1:11" x14ac:dyDescent="0.25">
      <c r="A1808" t="s">
        <v>2202</v>
      </c>
      <c r="B1808" s="3">
        <v>46182</v>
      </c>
      <c r="C1808">
        <v>1200</v>
      </c>
      <c r="D1808" s="1">
        <v>13102.49</v>
      </c>
      <c r="E1808" s="1">
        <v>0</v>
      </c>
      <c r="F1808" t="s">
        <v>2203</v>
      </c>
      <c r="G1808" t="str">
        <f>_xlfn.XLOOKUP(C1808,tblCOA[AccountNo],tblCOA[AccountName],"Unmapped")</f>
        <v>Accounts Receivable</v>
      </c>
      <c r="H1808" t="str">
        <f>_xlfn.XLOOKUP(C1808,tblCOA[AccountNo],tblCOA[Category],"Unmapped")</f>
        <v>Assets</v>
      </c>
      <c r="I1808" s="4">
        <f t="shared" si="84"/>
        <v>13102.49</v>
      </c>
      <c r="J1808">
        <f t="shared" si="85"/>
        <v>2026</v>
      </c>
      <c r="K1808" s="5">
        <f t="shared" si="86"/>
        <v>46174</v>
      </c>
    </row>
    <row r="1809" spans="1:11" x14ac:dyDescent="0.25">
      <c r="A1809" t="s">
        <v>2204</v>
      </c>
      <c r="B1809" s="3">
        <v>46182</v>
      </c>
      <c r="C1809">
        <v>4010</v>
      </c>
      <c r="D1809" s="1">
        <v>0</v>
      </c>
      <c r="E1809" s="1">
        <v>13102.49</v>
      </c>
      <c r="F1809" t="s">
        <v>2205</v>
      </c>
      <c r="G1809" t="str">
        <f>_xlfn.XLOOKUP(C1809,tblCOA[AccountNo],tblCOA[AccountName],"Unmapped")</f>
        <v>Product Sales</v>
      </c>
      <c r="H1809" t="str">
        <f>_xlfn.XLOOKUP(C1809,tblCOA[AccountNo],tblCOA[Category],"Unmapped")</f>
        <v>Revenue</v>
      </c>
      <c r="I1809" s="4">
        <f t="shared" si="84"/>
        <v>-13102.49</v>
      </c>
      <c r="J1809">
        <f t="shared" si="85"/>
        <v>2026</v>
      </c>
      <c r="K1809" s="5">
        <f t="shared" si="86"/>
        <v>46174</v>
      </c>
    </row>
    <row r="1810" spans="1:11" x14ac:dyDescent="0.25">
      <c r="A1810" t="s">
        <v>2274</v>
      </c>
      <c r="B1810" s="3">
        <v>46183</v>
      </c>
      <c r="C1810">
        <v>1200</v>
      </c>
      <c r="D1810" s="1">
        <v>23586.82</v>
      </c>
      <c r="E1810" s="1">
        <v>0</v>
      </c>
      <c r="F1810" t="s">
        <v>2275</v>
      </c>
      <c r="G1810" t="str">
        <f>_xlfn.XLOOKUP(C1810,tblCOA[AccountNo],tblCOA[AccountName],"Unmapped")</f>
        <v>Accounts Receivable</v>
      </c>
      <c r="H1810" t="str">
        <f>_xlfn.XLOOKUP(C1810,tblCOA[AccountNo],tblCOA[Category],"Unmapped")</f>
        <v>Assets</v>
      </c>
      <c r="I1810" s="4">
        <f t="shared" si="84"/>
        <v>23586.82</v>
      </c>
      <c r="J1810">
        <f t="shared" si="85"/>
        <v>2026</v>
      </c>
      <c r="K1810" s="5">
        <f t="shared" si="86"/>
        <v>46174</v>
      </c>
    </row>
    <row r="1811" spans="1:11" x14ac:dyDescent="0.25">
      <c r="A1811" t="s">
        <v>2276</v>
      </c>
      <c r="B1811" s="3">
        <v>46183</v>
      </c>
      <c r="C1811">
        <v>4010</v>
      </c>
      <c r="D1811" s="1">
        <v>0</v>
      </c>
      <c r="E1811" s="1">
        <v>23586.82</v>
      </c>
      <c r="F1811" t="s">
        <v>2277</v>
      </c>
      <c r="G1811" t="str">
        <f>_xlfn.XLOOKUP(C1811,tblCOA[AccountNo],tblCOA[AccountName],"Unmapped")</f>
        <v>Product Sales</v>
      </c>
      <c r="H1811" t="str">
        <f>_xlfn.XLOOKUP(C1811,tblCOA[AccountNo],tblCOA[Category],"Unmapped")</f>
        <v>Revenue</v>
      </c>
      <c r="I1811" s="4">
        <f t="shared" si="84"/>
        <v>-23586.82</v>
      </c>
      <c r="J1811">
        <f t="shared" si="85"/>
        <v>2026</v>
      </c>
      <c r="K1811" s="5">
        <f t="shared" si="86"/>
        <v>46174</v>
      </c>
    </row>
    <row r="1812" spans="1:11" x14ac:dyDescent="0.25">
      <c r="A1812" t="s">
        <v>602</v>
      </c>
      <c r="B1812" s="3">
        <v>46184</v>
      </c>
      <c r="C1812">
        <v>1200</v>
      </c>
      <c r="D1812" s="1">
        <v>39453.300000000003</v>
      </c>
      <c r="E1812" s="1">
        <v>0</v>
      </c>
      <c r="F1812" t="s">
        <v>603</v>
      </c>
      <c r="G1812" t="str">
        <f>_xlfn.XLOOKUP(C1812,tblCOA[AccountNo],tblCOA[AccountName],"Unmapped")</f>
        <v>Accounts Receivable</v>
      </c>
      <c r="H1812" t="str">
        <f>_xlfn.XLOOKUP(C1812,tblCOA[AccountNo],tblCOA[Category],"Unmapped")</f>
        <v>Assets</v>
      </c>
      <c r="I1812" s="4">
        <f t="shared" si="84"/>
        <v>39453.300000000003</v>
      </c>
      <c r="J1812">
        <f t="shared" si="85"/>
        <v>2026</v>
      </c>
      <c r="K1812" s="5">
        <f t="shared" si="86"/>
        <v>46174</v>
      </c>
    </row>
    <row r="1813" spans="1:11" x14ac:dyDescent="0.25">
      <c r="A1813" t="s">
        <v>604</v>
      </c>
      <c r="B1813" s="3">
        <v>46184</v>
      </c>
      <c r="C1813">
        <v>4010</v>
      </c>
      <c r="D1813" s="1">
        <v>0</v>
      </c>
      <c r="E1813" s="1">
        <v>39453.300000000003</v>
      </c>
      <c r="F1813" t="s">
        <v>605</v>
      </c>
      <c r="G1813" t="str">
        <f>_xlfn.XLOOKUP(C1813,tblCOA[AccountNo],tblCOA[AccountName],"Unmapped")</f>
        <v>Product Sales</v>
      </c>
      <c r="H1813" t="str">
        <f>_xlfn.XLOOKUP(C1813,tblCOA[AccountNo],tblCOA[Category],"Unmapped")</f>
        <v>Revenue</v>
      </c>
      <c r="I1813" s="4">
        <f t="shared" si="84"/>
        <v>-39453.300000000003</v>
      </c>
      <c r="J1813">
        <f t="shared" si="85"/>
        <v>2026</v>
      </c>
      <c r="K1813" s="5">
        <f t="shared" si="86"/>
        <v>46174</v>
      </c>
    </row>
    <row r="1814" spans="1:11" x14ac:dyDescent="0.25">
      <c r="A1814" t="s">
        <v>1614</v>
      </c>
      <c r="B1814" s="3">
        <v>46185</v>
      </c>
      <c r="C1814">
        <v>5010</v>
      </c>
      <c r="D1814" s="1">
        <v>12294.38</v>
      </c>
      <c r="E1814" s="1">
        <v>0</v>
      </c>
      <c r="F1814" t="s">
        <v>1615</v>
      </c>
      <c r="G1814" t="str">
        <f>_xlfn.XLOOKUP(C1814,tblCOA[AccountNo],tblCOA[AccountName],"Unmapped")</f>
        <v>Cost of Goods Sold</v>
      </c>
      <c r="H1814" t="str">
        <f>_xlfn.XLOOKUP(C1814,tblCOA[AccountNo],tblCOA[Category],"Unmapped")</f>
        <v>Expenses</v>
      </c>
      <c r="I1814" s="4">
        <f t="shared" si="84"/>
        <v>12294.38</v>
      </c>
      <c r="J1814">
        <f t="shared" si="85"/>
        <v>2026</v>
      </c>
      <c r="K1814" s="5">
        <f t="shared" si="86"/>
        <v>46174</v>
      </c>
    </row>
    <row r="1815" spans="1:11" x14ac:dyDescent="0.25">
      <c r="A1815" t="s">
        <v>1616</v>
      </c>
      <c r="B1815" s="3">
        <v>46185</v>
      </c>
      <c r="C1815">
        <v>2010</v>
      </c>
      <c r="D1815" s="1">
        <v>0</v>
      </c>
      <c r="E1815" s="1">
        <v>12294.38</v>
      </c>
      <c r="F1815" t="s">
        <v>1617</v>
      </c>
      <c r="G1815" t="str">
        <f>_xlfn.XLOOKUP(C1815,tblCOA[AccountNo],tblCOA[AccountName],"Unmapped")</f>
        <v>Accounts Payable</v>
      </c>
      <c r="H1815" t="str">
        <f>_xlfn.XLOOKUP(C1815,tblCOA[AccountNo],tblCOA[Category],"Unmapped")</f>
        <v>Liabilities</v>
      </c>
      <c r="I1815" s="4">
        <f t="shared" si="84"/>
        <v>-12294.38</v>
      </c>
      <c r="J1815">
        <f t="shared" si="85"/>
        <v>2026</v>
      </c>
      <c r="K1815" s="5">
        <f t="shared" si="86"/>
        <v>46174</v>
      </c>
    </row>
    <row r="1816" spans="1:11" x14ac:dyDescent="0.25">
      <c r="A1816" t="s">
        <v>230</v>
      </c>
      <c r="B1816" s="3">
        <v>46186</v>
      </c>
      <c r="C1816">
        <v>5010</v>
      </c>
      <c r="D1816" s="1">
        <v>11205.37</v>
      </c>
      <c r="E1816" s="1">
        <v>0</v>
      </c>
      <c r="F1816" t="s">
        <v>231</v>
      </c>
      <c r="G1816" t="str">
        <f>_xlfn.XLOOKUP(C1816,tblCOA[AccountNo],tblCOA[AccountName],"Unmapped")</f>
        <v>Cost of Goods Sold</v>
      </c>
      <c r="H1816" t="str">
        <f>_xlfn.XLOOKUP(C1816,tblCOA[AccountNo],tblCOA[Category],"Unmapped")</f>
        <v>Expenses</v>
      </c>
      <c r="I1816" s="4">
        <f t="shared" si="84"/>
        <v>11205.37</v>
      </c>
      <c r="J1816">
        <f t="shared" si="85"/>
        <v>2026</v>
      </c>
      <c r="K1816" s="5">
        <f t="shared" si="86"/>
        <v>46174</v>
      </c>
    </row>
    <row r="1817" spans="1:11" x14ac:dyDescent="0.25">
      <c r="A1817" t="s">
        <v>232</v>
      </c>
      <c r="B1817" s="3">
        <v>46186</v>
      </c>
      <c r="C1817">
        <v>2010</v>
      </c>
      <c r="D1817" s="1">
        <v>0</v>
      </c>
      <c r="E1817" s="1">
        <v>11205.37</v>
      </c>
      <c r="F1817" t="s">
        <v>233</v>
      </c>
      <c r="G1817" t="str">
        <f>_xlfn.XLOOKUP(C1817,tblCOA[AccountNo],tblCOA[AccountName],"Unmapped")</f>
        <v>Accounts Payable</v>
      </c>
      <c r="H1817" t="str">
        <f>_xlfn.XLOOKUP(C1817,tblCOA[AccountNo],tblCOA[Category],"Unmapped")</f>
        <v>Liabilities</v>
      </c>
      <c r="I1817" s="4">
        <f t="shared" si="84"/>
        <v>-11205.37</v>
      </c>
      <c r="J1817">
        <f t="shared" si="85"/>
        <v>2026</v>
      </c>
      <c r="K1817" s="5">
        <f t="shared" si="86"/>
        <v>46174</v>
      </c>
    </row>
    <row r="1818" spans="1:11" x14ac:dyDescent="0.25">
      <c r="A1818" t="s">
        <v>3094</v>
      </c>
      <c r="B1818" s="3">
        <v>46186</v>
      </c>
      <c r="C1818">
        <v>5010</v>
      </c>
      <c r="D1818" s="1">
        <v>5832.09</v>
      </c>
      <c r="E1818" s="1">
        <v>0</v>
      </c>
      <c r="F1818" t="s">
        <v>3095</v>
      </c>
      <c r="G1818" t="str">
        <f>_xlfn.XLOOKUP(C1818,tblCOA[AccountNo],tblCOA[AccountName],"Unmapped")</f>
        <v>Cost of Goods Sold</v>
      </c>
      <c r="H1818" t="str">
        <f>_xlfn.XLOOKUP(C1818,tblCOA[AccountNo],tblCOA[Category],"Unmapped")</f>
        <v>Expenses</v>
      </c>
      <c r="I1818" s="4">
        <f t="shared" si="84"/>
        <v>5832.09</v>
      </c>
      <c r="J1818">
        <f t="shared" si="85"/>
        <v>2026</v>
      </c>
      <c r="K1818" s="5">
        <f t="shared" si="86"/>
        <v>46174</v>
      </c>
    </row>
    <row r="1819" spans="1:11" x14ac:dyDescent="0.25">
      <c r="A1819" t="s">
        <v>3096</v>
      </c>
      <c r="B1819" s="3">
        <v>46186</v>
      </c>
      <c r="C1819">
        <v>2010</v>
      </c>
      <c r="D1819" s="1">
        <v>0</v>
      </c>
      <c r="E1819" s="1">
        <v>5832.09</v>
      </c>
      <c r="F1819" t="s">
        <v>3097</v>
      </c>
      <c r="G1819" t="str">
        <f>_xlfn.XLOOKUP(C1819,tblCOA[AccountNo],tblCOA[AccountName],"Unmapped")</f>
        <v>Accounts Payable</v>
      </c>
      <c r="H1819" t="str">
        <f>_xlfn.XLOOKUP(C1819,tblCOA[AccountNo],tblCOA[Category],"Unmapped")</f>
        <v>Liabilities</v>
      </c>
      <c r="I1819" s="4">
        <f t="shared" si="84"/>
        <v>-5832.09</v>
      </c>
      <c r="J1819">
        <f t="shared" si="85"/>
        <v>2026</v>
      </c>
      <c r="K1819" s="5">
        <f t="shared" si="86"/>
        <v>46174</v>
      </c>
    </row>
    <row r="1820" spans="1:11" x14ac:dyDescent="0.25">
      <c r="A1820" t="s">
        <v>3606</v>
      </c>
      <c r="B1820" s="3">
        <v>46186</v>
      </c>
      <c r="C1820">
        <v>5010</v>
      </c>
      <c r="D1820" s="1">
        <v>13440.07</v>
      </c>
      <c r="E1820" s="1">
        <v>0</v>
      </c>
      <c r="F1820" t="s">
        <v>3607</v>
      </c>
      <c r="G1820" t="str">
        <f>_xlfn.XLOOKUP(C1820,tblCOA[AccountNo],tblCOA[AccountName],"Unmapped")</f>
        <v>Cost of Goods Sold</v>
      </c>
      <c r="H1820" t="str">
        <f>_xlfn.XLOOKUP(C1820,tblCOA[AccountNo],tblCOA[Category],"Unmapped")</f>
        <v>Expenses</v>
      </c>
      <c r="I1820" s="4">
        <f t="shared" si="84"/>
        <v>13440.07</v>
      </c>
      <c r="J1820">
        <f t="shared" si="85"/>
        <v>2026</v>
      </c>
      <c r="K1820" s="5">
        <f t="shared" si="86"/>
        <v>46174</v>
      </c>
    </row>
    <row r="1821" spans="1:11" x14ac:dyDescent="0.25">
      <c r="A1821" t="s">
        <v>3608</v>
      </c>
      <c r="B1821" s="3">
        <v>46186</v>
      </c>
      <c r="C1821">
        <v>2010</v>
      </c>
      <c r="D1821" s="1">
        <v>0</v>
      </c>
      <c r="E1821" s="1">
        <v>13440.07</v>
      </c>
      <c r="F1821" t="s">
        <v>3609</v>
      </c>
      <c r="G1821" t="str">
        <f>_xlfn.XLOOKUP(C1821,tblCOA[AccountNo],tblCOA[AccountName],"Unmapped")</f>
        <v>Accounts Payable</v>
      </c>
      <c r="H1821" t="str">
        <f>_xlfn.XLOOKUP(C1821,tblCOA[AccountNo],tblCOA[Category],"Unmapped")</f>
        <v>Liabilities</v>
      </c>
      <c r="I1821" s="4">
        <f t="shared" si="84"/>
        <v>-13440.07</v>
      </c>
      <c r="J1821">
        <f t="shared" si="85"/>
        <v>2026</v>
      </c>
      <c r="K1821" s="5">
        <f t="shared" si="86"/>
        <v>46174</v>
      </c>
    </row>
    <row r="1822" spans="1:11" x14ac:dyDescent="0.25">
      <c r="A1822" t="s">
        <v>2250</v>
      </c>
      <c r="B1822" s="3">
        <v>46187</v>
      </c>
      <c r="C1822">
        <v>1200</v>
      </c>
      <c r="D1822" s="1">
        <v>32054.34</v>
      </c>
      <c r="E1822" s="1">
        <v>0</v>
      </c>
      <c r="F1822" t="s">
        <v>2251</v>
      </c>
      <c r="G1822" t="str">
        <f>_xlfn.XLOOKUP(C1822,tblCOA[AccountNo],tblCOA[AccountName],"Unmapped")</f>
        <v>Accounts Receivable</v>
      </c>
      <c r="H1822" t="str">
        <f>_xlfn.XLOOKUP(C1822,tblCOA[AccountNo],tblCOA[Category],"Unmapped")</f>
        <v>Assets</v>
      </c>
      <c r="I1822" s="4">
        <f t="shared" si="84"/>
        <v>32054.34</v>
      </c>
      <c r="J1822">
        <f t="shared" si="85"/>
        <v>2026</v>
      </c>
      <c r="K1822" s="5">
        <f t="shared" si="86"/>
        <v>46174</v>
      </c>
    </row>
    <row r="1823" spans="1:11" x14ac:dyDescent="0.25">
      <c r="A1823" t="s">
        <v>2252</v>
      </c>
      <c r="B1823" s="3">
        <v>46187</v>
      </c>
      <c r="C1823">
        <v>4010</v>
      </c>
      <c r="D1823" s="1">
        <v>0</v>
      </c>
      <c r="E1823" s="1">
        <v>32054.34</v>
      </c>
      <c r="F1823" t="s">
        <v>2253</v>
      </c>
      <c r="G1823" t="str">
        <f>_xlfn.XLOOKUP(C1823,tblCOA[AccountNo],tblCOA[AccountName],"Unmapped")</f>
        <v>Product Sales</v>
      </c>
      <c r="H1823" t="str">
        <f>_xlfn.XLOOKUP(C1823,tblCOA[AccountNo],tblCOA[Category],"Unmapped")</f>
        <v>Revenue</v>
      </c>
      <c r="I1823" s="4">
        <f t="shared" si="84"/>
        <v>-32054.34</v>
      </c>
      <c r="J1823">
        <f t="shared" si="85"/>
        <v>2026</v>
      </c>
      <c r="K1823" s="5">
        <f t="shared" si="86"/>
        <v>46174</v>
      </c>
    </row>
    <row r="1824" spans="1:11" x14ac:dyDescent="0.25">
      <c r="A1824" t="s">
        <v>1430</v>
      </c>
      <c r="B1824" s="3">
        <v>46188</v>
      </c>
      <c r="C1824">
        <v>5010</v>
      </c>
      <c r="D1824" s="1">
        <v>9098.99</v>
      </c>
      <c r="E1824" s="1">
        <v>0</v>
      </c>
      <c r="F1824" t="s">
        <v>1431</v>
      </c>
      <c r="G1824" t="str">
        <f>_xlfn.XLOOKUP(C1824,tblCOA[AccountNo],tblCOA[AccountName],"Unmapped")</f>
        <v>Cost of Goods Sold</v>
      </c>
      <c r="H1824" t="str">
        <f>_xlfn.XLOOKUP(C1824,tblCOA[AccountNo],tblCOA[Category],"Unmapped")</f>
        <v>Expenses</v>
      </c>
      <c r="I1824" s="4">
        <f t="shared" si="84"/>
        <v>9098.99</v>
      </c>
      <c r="J1824">
        <f t="shared" si="85"/>
        <v>2026</v>
      </c>
      <c r="K1824" s="5">
        <f t="shared" si="86"/>
        <v>46174</v>
      </c>
    </row>
    <row r="1825" spans="1:11" x14ac:dyDescent="0.25">
      <c r="A1825" t="s">
        <v>1432</v>
      </c>
      <c r="B1825" s="3">
        <v>46188</v>
      </c>
      <c r="C1825">
        <v>2010</v>
      </c>
      <c r="D1825" s="1">
        <v>0</v>
      </c>
      <c r="E1825" s="1">
        <v>9098.99</v>
      </c>
      <c r="F1825" t="s">
        <v>1433</v>
      </c>
      <c r="G1825" t="str">
        <f>_xlfn.XLOOKUP(C1825,tblCOA[AccountNo],tblCOA[AccountName],"Unmapped")</f>
        <v>Accounts Payable</v>
      </c>
      <c r="H1825" t="str">
        <f>_xlfn.XLOOKUP(C1825,tblCOA[AccountNo],tblCOA[Category],"Unmapped")</f>
        <v>Liabilities</v>
      </c>
      <c r="I1825" s="4">
        <f t="shared" si="84"/>
        <v>-9098.99</v>
      </c>
      <c r="J1825">
        <f t="shared" si="85"/>
        <v>2026</v>
      </c>
      <c r="K1825" s="5">
        <f t="shared" si="86"/>
        <v>46174</v>
      </c>
    </row>
    <row r="1826" spans="1:11" x14ac:dyDescent="0.25">
      <c r="A1826" t="s">
        <v>3978</v>
      </c>
      <c r="B1826" s="3">
        <v>46189</v>
      </c>
      <c r="C1826">
        <v>1200</v>
      </c>
      <c r="D1826" s="1">
        <v>28302.9</v>
      </c>
      <c r="E1826" s="1">
        <v>0</v>
      </c>
      <c r="F1826" t="s">
        <v>3979</v>
      </c>
      <c r="G1826" t="str">
        <f>_xlfn.XLOOKUP(C1826,tblCOA[AccountNo],tblCOA[AccountName],"Unmapped")</f>
        <v>Accounts Receivable</v>
      </c>
      <c r="H1826" t="str">
        <f>_xlfn.XLOOKUP(C1826,tblCOA[AccountNo],tblCOA[Category],"Unmapped")</f>
        <v>Assets</v>
      </c>
      <c r="I1826" s="4">
        <f t="shared" si="84"/>
        <v>28302.9</v>
      </c>
      <c r="J1826">
        <f t="shared" si="85"/>
        <v>2026</v>
      </c>
      <c r="K1826" s="5">
        <f t="shared" si="86"/>
        <v>46174</v>
      </c>
    </row>
    <row r="1827" spans="1:11" x14ac:dyDescent="0.25">
      <c r="A1827" t="s">
        <v>3980</v>
      </c>
      <c r="B1827" s="3">
        <v>46189</v>
      </c>
      <c r="C1827">
        <v>4010</v>
      </c>
      <c r="D1827" s="1">
        <v>0</v>
      </c>
      <c r="E1827" s="1">
        <v>28302.9</v>
      </c>
      <c r="F1827" t="s">
        <v>3981</v>
      </c>
      <c r="G1827" t="str">
        <f>_xlfn.XLOOKUP(C1827,tblCOA[AccountNo],tblCOA[AccountName],"Unmapped")</f>
        <v>Product Sales</v>
      </c>
      <c r="H1827" t="str">
        <f>_xlfn.XLOOKUP(C1827,tblCOA[AccountNo],tblCOA[Category],"Unmapped")</f>
        <v>Revenue</v>
      </c>
      <c r="I1827" s="4">
        <f t="shared" si="84"/>
        <v>-28302.9</v>
      </c>
      <c r="J1827">
        <f t="shared" si="85"/>
        <v>2026</v>
      </c>
      <c r="K1827" s="5">
        <f t="shared" si="86"/>
        <v>46174</v>
      </c>
    </row>
    <row r="1828" spans="1:11" x14ac:dyDescent="0.25">
      <c r="A1828" t="s">
        <v>2298</v>
      </c>
      <c r="B1828" s="3">
        <v>46190</v>
      </c>
      <c r="C1828">
        <v>1200</v>
      </c>
      <c r="D1828" s="1">
        <v>37401.71</v>
      </c>
      <c r="E1828" s="1">
        <v>0</v>
      </c>
      <c r="F1828" t="s">
        <v>2299</v>
      </c>
      <c r="G1828" t="str">
        <f>_xlfn.XLOOKUP(C1828,tblCOA[AccountNo],tblCOA[AccountName],"Unmapped")</f>
        <v>Accounts Receivable</v>
      </c>
      <c r="H1828" t="str">
        <f>_xlfn.XLOOKUP(C1828,tblCOA[AccountNo],tblCOA[Category],"Unmapped")</f>
        <v>Assets</v>
      </c>
      <c r="I1828" s="4">
        <f t="shared" si="84"/>
        <v>37401.71</v>
      </c>
      <c r="J1828">
        <f t="shared" si="85"/>
        <v>2026</v>
      </c>
      <c r="K1828" s="5">
        <f t="shared" si="86"/>
        <v>46174</v>
      </c>
    </row>
    <row r="1829" spans="1:11" x14ac:dyDescent="0.25">
      <c r="A1829" t="s">
        <v>2300</v>
      </c>
      <c r="B1829" s="3">
        <v>46190</v>
      </c>
      <c r="C1829">
        <v>4010</v>
      </c>
      <c r="D1829" s="1">
        <v>0</v>
      </c>
      <c r="E1829" s="1">
        <v>37401.71</v>
      </c>
      <c r="F1829" t="s">
        <v>2301</v>
      </c>
      <c r="G1829" t="str">
        <f>_xlfn.XLOOKUP(C1829,tblCOA[AccountNo],tblCOA[AccountName],"Unmapped")</f>
        <v>Product Sales</v>
      </c>
      <c r="H1829" t="str">
        <f>_xlfn.XLOOKUP(C1829,tblCOA[AccountNo],tblCOA[Category],"Unmapped")</f>
        <v>Revenue</v>
      </c>
      <c r="I1829" s="4">
        <f t="shared" si="84"/>
        <v>-37401.71</v>
      </c>
      <c r="J1829">
        <f t="shared" si="85"/>
        <v>2026</v>
      </c>
      <c r="K1829" s="5">
        <f t="shared" si="86"/>
        <v>46174</v>
      </c>
    </row>
    <row r="1830" spans="1:11" x14ac:dyDescent="0.25">
      <c r="A1830" t="s">
        <v>1886</v>
      </c>
      <c r="B1830" s="3">
        <v>46190</v>
      </c>
      <c r="C1830">
        <v>5010</v>
      </c>
      <c r="D1830" s="1">
        <v>12390.46</v>
      </c>
      <c r="E1830" s="1">
        <v>0</v>
      </c>
      <c r="F1830" t="s">
        <v>1887</v>
      </c>
      <c r="G1830" t="str">
        <f>_xlfn.XLOOKUP(C1830,tblCOA[AccountNo],tblCOA[AccountName],"Unmapped")</f>
        <v>Cost of Goods Sold</v>
      </c>
      <c r="H1830" t="str">
        <f>_xlfn.XLOOKUP(C1830,tblCOA[AccountNo],tblCOA[Category],"Unmapped")</f>
        <v>Expenses</v>
      </c>
      <c r="I1830" s="4">
        <f t="shared" si="84"/>
        <v>12390.46</v>
      </c>
      <c r="J1830">
        <f t="shared" si="85"/>
        <v>2026</v>
      </c>
      <c r="K1830" s="5">
        <f t="shared" si="86"/>
        <v>46174</v>
      </c>
    </row>
    <row r="1831" spans="1:11" x14ac:dyDescent="0.25">
      <c r="A1831" t="s">
        <v>1888</v>
      </c>
      <c r="B1831" s="3">
        <v>46190</v>
      </c>
      <c r="C1831">
        <v>2010</v>
      </c>
      <c r="D1831" s="1">
        <v>0</v>
      </c>
      <c r="E1831" s="1">
        <v>12390.46</v>
      </c>
      <c r="F1831" t="s">
        <v>1889</v>
      </c>
      <c r="G1831" t="str">
        <f>_xlfn.XLOOKUP(C1831,tblCOA[AccountNo],tblCOA[AccountName],"Unmapped")</f>
        <v>Accounts Payable</v>
      </c>
      <c r="H1831" t="str">
        <f>_xlfn.XLOOKUP(C1831,tblCOA[AccountNo],tblCOA[Category],"Unmapped")</f>
        <v>Liabilities</v>
      </c>
      <c r="I1831" s="4">
        <f t="shared" si="84"/>
        <v>-12390.46</v>
      </c>
      <c r="J1831">
        <f t="shared" si="85"/>
        <v>2026</v>
      </c>
      <c r="K1831" s="5">
        <f t="shared" si="86"/>
        <v>46174</v>
      </c>
    </row>
    <row r="1832" spans="1:11" x14ac:dyDescent="0.25">
      <c r="A1832" t="s">
        <v>2066</v>
      </c>
      <c r="B1832" s="3">
        <v>46191</v>
      </c>
      <c r="C1832">
        <v>1200</v>
      </c>
      <c r="D1832" s="1">
        <v>41963.76</v>
      </c>
      <c r="E1832" s="1">
        <v>0</v>
      </c>
      <c r="F1832" t="s">
        <v>2067</v>
      </c>
      <c r="G1832" t="str">
        <f>_xlfn.XLOOKUP(C1832,tblCOA[AccountNo],tblCOA[AccountName],"Unmapped")</f>
        <v>Accounts Receivable</v>
      </c>
      <c r="H1832" t="str">
        <f>_xlfn.XLOOKUP(C1832,tblCOA[AccountNo],tblCOA[Category],"Unmapped")</f>
        <v>Assets</v>
      </c>
      <c r="I1832" s="4">
        <f t="shared" si="84"/>
        <v>41963.76</v>
      </c>
      <c r="J1832">
        <f t="shared" si="85"/>
        <v>2026</v>
      </c>
      <c r="K1832" s="5">
        <f t="shared" si="86"/>
        <v>46174</v>
      </c>
    </row>
    <row r="1833" spans="1:11" x14ac:dyDescent="0.25">
      <c r="A1833" t="s">
        <v>2068</v>
      </c>
      <c r="B1833" s="3">
        <v>46191</v>
      </c>
      <c r="C1833">
        <v>4010</v>
      </c>
      <c r="D1833" s="1">
        <v>0</v>
      </c>
      <c r="E1833" s="1">
        <v>41963.76</v>
      </c>
      <c r="F1833" t="s">
        <v>2069</v>
      </c>
      <c r="G1833" t="str">
        <f>_xlfn.XLOOKUP(C1833,tblCOA[AccountNo],tblCOA[AccountName],"Unmapped")</f>
        <v>Product Sales</v>
      </c>
      <c r="H1833" t="str">
        <f>_xlfn.XLOOKUP(C1833,tblCOA[AccountNo],tblCOA[Category],"Unmapped")</f>
        <v>Revenue</v>
      </c>
      <c r="I1833" s="4">
        <f t="shared" si="84"/>
        <v>-41963.76</v>
      </c>
      <c r="J1833">
        <f t="shared" si="85"/>
        <v>2026</v>
      </c>
      <c r="K1833" s="5">
        <f t="shared" si="86"/>
        <v>46174</v>
      </c>
    </row>
    <row r="1834" spans="1:11" x14ac:dyDescent="0.25">
      <c r="A1834" t="s">
        <v>3562</v>
      </c>
      <c r="B1834" s="3">
        <v>46191</v>
      </c>
      <c r="C1834">
        <v>1200</v>
      </c>
      <c r="D1834" s="1">
        <v>27806.43</v>
      </c>
      <c r="E1834" s="1">
        <v>0</v>
      </c>
      <c r="F1834" t="s">
        <v>3563</v>
      </c>
      <c r="G1834" t="str">
        <f>_xlfn.XLOOKUP(C1834,tblCOA[AccountNo],tblCOA[AccountName],"Unmapped")</f>
        <v>Accounts Receivable</v>
      </c>
      <c r="H1834" t="str">
        <f>_xlfn.XLOOKUP(C1834,tblCOA[AccountNo],tblCOA[Category],"Unmapped")</f>
        <v>Assets</v>
      </c>
      <c r="I1834" s="4">
        <f t="shared" si="84"/>
        <v>27806.43</v>
      </c>
      <c r="J1834">
        <f t="shared" si="85"/>
        <v>2026</v>
      </c>
      <c r="K1834" s="5">
        <f t="shared" si="86"/>
        <v>46174</v>
      </c>
    </row>
    <row r="1835" spans="1:11" x14ac:dyDescent="0.25">
      <c r="A1835" t="s">
        <v>3564</v>
      </c>
      <c r="B1835" s="3">
        <v>46191</v>
      </c>
      <c r="C1835">
        <v>4010</v>
      </c>
      <c r="D1835" s="1">
        <v>0</v>
      </c>
      <c r="E1835" s="1">
        <v>27806.43</v>
      </c>
      <c r="F1835" t="s">
        <v>3565</v>
      </c>
      <c r="G1835" t="str">
        <f>_xlfn.XLOOKUP(C1835,tblCOA[AccountNo],tblCOA[AccountName],"Unmapped")</f>
        <v>Product Sales</v>
      </c>
      <c r="H1835" t="str">
        <f>_xlfn.XLOOKUP(C1835,tblCOA[AccountNo],tblCOA[Category],"Unmapped")</f>
        <v>Revenue</v>
      </c>
      <c r="I1835" s="4">
        <f t="shared" si="84"/>
        <v>-27806.43</v>
      </c>
      <c r="J1835">
        <f t="shared" si="85"/>
        <v>2026</v>
      </c>
      <c r="K1835" s="5">
        <f t="shared" si="86"/>
        <v>46174</v>
      </c>
    </row>
    <row r="1836" spans="1:11" x14ac:dyDescent="0.25">
      <c r="A1836" t="s">
        <v>1738</v>
      </c>
      <c r="B1836" s="3">
        <v>46192</v>
      </c>
      <c r="C1836">
        <v>1200</v>
      </c>
      <c r="D1836" s="1">
        <v>17881.740000000002</v>
      </c>
      <c r="E1836" s="1">
        <v>0</v>
      </c>
      <c r="F1836" t="s">
        <v>1739</v>
      </c>
      <c r="G1836" t="str">
        <f>_xlfn.XLOOKUP(C1836,tblCOA[AccountNo],tblCOA[AccountName],"Unmapped")</f>
        <v>Accounts Receivable</v>
      </c>
      <c r="H1836" t="str">
        <f>_xlfn.XLOOKUP(C1836,tblCOA[AccountNo],tblCOA[Category],"Unmapped")</f>
        <v>Assets</v>
      </c>
      <c r="I1836" s="4">
        <f t="shared" si="84"/>
        <v>17881.740000000002</v>
      </c>
      <c r="J1836">
        <f t="shared" si="85"/>
        <v>2026</v>
      </c>
      <c r="K1836" s="5">
        <f t="shared" si="86"/>
        <v>46174</v>
      </c>
    </row>
    <row r="1837" spans="1:11" x14ac:dyDescent="0.25">
      <c r="A1837" t="s">
        <v>1740</v>
      </c>
      <c r="B1837" s="3">
        <v>46192</v>
      </c>
      <c r="C1837">
        <v>4010</v>
      </c>
      <c r="D1837" s="1">
        <v>0</v>
      </c>
      <c r="E1837" s="1">
        <v>17881.740000000002</v>
      </c>
      <c r="F1837" t="s">
        <v>1741</v>
      </c>
      <c r="G1837" t="str">
        <f>_xlfn.XLOOKUP(C1837,tblCOA[AccountNo],tblCOA[AccountName],"Unmapped")</f>
        <v>Product Sales</v>
      </c>
      <c r="H1837" t="str">
        <f>_xlfn.XLOOKUP(C1837,tblCOA[AccountNo],tblCOA[Category],"Unmapped")</f>
        <v>Revenue</v>
      </c>
      <c r="I1837" s="4">
        <f t="shared" si="84"/>
        <v>-17881.740000000002</v>
      </c>
      <c r="J1837">
        <f t="shared" si="85"/>
        <v>2026</v>
      </c>
      <c r="K1837" s="5">
        <f t="shared" si="86"/>
        <v>46174</v>
      </c>
    </row>
    <row r="1838" spans="1:11" x14ac:dyDescent="0.25">
      <c r="A1838" t="s">
        <v>954</v>
      </c>
      <c r="B1838" s="3">
        <v>46193</v>
      </c>
      <c r="C1838">
        <v>1200</v>
      </c>
      <c r="D1838" s="1">
        <v>49457.65</v>
      </c>
      <c r="E1838" s="1">
        <v>0</v>
      </c>
      <c r="F1838" t="s">
        <v>955</v>
      </c>
      <c r="G1838" t="str">
        <f>_xlfn.XLOOKUP(C1838,tblCOA[AccountNo],tblCOA[AccountName],"Unmapped")</f>
        <v>Accounts Receivable</v>
      </c>
      <c r="H1838" t="str">
        <f>_xlfn.XLOOKUP(C1838,tblCOA[AccountNo],tblCOA[Category],"Unmapped")</f>
        <v>Assets</v>
      </c>
      <c r="I1838" s="4">
        <f t="shared" si="84"/>
        <v>49457.65</v>
      </c>
      <c r="J1838">
        <f t="shared" si="85"/>
        <v>2026</v>
      </c>
      <c r="K1838" s="5">
        <f t="shared" si="86"/>
        <v>46174</v>
      </c>
    </row>
    <row r="1839" spans="1:11" x14ac:dyDescent="0.25">
      <c r="A1839" t="s">
        <v>956</v>
      </c>
      <c r="B1839" s="3">
        <v>46193</v>
      </c>
      <c r="C1839">
        <v>4010</v>
      </c>
      <c r="D1839" s="1">
        <v>0</v>
      </c>
      <c r="E1839" s="1">
        <v>49457.65</v>
      </c>
      <c r="F1839" t="s">
        <v>957</v>
      </c>
      <c r="G1839" t="str">
        <f>_xlfn.XLOOKUP(C1839,tblCOA[AccountNo],tblCOA[AccountName],"Unmapped")</f>
        <v>Product Sales</v>
      </c>
      <c r="H1839" t="str">
        <f>_xlfn.XLOOKUP(C1839,tblCOA[AccountNo],tblCOA[Category],"Unmapped")</f>
        <v>Revenue</v>
      </c>
      <c r="I1839" s="4">
        <f t="shared" si="84"/>
        <v>-49457.65</v>
      </c>
      <c r="J1839">
        <f t="shared" si="85"/>
        <v>2026</v>
      </c>
      <c r="K1839" s="5">
        <f t="shared" si="86"/>
        <v>46174</v>
      </c>
    </row>
    <row r="1840" spans="1:11" x14ac:dyDescent="0.25">
      <c r="A1840" t="s">
        <v>458</v>
      </c>
      <c r="B1840" s="3">
        <v>46196</v>
      </c>
      <c r="C1840">
        <v>1200</v>
      </c>
      <c r="D1840" s="1">
        <v>12524.23</v>
      </c>
      <c r="E1840" s="1">
        <v>0</v>
      </c>
      <c r="F1840" t="s">
        <v>459</v>
      </c>
      <c r="G1840" t="str">
        <f>_xlfn.XLOOKUP(C1840,tblCOA[AccountNo],tblCOA[AccountName],"Unmapped")</f>
        <v>Accounts Receivable</v>
      </c>
      <c r="H1840" t="str">
        <f>_xlfn.XLOOKUP(C1840,tblCOA[AccountNo],tblCOA[Category],"Unmapped")</f>
        <v>Assets</v>
      </c>
      <c r="I1840" s="4">
        <f t="shared" si="84"/>
        <v>12524.23</v>
      </c>
      <c r="J1840">
        <f t="shared" si="85"/>
        <v>2026</v>
      </c>
      <c r="K1840" s="5">
        <f t="shared" si="86"/>
        <v>46174</v>
      </c>
    </row>
    <row r="1841" spans="1:11" x14ac:dyDescent="0.25">
      <c r="A1841" t="s">
        <v>460</v>
      </c>
      <c r="B1841" s="3">
        <v>46196</v>
      </c>
      <c r="C1841">
        <v>4010</v>
      </c>
      <c r="D1841" s="1">
        <v>0</v>
      </c>
      <c r="E1841" s="1">
        <v>12524.23</v>
      </c>
      <c r="F1841" t="s">
        <v>461</v>
      </c>
      <c r="G1841" t="str">
        <f>_xlfn.XLOOKUP(C1841,tblCOA[AccountNo],tblCOA[AccountName],"Unmapped")</f>
        <v>Product Sales</v>
      </c>
      <c r="H1841" t="str">
        <f>_xlfn.XLOOKUP(C1841,tblCOA[AccountNo],tblCOA[Category],"Unmapped")</f>
        <v>Revenue</v>
      </c>
      <c r="I1841" s="4">
        <f t="shared" si="84"/>
        <v>-12524.23</v>
      </c>
      <c r="J1841">
        <f t="shared" si="85"/>
        <v>2026</v>
      </c>
      <c r="K1841" s="5">
        <f t="shared" si="86"/>
        <v>46174</v>
      </c>
    </row>
    <row r="1842" spans="1:11" x14ac:dyDescent="0.25">
      <c r="A1842" t="s">
        <v>462</v>
      </c>
      <c r="B1842" s="3">
        <v>46199</v>
      </c>
      <c r="C1842">
        <v>5010</v>
      </c>
      <c r="D1842" s="1">
        <v>13749.97</v>
      </c>
      <c r="E1842" s="1">
        <v>0</v>
      </c>
      <c r="F1842" t="s">
        <v>463</v>
      </c>
      <c r="G1842" t="str">
        <f>_xlfn.XLOOKUP(C1842,tblCOA[AccountNo],tblCOA[AccountName],"Unmapped")</f>
        <v>Cost of Goods Sold</v>
      </c>
      <c r="H1842" t="str">
        <f>_xlfn.XLOOKUP(C1842,tblCOA[AccountNo],tblCOA[Category],"Unmapped")</f>
        <v>Expenses</v>
      </c>
      <c r="I1842" s="4">
        <f t="shared" si="84"/>
        <v>13749.97</v>
      </c>
      <c r="J1842">
        <f t="shared" si="85"/>
        <v>2026</v>
      </c>
      <c r="K1842" s="5">
        <f t="shared" si="86"/>
        <v>46174</v>
      </c>
    </row>
    <row r="1843" spans="1:11" x14ac:dyDescent="0.25">
      <c r="A1843" t="s">
        <v>464</v>
      </c>
      <c r="B1843" s="3">
        <v>46199</v>
      </c>
      <c r="C1843">
        <v>2010</v>
      </c>
      <c r="D1843" s="1">
        <v>0</v>
      </c>
      <c r="E1843" s="1">
        <v>13749.97</v>
      </c>
      <c r="F1843" t="s">
        <v>465</v>
      </c>
      <c r="G1843" t="str">
        <f>_xlfn.XLOOKUP(C1843,tblCOA[AccountNo],tblCOA[AccountName],"Unmapped")</f>
        <v>Accounts Payable</v>
      </c>
      <c r="H1843" t="str">
        <f>_xlfn.XLOOKUP(C1843,tblCOA[AccountNo],tblCOA[Category],"Unmapped")</f>
        <v>Liabilities</v>
      </c>
      <c r="I1843" s="4">
        <f t="shared" si="84"/>
        <v>-13749.97</v>
      </c>
      <c r="J1843">
        <f t="shared" si="85"/>
        <v>2026</v>
      </c>
      <c r="K1843" s="5">
        <f t="shared" si="86"/>
        <v>46174</v>
      </c>
    </row>
    <row r="1844" spans="1:11" x14ac:dyDescent="0.25">
      <c r="A1844" t="s">
        <v>1678</v>
      </c>
      <c r="B1844" s="3">
        <v>46199</v>
      </c>
      <c r="C1844">
        <v>5010</v>
      </c>
      <c r="D1844" s="1">
        <v>3384.47</v>
      </c>
      <c r="E1844" s="1">
        <v>0</v>
      </c>
      <c r="F1844" t="s">
        <v>1679</v>
      </c>
      <c r="G1844" t="str">
        <f>_xlfn.XLOOKUP(C1844,tblCOA[AccountNo],tblCOA[AccountName],"Unmapped")</f>
        <v>Cost of Goods Sold</v>
      </c>
      <c r="H1844" t="str">
        <f>_xlfn.XLOOKUP(C1844,tblCOA[AccountNo],tblCOA[Category],"Unmapped")</f>
        <v>Expenses</v>
      </c>
      <c r="I1844" s="4">
        <f t="shared" si="84"/>
        <v>3384.47</v>
      </c>
      <c r="J1844">
        <f t="shared" si="85"/>
        <v>2026</v>
      </c>
      <c r="K1844" s="5">
        <f t="shared" si="86"/>
        <v>46174</v>
      </c>
    </row>
    <row r="1845" spans="1:11" x14ac:dyDescent="0.25">
      <c r="A1845" t="s">
        <v>1680</v>
      </c>
      <c r="B1845" s="3">
        <v>46199</v>
      </c>
      <c r="C1845">
        <v>2010</v>
      </c>
      <c r="D1845" s="1">
        <v>0</v>
      </c>
      <c r="E1845" s="1">
        <v>3384.47</v>
      </c>
      <c r="F1845" t="s">
        <v>1681</v>
      </c>
      <c r="G1845" t="str">
        <f>_xlfn.XLOOKUP(C1845,tblCOA[AccountNo],tblCOA[AccountName],"Unmapped")</f>
        <v>Accounts Payable</v>
      </c>
      <c r="H1845" t="str">
        <f>_xlfn.XLOOKUP(C1845,tblCOA[AccountNo],tblCOA[Category],"Unmapped")</f>
        <v>Liabilities</v>
      </c>
      <c r="I1845" s="4">
        <f t="shared" si="84"/>
        <v>-3384.47</v>
      </c>
      <c r="J1845">
        <f t="shared" si="85"/>
        <v>2026</v>
      </c>
      <c r="K1845" s="5">
        <f t="shared" si="86"/>
        <v>46174</v>
      </c>
    </row>
    <row r="1846" spans="1:11" x14ac:dyDescent="0.25">
      <c r="A1846" t="s">
        <v>1802</v>
      </c>
      <c r="B1846" s="3">
        <v>46202</v>
      </c>
      <c r="C1846">
        <v>1200</v>
      </c>
      <c r="D1846" s="1">
        <v>16454.669999999998</v>
      </c>
      <c r="E1846" s="1">
        <v>0</v>
      </c>
      <c r="F1846" t="s">
        <v>1803</v>
      </c>
      <c r="G1846" t="str">
        <f>_xlfn.XLOOKUP(C1846,tblCOA[AccountNo],tblCOA[AccountName],"Unmapped")</f>
        <v>Accounts Receivable</v>
      </c>
      <c r="H1846" t="str">
        <f>_xlfn.XLOOKUP(C1846,tblCOA[AccountNo],tblCOA[Category],"Unmapped")</f>
        <v>Assets</v>
      </c>
      <c r="I1846" s="4">
        <f t="shared" si="84"/>
        <v>16454.669999999998</v>
      </c>
      <c r="J1846">
        <f t="shared" si="85"/>
        <v>2026</v>
      </c>
      <c r="K1846" s="5">
        <f t="shared" si="86"/>
        <v>46174</v>
      </c>
    </row>
    <row r="1847" spans="1:11" x14ac:dyDescent="0.25">
      <c r="A1847" t="s">
        <v>1804</v>
      </c>
      <c r="B1847" s="3">
        <v>46202</v>
      </c>
      <c r="C1847">
        <v>4010</v>
      </c>
      <c r="D1847" s="1">
        <v>0</v>
      </c>
      <c r="E1847" s="1">
        <v>16454.669999999998</v>
      </c>
      <c r="F1847" t="s">
        <v>1805</v>
      </c>
      <c r="G1847" t="str">
        <f>_xlfn.XLOOKUP(C1847,tblCOA[AccountNo],tblCOA[AccountName],"Unmapped")</f>
        <v>Product Sales</v>
      </c>
      <c r="H1847" t="str">
        <f>_xlfn.XLOOKUP(C1847,tblCOA[AccountNo],tblCOA[Category],"Unmapped")</f>
        <v>Revenue</v>
      </c>
      <c r="I1847" s="4">
        <f t="shared" si="84"/>
        <v>-16454.669999999998</v>
      </c>
      <c r="J1847">
        <f t="shared" si="85"/>
        <v>2026</v>
      </c>
      <c r="K1847" s="5">
        <f t="shared" si="86"/>
        <v>46174</v>
      </c>
    </row>
    <row r="1848" spans="1:11" x14ac:dyDescent="0.25">
      <c r="A1848" t="s">
        <v>2826</v>
      </c>
      <c r="B1848" s="3">
        <v>46203</v>
      </c>
      <c r="C1848">
        <v>1200</v>
      </c>
      <c r="D1848" s="1">
        <v>49247.09</v>
      </c>
      <c r="E1848" s="1">
        <v>0</v>
      </c>
      <c r="F1848" t="s">
        <v>2827</v>
      </c>
      <c r="G1848" t="str">
        <f>_xlfn.XLOOKUP(C1848,tblCOA[AccountNo],tblCOA[AccountName],"Unmapped")</f>
        <v>Accounts Receivable</v>
      </c>
      <c r="H1848" t="str">
        <f>_xlfn.XLOOKUP(C1848,tblCOA[AccountNo],tblCOA[Category],"Unmapped")</f>
        <v>Assets</v>
      </c>
      <c r="I1848" s="4">
        <f t="shared" si="84"/>
        <v>49247.09</v>
      </c>
      <c r="J1848">
        <f t="shared" si="85"/>
        <v>2026</v>
      </c>
      <c r="K1848" s="5">
        <f t="shared" si="86"/>
        <v>46174</v>
      </c>
    </row>
    <row r="1849" spans="1:11" x14ac:dyDescent="0.25">
      <c r="A1849" t="s">
        <v>2828</v>
      </c>
      <c r="B1849" s="3">
        <v>46203</v>
      </c>
      <c r="C1849">
        <v>4010</v>
      </c>
      <c r="D1849" s="1">
        <v>0</v>
      </c>
      <c r="E1849" s="1">
        <v>49247.09</v>
      </c>
      <c r="F1849" t="s">
        <v>2829</v>
      </c>
      <c r="G1849" t="str">
        <f>_xlfn.XLOOKUP(C1849,tblCOA[AccountNo],tblCOA[AccountName],"Unmapped")</f>
        <v>Product Sales</v>
      </c>
      <c r="H1849" t="str">
        <f>_xlfn.XLOOKUP(C1849,tblCOA[AccountNo],tblCOA[Category],"Unmapped")</f>
        <v>Revenue</v>
      </c>
      <c r="I1849" s="4">
        <f t="shared" si="84"/>
        <v>-49247.09</v>
      </c>
      <c r="J1849">
        <f t="shared" si="85"/>
        <v>2026</v>
      </c>
      <c r="K1849" s="5">
        <f t="shared" si="86"/>
        <v>46174</v>
      </c>
    </row>
    <row r="1850" spans="1:11" x14ac:dyDescent="0.25">
      <c r="A1850" t="s">
        <v>3806</v>
      </c>
      <c r="B1850" s="3">
        <v>46205</v>
      </c>
      <c r="C1850">
        <v>5010</v>
      </c>
      <c r="D1850" s="1">
        <v>2960.25</v>
      </c>
      <c r="E1850" s="1">
        <v>0</v>
      </c>
      <c r="F1850" t="s">
        <v>3807</v>
      </c>
      <c r="G1850" t="str">
        <f>_xlfn.XLOOKUP(C1850,tblCOA[AccountNo],tblCOA[AccountName],"Unmapped")</f>
        <v>Cost of Goods Sold</v>
      </c>
      <c r="H1850" t="str">
        <f>_xlfn.XLOOKUP(C1850,tblCOA[AccountNo],tblCOA[Category],"Unmapped")</f>
        <v>Expenses</v>
      </c>
      <c r="I1850" s="4">
        <f t="shared" si="84"/>
        <v>2960.25</v>
      </c>
      <c r="J1850">
        <f t="shared" si="85"/>
        <v>2026</v>
      </c>
      <c r="K1850" s="5">
        <f t="shared" si="86"/>
        <v>46204</v>
      </c>
    </row>
    <row r="1851" spans="1:11" x14ac:dyDescent="0.25">
      <c r="A1851" t="s">
        <v>3808</v>
      </c>
      <c r="B1851" s="3">
        <v>46205</v>
      </c>
      <c r="C1851">
        <v>2010</v>
      </c>
      <c r="D1851" s="1">
        <v>0</v>
      </c>
      <c r="E1851" s="1">
        <v>2960.25</v>
      </c>
      <c r="F1851" t="s">
        <v>3809</v>
      </c>
      <c r="G1851" t="str">
        <f>_xlfn.XLOOKUP(C1851,tblCOA[AccountNo],tblCOA[AccountName],"Unmapped")</f>
        <v>Accounts Payable</v>
      </c>
      <c r="H1851" t="str">
        <f>_xlfn.XLOOKUP(C1851,tblCOA[AccountNo],tblCOA[Category],"Unmapped")</f>
        <v>Liabilities</v>
      </c>
      <c r="I1851" s="4">
        <f t="shared" si="84"/>
        <v>-2960.25</v>
      </c>
      <c r="J1851">
        <f t="shared" si="85"/>
        <v>2026</v>
      </c>
      <c r="K1851" s="5">
        <f t="shared" si="86"/>
        <v>46204</v>
      </c>
    </row>
    <row r="1852" spans="1:11" x14ac:dyDescent="0.25">
      <c r="A1852" t="s">
        <v>2150</v>
      </c>
      <c r="B1852" s="3">
        <v>46209</v>
      </c>
      <c r="C1852">
        <v>5010</v>
      </c>
      <c r="D1852" s="1">
        <v>3986.88</v>
      </c>
      <c r="E1852" s="1">
        <v>0</v>
      </c>
      <c r="F1852" t="s">
        <v>2151</v>
      </c>
      <c r="G1852" t="str">
        <f>_xlfn.XLOOKUP(C1852,tblCOA[AccountNo],tblCOA[AccountName],"Unmapped")</f>
        <v>Cost of Goods Sold</v>
      </c>
      <c r="H1852" t="str">
        <f>_xlfn.XLOOKUP(C1852,tblCOA[AccountNo],tblCOA[Category],"Unmapped")</f>
        <v>Expenses</v>
      </c>
      <c r="I1852" s="4">
        <f t="shared" si="84"/>
        <v>3986.88</v>
      </c>
      <c r="J1852">
        <f t="shared" si="85"/>
        <v>2026</v>
      </c>
      <c r="K1852" s="5">
        <f t="shared" si="86"/>
        <v>46204</v>
      </c>
    </row>
    <row r="1853" spans="1:11" x14ac:dyDescent="0.25">
      <c r="A1853" t="s">
        <v>2152</v>
      </c>
      <c r="B1853" s="3">
        <v>46209</v>
      </c>
      <c r="C1853">
        <v>2010</v>
      </c>
      <c r="D1853" s="1">
        <v>0</v>
      </c>
      <c r="E1853" s="1">
        <v>3986.88</v>
      </c>
      <c r="F1853" t="s">
        <v>2153</v>
      </c>
      <c r="G1853" t="str">
        <f>_xlfn.XLOOKUP(C1853,tblCOA[AccountNo],tblCOA[AccountName],"Unmapped")</f>
        <v>Accounts Payable</v>
      </c>
      <c r="H1853" t="str">
        <f>_xlfn.XLOOKUP(C1853,tblCOA[AccountNo],tblCOA[Category],"Unmapped")</f>
        <v>Liabilities</v>
      </c>
      <c r="I1853" s="4">
        <f t="shared" si="84"/>
        <v>-3986.88</v>
      </c>
      <c r="J1853">
        <f t="shared" si="85"/>
        <v>2026</v>
      </c>
      <c r="K1853" s="5">
        <f t="shared" si="86"/>
        <v>46204</v>
      </c>
    </row>
    <row r="1854" spans="1:11" x14ac:dyDescent="0.25">
      <c r="A1854" t="s">
        <v>3154</v>
      </c>
      <c r="B1854" s="3">
        <v>46209</v>
      </c>
      <c r="C1854">
        <v>1200</v>
      </c>
      <c r="D1854" s="1">
        <v>45436.83</v>
      </c>
      <c r="E1854" s="1">
        <v>0</v>
      </c>
      <c r="F1854" t="s">
        <v>3155</v>
      </c>
      <c r="G1854" t="str">
        <f>_xlfn.XLOOKUP(C1854,tblCOA[AccountNo],tblCOA[AccountName],"Unmapped")</f>
        <v>Accounts Receivable</v>
      </c>
      <c r="H1854" t="str">
        <f>_xlfn.XLOOKUP(C1854,tblCOA[AccountNo],tblCOA[Category],"Unmapped")</f>
        <v>Assets</v>
      </c>
      <c r="I1854" s="4">
        <f t="shared" si="84"/>
        <v>45436.83</v>
      </c>
      <c r="J1854">
        <f t="shared" si="85"/>
        <v>2026</v>
      </c>
      <c r="K1854" s="5">
        <f t="shared" si="86"/>
        <v>46204</v>
      </c>
    </row>
    <row r="1855" spans="1:11" x14ac:dyDescent="0.25">
      <c r="A1855" t="s">
        <v>3156</v>
      </c>
      <c r="B1855" s="3">
        <v>46209</v>
      </c>
      <c r="C1855">
        <v>4010</v>
      </c>
      <c r="D1855" s="1">
        <v>0</v>
      </c>
      <c r="E1855" s="1">
        <v>45436.83</v>
      </c>
      <c r="F1855" t="s">
        <v>3157</v>
      </c>
      <c r="G1855" t="str">
        <f>_xlfn.XLOOKUP(C1855,tblCOA[AccountNo],tblCOA[AccountName],"Unmapped")</f>
        <v>Product Sales</v>
      </c>
      <c r="H1855" t="str">
        <f>_xlfn.XLOOKUP(C1855,tblCOA[AccountNo],tblCOA[Category],"Unmapped")</f>
        <v>Revenue</v>
      </c>
      <c r="I1855" s="4">
        <f t="shared" si="84"/>
        <v>-45436.83</v>
      </c>
      <c r="J1855">
        <f t="shared" si="85"/>
        <v>2026</v>
      </c>
      <c r="K1855" s="5">
        <f t="shared" si="86"/>
        <v>46204</v>
      </c>
    </row>
    <row r="1856" spans="1:11" x14ac:dyDescent="0.25">
      <c r="A1856" t="s">
        <v>3982</v>
      </c>
      <c r="B1856" s="3">
        <v>46209</v>
      </c>
      <c r="C1856">
        <v>5010</v>
      </c>
      <c r="D1856" s="1">
        <v>14094.79</v>
      </c>
      <c r="E1856" s="1">
        <v>0</v>
      </c>
      <c r="F1856" t="s">
        <v>3983</v>
      </c>
      <c r="G1856" t="str">
        <f>_xlfn.XLOOKUP(C1856,tblCOA[AccountNo],tblCOA[AccountName],"Unmapped")</f>
        <v>Cost of Goods Sold</v>
      </c>
      <c r="H1856" t="str">
        <f>_xlfn.XLOOKUP(C1856,tblCOA[AccountNo],tblCOA[Category],"Unmapped")</f>
        <v>Expenses</v>
      </c>
      <c r="I1856" s="4">
        <f t="shared" si="84"/>
        <v>14094.79</v>
      </c>
      <c r="J1856">
        <f t="shared" si="85"/>
        <v>2026</v>
      </c>
      <c r="K1856" s="5">
        <f t="shared" si="86"/>
        <v>46204</v>
      </c>
    </row>
    <row r="1857" spans="1:11" x14ac:dyDescent="0.25">
      <c r="A1857" t="s">
        <v>3984</v>
      </c>
      <c r="B1857" s="3">
        <v>46209</v>
      </c>
      <c r="C1857">
        <v>2010</v>
      </c>
      <c r="D1857" s="1">
        <v>0</v>
      </c>
      <c r="E1857" s="1">
        <v>14094.79</v>
      </c>
      <c r="F1857" t="s">
        <v>3985</v>
      </c>
      <c r="G1857" t="str">
        <f>_xlfn.XLOOKUP(C1857,tblCOA[AccountNo],tblCOA[AccountName],"Unmapped")</f>
        <v>Accounts Payable</v>
      </c>
      <c r="H1857" t="str">
        <f>_xlfn.XLOOKUP(C1857,tblCOA[AccountNo],tblCOA[Category],"Unmapped")</f>
        <v>Liabilities</v>
      </c>
      <c r="I1857" s="4">
        <f t="shared" si="84"/>
        <v>-14094.79</v>
      </c>
      <c r="J1857">
        <f t="shared" si="85"/>
        <v>2026</v>
      </c>
      <c r="K1857" s="5">
        <f t="shared" si="86"/>
        <v>46204</v>
      </c>
    </row>
    <row r="1858" spans="1:11" x14ac:dyDescent="0.25">
      <c r="A1858" t="s">
        <v>1398</v>
      </c>
      <c r="B1858" s="3">
        <v>46209</v>
      </c>
      <c r="C1858">
        <v>5010</v>
      </c>
      <c r="D1858" s="1">
        <v>2968.72</v>
      </c>
      <c r="E1858" s="1">
        <v>0</v>
      </c>
      <c r="F1858" t="s">
        <v>1399</v>
      </c>
      <c r="G1858" t="str">
        <f>_xlfn.XLOOKUP(C1858,tblCOA[AccountNo],tblCOA[AccountName],"Unmapped")</f>
        <v>Cost of Goods Sold</v>
      </c>
      <c r="H1858" t="str">
        <f>_xlfn.XLOOKUP(C1858,tblCOA[AccountNo],tblCOA[Category],"Unmapped")</f>
        <v>Expenses</v>
      </c>
      <c r="I1858" s="4">
        <f t="shared" ref="I1858:I1921" si="87">D1858-E1858</f>
        <v>2968.72</v>
      </c>
      <c r="J1858">
        <f t="shared" ref="J1858:J1921" si="88">YEAR(B1858)</f>
        <v>2026</v>
      </c>
      <c r="K1858" s="5">
        <f t="shared" ref="K1858:K1921" si="89">DATE(YEAR(B1858),MONTH(B1858),1)</f>
        <v>46204</v>
      </c>
    </row>
    <row r="1859" spans="1:11" x14ac:dyDescent="0.25">
      <c r="A1859" t="s">
        <v>1400</v>
      </c>
      <c r="B1859" s="3">
        <v>46209</v>
      </c>
      <c r="C1859">
        <v>2010</v>
      </c>
      <c r="D1859" s="1">
        <v>0</v>
      </c>
      <c r="E1859" s="1">
        <v>2968.72</v>
      </c>
      <c r="F1859" t="s">
        <v>1401</v>
      </c>
      <c r="G1859" t="str">
        <f>_xlfn.XLOOKUP(C1859,tblCOA[AccountNo],tblCOA[AccountName],"Unmapped")</f>
        <v>Accounts Payable</v>
      </c>
      <c r="H1859" t="str">
        <f>_xlfn.XLOOKUP(C1859,tblCOA[AccountNo],tblCOA[Category],"Unmapped")</f>
        <v>Liabilities</v>
      </c>
      <c r="I1859" s="4">
        <f t="shared" si="87"/>
        <v>-2968.72</v>
      </c>
      <c r="J1859">
        <f t="shared" si="88"/>
        <v>2026</v>
      </c>
      <c r="K1859" s="5">
        <f t="shared" si="89"/>
        <v>46204</v>
      </c>
    </row>
    <row r="1860" spans="1:11" x14ac:dyDescent="0.25">
      <c r="A1860" t="s">
        <v>3118</v>
      </c>
      <c r="B1860" s="3">
        <v>46212</v>
      </c>
      <c r="C1860">
        <v>5010</v>
      </c>
      <c r="D1860" s="1">
        <v>8014.86</v>
      </c>
      <c r="E1860" s="1">
        <v>0</v>
      </c>
      <c r="F1860" t="s">
        <v>3119</v>
      </c>
      <c r="G1860" t="str">
        <f>_xlfn.XLOOKUP(C1860,tblCOA[AccountNo],tblCOA[AccountName],"Unmapped")</f>
        <v>Cost of Goods Sold</v>
      </c>
      <c r="H1860" t="str">
        <f>_xlfn.XLOOKUP(C1860,tblCOA[AccountNo],tblCOA[Category],"Unmapped")</f>
        <v>Expenses</v>
      </c>
      <c r="I1860" s="4">
        <f t="shared" si="87"/>
        <v>8014.86</v>
      </c>
      <c r="J1860">
        <f t="shared" si="88"/>
        <v>2026</v>
      </c>
      <c r="K1860" s="5">
        <f t="shared" si="89"/>
        <v>46204</v>
      </c>
    </row>
    <row r="1861" spans="1:11" x14ac:dyDescent="0.25">
      <c r="A1861" t="s">
        <v>3120</v>
      </c>
      <c r="B1861" s="3">
        <v>46212</v>
      </c>
      <c r="C1861">
        <v>2010</v>
      </c>
      <c r="D1861" s="1">
        <v>0</v>
      </c>
      <c r="E1861" s="1">
        <v>8014.86</v>
      </c>
      <c r="F1861" t="s">
        <v>3121</v>
      </c>
      <c r="G1861" t="str">
        <f>_xlfn.XLOOKUP(C1861,tblCOA[AccountNo],tblCOA[AccountName],"Unmapped")</f>
        <v>Accounts Payable</v>
      </c>
      <c r="H1861" t="str">
        <f>_xlfn.XLOOKUP(C1861,tblCOA[AccountNo],tblCOA[Category],"Unmapped")</f>
        <v>Liabilities</v>
      </c>
      <c r="I1861" s="4">
        <f t="shared" si="87"/>
        <v>-8014.86</v>
      </c>
      <c r="J1861">
        <f t="shared" si="88"/>
        <v>2026</v>
      </c>
      <c r="K1861" s="5">
        <f t="shared" si="89"/>
        <v>46204</v>
      </c>
    </row>
    <row r="1862" spans="1:11" x14ac:dyDescent="0.25">
      <c r="A1862" t="s">
        <v>3558</v>
      </c>
      <c r="B1862" s="3">
        <v>46214</v>
      </c>
      <c r="C1862">
        <v>5010</v>
      </c>
      <c r="D1862" s="1">
        <v>13857.71</v>
      </c>
      <c r="E1862" s="1">
        <v>0</v>
      </c>
      <c r="F1862" t="s">
        <v>3559</v>
      </c>
      <c r="G1862" t="str">
        <f>_xlfn.XLOOKUP(C1862,tblCOA[AccountNo],tblCOA[AccountName],"Unmapped")</f>
        <v>Cost of Goods Sold</v>
      </c>
      <c r="H1862" t="str">
        <f>_xlfn.XLOOKUP(C1862,tblCOA[AccountNo],tblCOA[Category],"Unmapped")</f>
        <v>Expenses</v>
      </c>
      <c r="I1862" s="4">
        <f t="shared" si="87"/>
        <v>13857.71</v>
      </c>
      <c r="J1862">
        <f t="shared" si="88"/>
        <v>2026</v>
      </c>
      <c r="K1862" s="5">
        <f t="shared" si="89"/>
        <v>46204</v>
      </c>
    </row>
    <row r="1863" spans="1:11" x14ac:dyDescent="0.25">
      <c r="A1863" t="s">
        <v>3560</v>
      </c>
      <c r="B1863" s="3">
        <v>46214</v>
      </c>
      <c r="C1863">
        <v>2010</v>
      </c>
      <c r="D1863" s="1">
        <v>0</v>
      </c>
      <c r="E1863" s="1">
        <v>13857.71</v>
      </c>
      <c r="F1863" t="s">
        <v>3561</v>
      </c>
      <c r="G1863" t="str">
        <f>_xlfn.XLOOKUP(C1863,tblCOA[AccountNo],tblCOA[AccountName],"Unmapped")</f>
        <v>Accounts Payable</v>
      </c>
      <c r="H1863" t="str">
        <f>_xlfn.XLOOKUP(C1863,tblCOA[AccountNo],tblCOA[Category],"Unmapped")</f>
        <v>Liabilities</v>
      </c>
      <c r="I1863" s="4">
        <f t="shared" si="87"/>
        <v>-13857.71</v>
      </c>
      <c r="J1863">
        <f t="shared" si="88"/>
        <v>2026</v>
      </c>
      <c r="K1863" s="5">
        <f t="shared" si="89"/>
        <v>46204</v>
      </c>
    </row>
    <row r="1864" spans="1:11" x14ac:dyDescent="0.25">
      <c r="A1864" t="s">
        <v>530</v>
      </c>
      <c r="B1864" s="3">
        <v>46215</v>
      </c>
      <c r="C1864">
        <v>1200</v>
      </c>
      <c r="D1864" s="1">
        <v>4514.9399999999996</v>
      </c>
      <c r="E1864" s="1">
        <v>0</v>
      </c>
      <c r="F1864" t="s">
        <v>531</v>
      </c>
      <c r="G1864" t="str">
        <f>_xlfn.XLOOKUP(C1864,tblCOA[AccountNo],tblCOA[AccountName],"Unmapped")</f>
        <v>Accounts Receivable</v>
      </c>
      <c r="H1864" t="str">
        <f>_xlfn.XLOOKUP(C1864,tblCOA[AccountNo],tblCOA[Category],"Unmapped")</f>
        <v>Assets</v>
      </c>
      <c r="I1864" s="4">
        <f t="shared" si="87"/>
        <v>4514.9399999999996</v>
      </c>
      <c r="J1864">
        <f t="shared" si="88"/>
        <v>2026</v>
      </c>
      <c r="K1864" s="5">
        <f t="shared" si="89"/>
        <v>46204</v>
      </c>
    </row>
    <row r="1865" spans="1:11" x14ac:dyDescent="0.25">
      <c r="A1865" t="s">
        <v>532</v>
      </c>
      <c r="B1865" s="3">
        <v>46215</v>
      </c>
      <c r="C1865">
        <v>4010</v>
      </c>
      <c r="D1865" s="1">
        <v>0</v>
      </c>
      <c r="E1865" s="1">
        <v>4514.9399999999996</v>
      </c>
      <c r="F1865" t="s">
        <v>533</v>
      </c>
      <c r="G1865" t="str">
        <f>_xlfn.XLOOKUP(C1865,tblCOA[AccountNo],tblCOA[AccountName],"Unmapped")</f>
        <v>Product Sales</v>
      </c>
      <c r="H1865" t="str">
        <f>_xlfn.XLOOKUP(C1865,tblCOA[AccountNo],tblCOA[Category],"Unmapped")</f>
        <v>Revenue</v>
      </c>
      <c r="I1865" s="4">
        <f t="shared" si="87"/>
        <v>-4514.9399999999996</v>
      </c>
      <c r="J1865">
        <f t="shared" si="88"/>
        <v>2026</v>
      </c>
      <c r="K1865" s="5">
        <f t="shared" si="89"/>
        <v>46204</v>
      </c>
    </row>
    <row r="1866" spans="1:11" x14ac:dyDescent="0.25">
      <c r="A1866" t="s">
        <v>2854</v>
      </c>
      <c r="B1866" s="3">
        <v>46216</v>
      </c>
      <c r="C1866">
        <v>5010</v>
      </c>
      <c r="D1866" s="1">
        <v>8866.06</v>
      </c>
      <c r="E1866" s="1">
        <v>0</v>
      </c>
      <c r="F1866" t="s">
        <v>2855</v>
      </c>
      <c r="G1866" t="str">
        <f>_xlfn.XLOOKUP(C1866,tblCOA[AccountNo],tblCOA[AccountName],"Unmapped")</f>
        <v>Cost of Goods Sold</v>
      </c>
      <c r="H1866" t="str">
        <f>_xlfn.XLOOKUP(C1866,tblCOA[AccountNo],tblCOA[Category],"Unmapped")</f>
        <v>Expenses</v>
      </c>
      <c r="I1866" s="4">
        <f t="shared" si="87"/>
        <v>8866.06</v>
      </c>
      <c r="J1866">
        <f t="shared" si="88"/>
        <v>2026</v>
      </c>
      <c r="K1866" s="5">
        <f t="shared" si="89"/>
        <v>46204</v>
      </c>
    </row>
    <row r="1867" spans="1:11" x14ac:dyDescent="0.25">
      <c r="A1867" t="s">
        <v>2856</v>
      </c>
      <c r="B1867" s="3">
        <v>46216</v>
      </c>
      <c r="C1867">
        <v>2010</v>
      </c>
      <c r="D1867" s="1">
        <v>0</v>
      </c>
      <c r="E1867" s="1">
        <v>8866.06</v>
      </c>
      <c r="F1867" t="s">
        <v>2857</v>
      </c>
      <c r="G1867" t="str">
        <f>_xlfn.XLOOKUP(C1867,tblCOA[AccountNo],tblCOA[AccountName],"Unmapped")</f>
        <v>Accounts Payable</v>
      </c>
      <c r="H1867" t="str">
        <f>_xlfn.XLOOKUP(C1867,tblCOA[AccountNo],tblCOA[Category],"Unmapped")</f>
        <v>Liabilities</v>
      </c>
      <c r="I1867" s="4">
        <f t="shared" si="87"/>
        <v>-8866.06</v>
      </c>
      <c r="J1867">
        <f t="shared" si="88"/>
        <v>2026</v>
      </c>
      <c r="K1867" s="5">
        <f t="shared" si="89"/>
        <v>46204</v>
      </c>
    </row>
    <row r="1868" spans="1:11" x14ac:dyDescent="0.25">
      <c r="A1868" t="s">
        <v>3518</v>
      </c>
      <c r="B1868" s="3">
        <v>46216</v>
      </c>
      <c r="C1868">
        <v>5010</v>
      </c>
      <c r="D1868" s="1">
        <v>1133.25</v>
      </c>
      <c r="E1868" s="1">
        <v>0</v>
      </c>
      <c r="F1868" t="s">
        <v>3519</v>
      </c>
      <c r="G1868" t="str">
        <f>_xlfn.XLOOKUP(C1868,tblCOA[AccountNo],tblCOA[AccountName],"Unmapped")</f>
        <v>Cost of Goods Sold</v>
      </c>
      <c r="H1868" t="str">
        <f>_xlfn.XLOOKUP(C1868,tblCOA[AccountNo],tblCOA[Category],"Unmapped")</f>
        <v>Expenses</v>
      </c>
      <c r="I1868" s="4">
        <f t="shared" si="87"/>
        <v>1133.25</v>
      </c>
      <c r="J1868">
        <f t="shared" si="88"/>
        <v>2026</v>
      </c>
      <c r="K1868" s="5">
        <f t="shared" si="89"/>
        <v>46204</v>
      </c>
    </row>
    <row r="1869" spans="1:11" x14ac:dyDescent="0.25">
      <c r="A1869" t="s">
        <v>3520</v>
      </c>
      <c r="B1869" s="3">
        <v>46216</v>
      </c>
      <c r="C1869">
        <v>2010</v>
      </c>
      <c r="D1869" s="1">
        <v>0</v>
      </c>
      <c r="E1869" s="1">
        <v>1133.25</v>
      </c>
      <c r="F1869" t="s">
        <v>3521</v>
      </c>
      <c r="G1869" t="str">
        <f>_xlfn.XLOOKUP(C1869,tblCOA[AccountNo],tblCOA[AccountName],"Unmapped")</f>
        <v>Accounts Payable</v>
      </c>
      <c r="H1869" t="str">
        <f>_xlfn.XLOOKUP(C1869,tblCOA[AccountNo],tblCOA[Category],"Unmapped")</f>
        <v>Liabilities</v>
      </c>
      <c r="I1869" s="4">
        <f t="shared" si="87"/>
        <v>-1133.25</v>
      </c>
      <c r="J1869">
        <f t="shared" si="88"/>
        <v>2026</v>
      </c>
      <c r="K1869" s="5">
        <f t="shared" si="89"/>
        <v>46204</v>
      </c>
    </row>
    <row r="1870" spans="1:11" x14ac:dyDescent="0.25">
      <c r="A1870" t="s">
        <v>1290</v>
      </c>
      <c r="B1870" s="3">
        <v>46216</v>
      </c>
      <c r="C1870">
        <v>1200</v>
      </c>
      <c r="D1870" s="1">
        <v>7983.27</v>
      </c>
      <c r="E1870" s="1">
        <v>0</v>
      </c>
      <c r="F1870" t="s">
        <v>1291</v>
      </c>
      <c r="G1870" t="str">
        <f>_xlfn.XLOOKUP(C1870,tblCOA[AccountNo],tblCOA[AccountName],"Unmapped")</f>
        <v>Accounts Receivable</v>
      </c>
      <c r="H1870" t="str">
        <f>_xlfn.XLOOKUP(C1870,tblCOA[AccountNo],tblCOA[Category],"Unmapped")</f>
        <v>Assets</v>
      </c>
      <c r="I1870" s="4">
        <f t="shared" si="87"/>
        <v>7983.27</v>
      </c>
      <c r="J1870">
        <f t="shared" si="88"/>
        <v>2026</v>
      </c>
      <c r="K1870" s="5">
        <f t="shared" si="89"/>
        <v>46204</v>
      </c>
    </row>
    <row r="1871" spans="1:11" x14ac:dyDescent="0.25">
      <c r="A1871" t="s">
        <v>1292</v>
      </c>
      <c r="B1871" s="3">
        <v>46216</v>
      </c>
      <c r="C1871">
        <v>4010</v>
      </c>
      <c r="D1871" s="1">
        <v>0</v>
      </c>
      <c r="E1871" s="1">
        <v>7983.27</v>
      </c>
      <c r="F1871" t="s">
        <v>1293</v>
      </c>
      <c r="G1871" t="str">
        <f>_xlfn.XLOOKUP(C1871,tblCOA[AccountNo],tblCOA[AccountName],"Unmapped")</f>
        <v>Product Sales</v>
      </c>
      <c r="H1871" t="str">
        <f>_xlfn.XLOOKUP(C1871,tblCOA[AccountNo],tblCOA[Category],"Unmapped")</f>
        <v>Revenue</v>
      </c>
      <c r="I1871" s="4">
        <f t="shared" si="87"/>
        <v>-7983.27</v>
      </c>
      <c r="J1871">
        <f t="shared" si="88"/>
        <v>2026</v>
      </c>
      <c r="K1871" s="5">
        <f t="shared" si="89"/>
        <v>46204</v>
      </c>
    </row>
    <row r="1872" spans="1:11" x14ac:dyDescent="0.25">
      <c r="A1872" t="s">
        <v>2838</v>
      </c>
      <c r="B1872" s="3">
        <v>46220</v>
      </c>
      <c r="C1872">
        <v>5010</v>
      </c>
      <c r="D1872" s="1">
        <v>14605.62</v>
      </c>
      <c r="E1872" s="1">
        <v>0</v>
      </c>
      <c r="F1872" t="s">
        <v>2839</v>
      </c>
      <c r="G1872" t="str">
        <f>_xlfn.XLOOKUP(C1872,tblCOA[AccountNo],tblCOA[AccountName],"Unmapped")</f>
        <v>Cost of Goods Sold</v>
      </c>
      <c r="H1872" t="str">
        <f>_xlfn.XLOOKUP(C1872,tblCOA[AccountNo],tblCOA[Category],"Unmapped")</f>
        <v>Expenses</v>
      </c>
      <c r="I1872" s="4">
        <f t="shared" si="87"/>
        <v>14605.62</v>
      </c>
      <c r="J1872">
        <f t="shared" si="88"/>
        <v>2026</v>
      </c>
      <c r="K1872" s="5">
        <f t="shared" si="89"/>
        <v>46204</v>
      </c>
    </row>
    <row r="1873" spans="1:11" x14ac:dyDescent="0.25">
      <c r="A1873" t="s">
        <v>2840</v>
      </c>
      <c r="B1873" s="3">
        <v>46220</v>
      </c>
      <c r="C1873">
        <v>2010</v>
      </c>
      <c r="D1873" s="1">
        <v>0</v>
      </c>
      <c r="E1873" s="1">
        <v>14605.62</v>
      </c>
      <c r="F1873" t="s">
        <v>2841</v>
      </c>
      <c r="G1873" t="str">
        <f>_xlfn.XLOOKUP(C1873,tblCOA[AccountNo],tblCOA[AccountName],"Unmapped")</f>
        <v>Accounts Payable</v>
      </c>
      <c r="H1873" t="str">
        <f>_xlfn.XLOOKUP(C1873,tblCOA[AccountNo],tblCOA[Category],"Unmapped")</f>
        <v>Liabilities</v>
      </c>
      <c r="I1873" s="4">
        <f t="shared" si="87"/>
        <v>-14605.62</v>
      </c>
      <c r="J1873">
        <f t="shared" si="88"/>
        <v>2026</v>
      </c>
      <c r="K1873" s="5">
        <f t="shared" si="89"/>
        <v>46204</v>
      </c>
    </row>
    <row r="1874" spans="1:11" x14ac:dyDescent="0.25">
      <c r="A1874" t="s">
        <v>362</v>
      </c>
      <c r="B1874" s="3">
        <v>46223</v>
      </c>
      <c r="C1874">
        <v>1200</v>
      </c>
      <c r="D1874" s="1">
        <v>40338.46</v>
      </c>
      <c r="E1874" s="1">
        <v>0</v>
      </c>
      <c r="F1874" t="s">
        <v>363</v>
      </c>
      <c r="G1874" t="str">
        <f>_xlfn.XLOOKUP(C1874,tblCOA[AccountNo],tblCOA[AccountName],"Unmapped")</f>
        <v>Accounts Receivable</v>
      </c>
      <c r="H1874" t="str">
        <f>_xlfn.XLOOKUP(C1874,tblCOA[AccountNo],tblCOA[Category],"Unmapped")</f>
        <v>Assets</v>
      </c>
      <c r="I1874" s="4">
        <f t="shared" si="87"/>
        <v>40338.46</v>
      </c>
      <c r="J1874">
        <f t="shared" si="88"/>
        <v>2026</v>
      </c>
      <c r="K1874" s="5">
        <f t="shared" si="89"/>
        <v>46204</v>
      </c>
    </row>
    <row r="1875" spans="1:11" x14ac:dyDescent="0.25">
      <c r="A1875" t="s">
        <v>364</v>
      </c>
      <c r="B1875" s="3">
        <v>46223</v>
      </c>
      <c r="C1875">
        <v>4010</v>
      </c>
      <c r="D1875" s="1">
        <v>0</v>
      </c>
      <c r="E1875" s="1">
        <v>40338.46</v>
      </c>
      <c r="F1875" t="s">
        <v>365</v>
      </c>
      <c r="G1875" t="str">
        <f>_xlfn.XLOOKUP(C1875,tblCOA[AccountNo],tblCOA[AccountName],"Unmapped")</f>
        <v>Product Sales</v>
      </c>
      <c r="H1875" t="str">
        <f>_xlfn.XLOOKUP(C1875,tblCOA[AccountNo],tblCOA[Category],"Unmapped")</f>
        <v>Revenue</v>
      </c>
      <c r="I1875" s="4">
        <f t="shared" si="87"/>
        <v>-40338.46</v>
      </c>
      <c r="J1875">
        <f t="shared" si="88"/>
        <v>2026</v>
      </c>
      <c r="K1875" s="5">
        <f t="shared" si="89"/>
        <v>46204</v>
      </c>
    </row>
    <row r="1876" spans="1:11" x14ac:dyDescent="0.25">
      <c r="A1876" t="s">
        <v>3002</v>
      </c>
      <c r="B1876" s="3">
        <v>46224</v>
      </c>
      <c r="C1876">
        <v>1200</v>
      </c>
      <c r="D1876" s="1">
        <v>15483</v>
      </c>
      <c r="E1876" s="1">
        <v>0</v>
      </c>
      <c r="F1876" t="s">
        <v>3003</v>
      </c>
      <c r="G1876" t="str">
        <f>_xlfn.XLOOKUP(C1876,tblCOA[AccountNo],tblCOA[AccountName],"Unmapped")</f>
        <v>Accounts Receivable</v>
      </c>
      <c r="H1876" t="str">
        <f>_xlfn.XLOOKUP(C1876,tblCOA[AccountNo],tblCOA[Category],"Unmapped")</f>
        <v>Assets</v>
      </c>
      <c r="I1876" s="4">
        <f t="shared" si="87"/>
        <v>15483</v>
      </c>
      <c r="J1876">
        <f t="shared" si="88"/>
        <v>2026</v>
      </c>
      <c r="K1876" s="5">
        <f t="shared" si="89"/>
        <v>46204</v>
      </c>
    </row>
    <row r="1877" spans="1:11" x14ac:dyDescent="0.25">
      <c r="A1877" t="s">
        <v>3004</v>
      </c>
      <c r="B1877" s="3">
        <v>46224</v>
      </c>
      <c r="C1877">
        <v>4010</v>
      </c>
      <c r="D1877" s="1">
        <v>0</v>
      </c>
      <c r="E1877" s="1">
        <v>15483</v>
      </c>
      <c r="F1877" t="s">
        <v>3005</v>
      </c>
      <c r="G1877" t="str">
        <f>_xlfn.XLOOKUP(C1877,tblCOA[AccountNo],tblCOA[AccountName],"Unmapped")</f>
        <v>Product Sales</v>
      </c>
      <c r="H1877" t="str">
        <f>_xlfn.XLOOKUP(C1877,tblCOA[AccountNo],tblCOA[Category],"Unmapped")</f>
        <v>Revenue</v>
      </c>
      <c r="I1877" s="4">
        <f t="shared" si="87"/>
        <v>-15483</v>
      </c>
      <c r="J1877">
        <f t="shared" si="88"/>
        <v>2026</v>
      </c>
      <c r="K1877" s="5">
        <f t="shared" si="89"/>
        <v>46204</v>
      </c>
    </row>
    <row r="1878" spans="1:11" x14ac:dyDescent="0.25">
      <c r="A1878" t="s">
        <v>634</v>
      </c>
      <c r="B1878" s="3">
        <v>46224</v>
      </c>
      <c r="C1878">
        <v>1200</v>
      </c>
      <c r="D1878" s="1">
        <v>18638.36</v>
      </c>
      <c r="E1878" s="1">
        <v>0</v>
      </c>
      <c r="F1878" t="s">
        <v>635</v>
      </c>
      <c r="G1878" t="str">
        <f>_xlfn.XLOOKUP(C1878,tblCOA[AccountNo],tblCOA[AccountName],"Unmapped")</f>
        <v>Accounts Receivable</v>
      </c>
      <c r="H1878" t="str">
        <f>_xlfn.XLOOKUP(C1878,tblCOA[AccountNo],tblCOA[Category],"Unmapped")</f>
        <v>Assets</v>
      </c>
      <c r="I1878" s="4">
        <f t="shared" si="87"/>
        <v>18638.36</v>
      </c>
      <c r="J1878">
        <f t="shared" si="88"/>
        <v>2026</v>
      </c>
      <c r="K1878" s="5">
        <f t="shared" si="89"/>
        <v>46204</v>
      </c>
    </row>
    <row r="1879" spans="1:11" x14ac:dyDescent="0.25">
      <c r="A1879" t="s">
        <v>636</v>
      </c>
      <c r="B1879" s="3">
        <v>46224</v>
      </c>
      <c r="C1879">
        <v>4010</v>
      </c>
      <c r="D1879" s="1">
        <v>0</v>
      </c>
      <c r="E1879" s="1">
        <v>18638.36</v>
      </c>
      <c r="F1879" t="s">
        <v>637</v>
      </c>
      <c r="G1879" t="str">
        <f>_xlfn.XLOOKUP(C1879,tblCOA[AccountNo],tblCOA[AccountName],"Unmapped")</f>
        <v>Product Sales</v>
      </c>
      <c r="H1879" t="str">
        <f>_xlfn.XLOOKUP(C1879,tblCOA[AccountNo],tblCOA[Category],"Unmapped")</f>
        <v>Revenue</v>
      </c>
      <c r="I1879" s="4">
        <f t="shared" si="87"/>
        <v>-18638.36</v>
      </c>
      <c r="J1879">
        <f t="shared" si="88"/>
        <v>2026</v>
      </c>
      <c r="K1879" s="5">
        <f t="shared" si="89"/>
        <v>46204</v>
      </c>
    </row>
    <row r="1880" spans="1:11" x14ac:dyDescent="0.25">
      <c r="A1880" t="s">
        <v>3150</v>
      </c>
      <c r="B1880" s="3">
        <v>46225</v>
      </c>
      <c r="C1880">
        <v>5010</v>
      </c>
      <c r="D1880" s="1">
        <v>17807.21</v>
      </c>
      <c r="E1880" s="1">
        <v>0</v>
      </c>
      <c r="F1880" t="s">
        <v>3151</v>
      </c>
      <c r="G1880" t="str">
        <f>_xlfn.XLOOKUP(C1880,tblCOA[AccountNo],tblCOA[AccountName],"Unmapped")</f>
        <v>Cost of Goods Sold</v>
      </c>
      <c r="H1880" t="str">
        <f>_xlfn.XLOOKUP(C1880,tblCOA[AccountNo],tblCOA[Category],"Unmapped")</f>
        <v>Expenses</v>
      </c>
      <c r="I1880" s="4">
        <f t="shared" si="87"/>
        <v>17807.21</v>
      </c>
      <c r="J1880">
        <f t="shared" si="88"/>
        <v>2026</v>
      </c>
      <c r="K1880" s="5">
        <f t="shared" si="89"/>
        <v>46204</v>
      </c>
    </row>
    <row r="1881" spans="1:11" x14ac:dyDescent="0.25">
      <c r="A1881" t="s">
        <v>3152</v>
      </c>
      <c r="B1881" s="3">
        <v>46225</v>
      </c>
      <c r="C1881">
        <v>2010</v>
      </c>
      <c r="D1881" s="1">
        <v>0</v>
      </c>
      <c r="E1881" s="1">
        <v>17807.21</v>
      </c>
      <c r="F1881" t="s">
        <v>3153</v>
      </c>
      <c r="G1881" t="str">
        <f>_xlfn.XLOOKUP(C1881,tblCOA[AccountNo],tblCOA[AccountName],"Unmapped")</f>
        <v>Accounts Payable</v>
      </c>
      <c r="H1881" t="str">
        <f>_xlfn.XLOOKUP(C1881,tblCOA[AccountNo],tblCOA[Category],"Unmapped")</f>
        <v>Liabilities</v>
      </c>
      <c r="I1881" s="4">
        <f t="shared" si="87"/>
        <v>-17807.21</v>
      </c>
      <c r="J1881">
        <f t="shared" si="88"/>
        <v>2026</v>
      </c>
      <c r="K1881" s="5">
        <f t="shared" si="89"/>
        <v>46204</v>
      </c>
    </row>
    <row r="1882" spans="1:11" x14ac:dyDescent="0.25">
      <c r="A1882" t="s">
        <v>1878</v>
      </c>
      <c r="B1882" s="3">
        <v>46225</v>
      </c>
      <c r="C1882">
        <v>5010</v>
      </c>
      <c r="D1882" s="1">
        <v>16073.36</v>
      </c>
      <c r="E1882" s="1">
        <v>0</v>
      </c>
      <c r="F1882" t="s">
        <v>1879</v>
      </c>
      <c r="G1882" t="str">
        <f>_xlfn.XLOOKUP(C1882,tblCOA[AccountNo],tblCOA[AccountName],"Unmapped")</f>
        <v>Cost of Goods Sold</v>
      </c>
      <c r="H1882" t="str">
        <f>_xlfn.XLOOKUP(C1882,tblCOA[AccountNo],tblCOA[Category],"Unmapped")</f>
        <v>Expenses</v>
      </c>
      <c r="I1882" s="4">
        <f t="shared" si="87"/>
        <v>16073.36</v>
      </c>
      <c r="J1882">
        <f t="shared" si="88"/>
        <v>2026</v>
      </c>
      <c r="K1882" s="5">
        <f t="shared" si="89"/>
        <v>46204</v>
      </c>
    </row>
    <row r="1883" spans="1:11" x14ac:dyDescent="0.25">
      <c r="A1883" t="s">
        <v>1880</v>
      </c>
      <c r="B1883" s="3">
        <v>46225</v>
      </c>
      <c r="C1883">
        <v>2010</v>
      </c>
      <c r="D1883" s="1">
        <v>0</v>
      </c>
      <c r="E1883" s="1">
        <v>16073.36</v>
      </c>
      <c r="F1883" t="s">
        <v>1881</v>
      </c>
      <c r="G1883" t="str">
        <f>_xlfn.XLOOKUP(C1883,tblCOA[AccountNo],tblCOA[AccountName],"Unmapped")</f>
        <v>Accounts Payable</v>
      </c>
      <c r="H1883" t="str">
        <f>_xlfn.XLOOKUP(C1883,tblCOA[AccountNo],tblCOA[Category],"Unmapped")</f>
        <v>Liabilities</v>
      </c>
      <c r="I1883" s="4">
        <f t="shared" si="87"/>
        <v>-16073.36</v>
      </c>
      <c r="J1883">
        <f t="shared" si="88"/>
        <v>2026</v>
      </c>
      <c r="K1883" s="5">
        <f t="shared" si="89"/>
        <v>46204</v>
      </c>
    </row>
    <row r="1884" spans="1:11" x14ac:dyDescent="0.25">
      <c r="A1884" t="s">
        <v>170</v>
      </c>
      <c r="B1884" s="3">
        <v>46226</v>
      </c>
      <c r="C1884">
        <v>1200</v>
      </c>
      <c r="D1884" s="1">
        <v>10021.32</v>
      </c>
      <c r="E1884" s="1">
        <v>0</v>
      </c>
      <c r="F1884" t="s">
        <v>171</v>
      </c>
      <c r="G1884" t="str">
        <f>_xlfn.XLOOKUP(C1884,tblCOA[AccountNo],tblCOA[AccountName],"Unmapped")</f>
        <v>Accounts Receivable</v>
      </c>
      <c r="H1884" t="str">
        <f>_xlfn.XLOOKUP(C1884,tblCOA[AccountNo],tblCOA[Category],"Unmapped")</f>
        <v>Assets</v>
      </c>
      <c r="I1884" s="4">
        <f t="shared" si="87"/>
        <v>10021.32</v>
      </c>
      <c r="J1884">
        <f t="shared" si="88"/>
        <v>2026</v>
      </c>
      <c r="K1884" s="5">
        <f t="shared" si="89"/>
        <v>46204</v>
      </c>
    </row>
    <row r="1885" spans="1:11" x14ac:dyDescent="0.25">
      <c r="A1885" t="s">
        <v>172</v>
      </c>
      <c r="B1885" s="3">
        <v>46226</v>
      </c>
      <c r="C1885">
        <v>4010</v>
      </c>
      <c r="D1885" s="1">
        <v>0</v>
      </c>
      <c r="E1885" s="1">
        <v>10021.32</v>
      </c>
      <c r="F1885" t="s">
        <v>173</v>
      </c>
      <c r="G1885" t="str">
        <f>_xlfn.XLOOKUP(C1885,tblCOA[AccountNo],tblCOA[AccountName],"Unmapped")</f>
        <v>Product Sales</v>
      </c>
      <c r="H1885" t="str">
        <f>_xlfn.XLOOKUP(C1885,tblCOA[AccountNo],tblCOA[Category],"Unmapped")</f>
        <v>Revenue</v>
      </c>
      <c r="I1885" s="4">
        <f t="shared" si="87"/>
        <v>-10021.32</v>
      </c>
      <c r="J1885">
        <f t="shared" si="88"/>
        <v>2026</v>
      </c>
      <c r="K1885" s="5">
        <f t="shared" si="89"/>
        <v>46204</v>
      </c>
    </row>
    <row r="1886" spans="1:11" x14ac:dyDescent="0.25">
      <c r="A1886" t="s">
        <v>138</v>
      </c>
      <c r="B1886" s="3">
        <v>46229</v>
      </c>
      <c r="C1886">
        <v>1200</v>
      </c>
      <c r="D1886" s="1">
        <v>37074.620000000003</v>
      </c>
      <c r="E1886" s="1">
        <v>0</v>
      </c>
      <c r="F1886" t="s">
        <v>139</v>
      </c>
      <c r="G1886" t="str">
        <f>_xlfn.XLOOKUP(C1886,tblCOA[AccountNo],tblCOA[AccountName],"Unmapped")</f>
        <v>Accounts Receivable</v>
      </c>
      <c r="H1886" t="str">
        <f>_xlfn.XLOOKUP(C1886,tblCOA[AccountNo],tblCOA[Category],"Unmapped")</f>
        <v>Assets</v>
      </c>
      <c r="I1886" s="4">
        <f t="shared" si="87"/>
        <v>37074.620000000003</v>
      </c>
      <c r="J1886">
        <f t="shared" si="88"/>
        <v>2026</v>
      </c>
      <c r="K1886" s="5">
        <f t="shared" si="89"/>
        <v>46204</v>
      </c>
    </row>
    <row r="1887" spans="1:11" x14ac:dyDescent="0.25">
      <c r="A1887" t="s">
        <v>140</v>
      </c>
      <c r="B1887" s="3">
        <v>46229</v>
      </c>
      <c r="C1887">
        <v>4010</v>
      </c>
      <c r="D1887" s="1">
        <v>0</v>
      </c>
      <c r="E1887" s="1">
        <v>37074.620000000003</v>
      </c>
      <c r="F1887" t="s">
        <v>141</v>
      </c>
      <c r="G1887" t="str">
        <f>_xlfn.XLOOKUP(C1887,tblCOA[AccountNo],tblCOA[AccountName],"Unmapped")</f>
        <v>Product Sales</v>
      </c>
      <c r="H1887" t="str">
        <f>_xlfn.XLOOKUP(C1887,tblCOA[AccountNo],tblCOA[Category],"Unmapped")</f>
        <v>Revenue</v>
      </c>
      <c r="I1887" s="4">
        <f t="shared" si="87"/>
        <v>-37074.620000000003</v>
      </c>
      <c r="J1887">
        <f t="shared" si="88"/>
        <v>2026</v>
      </c>
      <c r="K1887" s="5">
        <f t="shared" si="89"/>
        <v>46204</v>
      </c>
    </row>
    <row r="1888" spans="1:11" x14ac:dyDescent="0.25">
      <c r="A1888" t="s">
        <v>1354</v>
      </c>
      <c r="B1888" s="3">
        <v>46231</v>
      </c>
      <c r="C1888">
        <v>1200</v>
      </c>
      <c r="D1888" s="1">
        <v>19961.509999999998</v>
      </c>
      <c r="E1888" s="1">
        <v>0</v>
      </c>
      <c r="F1888" t="s">
        <v>1355</v>
      </c>
      <c r="G1888" t="str">
        <f>_xlfn.XLOOKUP(C1888,tblCOA[AccountNo],tblCOA[AccountName],"Unmapped")</f>
        <v>Accounts Receivable</v>
      </c>
      <c r="H1888" t="str">
        <f>_xlfn.XLOOKUP(C1888,tblCOA[AccountNo],tblCOA[Category],"Unmapped")</f>
        <v>Assets</v>
      </c>
      <c r="I1888" s="4">
        <f t="shared" si="87"/>
        <v>19961.509999999998</v>
      </c>
      <c r="J1888">
        <f t="shared" si="88"/>
        <v>2026</v>
      </c>
      <c r="K1888" s="5">
        <f t="shared" si="89"/>
        <v>46204</v>
      </c>
    </row>
    <row r="1889" spans="1:11" x14ac:dyDescent="0.25">
      <c r="A1889" t="s">
        <v>1356</v>
      </c>
      <c r="B1889" s="3">
        <v>46231</v>
      </c>
      <c r="C1889">
        <v>4010</v>
      </c>
      <c r="D1889" s="1">
        <v>0</v>
      </c>
      <c r="E1889" s="1">
        <v>19961.509999999998</v>
      </c>
      <c r="F1889" t="s">
        <v>1357</v>
      </c>
      <c r="G1889" t="str">
        <f>_xlfn.XLOOKUP(C1889,tblCOA[AccountNo],tblCOA[AccountName],"Unmapped")</f>
        <v>Product Sales</v>
      </c>
      <c r="H1889" t="str">
        <f>_xlfn.XLOOKUP(C1889,tblCOA[AccountNo],tblCOA[Category],"Unmapped")</f>
        <v>Revenue</v>
      </c>
      <c r="I1889" s="4">
        <f t="shared" si="87"/>
        <v>-19961.509999999998</v>
      </c>
      <c r="J1889">
        <f t="shared" si="88"/>
        <v>2026</v>
      </c>
      <c r="K1889" s="5">
        <f t="shared" si="89"/>
        <v>46204</v>
      </c>
    </row>
    <row r="1890" spans="1:11" x14ac:dyDescent="0.25">
      <c r="A1890" t="s">
        <v>2106</v>
      </c>
      <c r="B1890" s="3">
        <v>46232</v>
      </c>
      <c r="C1890">
        <v>1200</v>
      </c>
      <c r="D1890" s="1">
        <v>23603.14</v>
      </c>
      <c r="E1890" s="1">
        <v>0</v>
      </c>
      <c r="F1890" t="s">
        <v>2107</v>
      </c>
      <c r="G1890" t="str">
        <f>_xlfn.XLOOKUP(C1890,tblCOA[AccountNo],tblCOA[AccountName],"Unmapped")</f>
        <v>Accounts Receivable</v>
      </c>
      <c r="H1890" t="str">
        <f>_xlfn.XLOOKUP(C1890,tblCOA[AccountNo],tblCOA[Category],"Unmapped")</f>
        <v>Assets</v>
      </c>
      <c r="I1890" s="4">
        <f t="shared" si="87"/>
        <v>23603.14</v>
      </c>
      <c r="J1890">
        <f t="shared" si="88"/>
        <v>2026</v>
      </c>
      <c r="K1890" s="5">
        <f t="shared" si="89"/>
        <v>46204</v>
      </c>
    </row>
    <row r="1891" spans="1:11" x14ac:dyDescent="0.25">
      <c r="A1891" t="s">
        <v>2108</v>
      </c>
      <c r="B1891" s="3">
        <v>46232</v>
      </c>
      <c r="C1891">
        <v>4010</v>
      </c>
      <c r="D1891" s="1">
        <v>0</v>
      </c>
      <c r="E1891" s="1">
        <v>23603.14</v>
      </c>
      <c r="F1891" t="s">
        <v>2109</v>
      </c>
      <c r="G1891" t="str">
        <f>_xlfn.XLOOKUP(C1891,tblCOA[AccountNo],tblCOA[AccountName],"Unmapped")</f>
        <v>Product Sales</v>
      </c>
      <c r="H1891" t="str">
        <f>_xlfn.XLOOKUP(C1891,tblCOA[AccountNo],tblCOA[Category],"Unmapped")</f>
        <v>Revenue</v>
      </c>
      <c r="I1891" s="4">
        <f t="shared" si="87"/>
        <v>-23603.14</v>
      </c>
      <c r="J1891">
        <f t="shared" si="88"/>
        <v>2026</v>
      </c>
      <c r="K1891" s="5">
        <f t="shared" si="89"/>
        <v>46204</v>
      </c>
    </row>
    <row r="1892" spans="1:11" x14ac:dyDescent="0.25">
      <c r="A1892" t="s">
        <v>2314</v>
      </c>
      <c r="B1892" s="3">
        <v>46233</v>
      </c>
      <c r="C1892">
        <v>1200</v>
      </c>
      <c r="D1892" s="1">
        <v>44796.04</v>
      </c>
      <c r="E1892" s="1">
        <v>0</v>
      </c>
      <c r="F1892" t="s">
        <v>2315</v>
      </c>
      <c r="G1892" t="str">
        <f>_xlfn.XLOOKUP(C1892,tblCOA[AccountNo],tblCOA[AccountName],"Unmapped")</f>
        <v>Accounts Receivable</v>
      </c>
      <c r="H1892" t="str">
        <f>_xlfn.XLOOKUP(C1892,tblCOA[AccountNo],tblCOA[Category],"Unmapped")</f>
        <v>Assets</v>
      </c>
      <c r="I1892" s="4">
        <f t="shared" si="87"/>
        <v>44796.04</v>
      </c>
      <c r="J1892">
        <f t="shared" si="88"/>
        <v>2026</v>
      </c>
      <c r="K1892" s="5">
        <f t="shared" si="89"/>
        <v>46204</v>
      </c>
    </row>
    <row r="1893" spans="1:11" x14ac:dyDescent="0.25">
      <c r="A1893" t="s">
        <v>2316</v>
      </c>
      <c r="B1893" s="3">
        <v>46233</v>
      </c>
      <c r="C1893">
        <v>4010</v>
      </c>
      <c r="D1893" s="1">
        <v>0</v>
      </c>
      <c r="E1893" s="1">
        <v>44796.04</v>
      </c>
      <c r="F1893" t="s">
        <v>2317</v>
      </c>
      <c r="G1893" t="str">
        <f>_xlfn.XLOOKUP(C1893,tblCOA[AccountNo],tblCOA[AccountName],"Unmapped")</f>
        <v>Product Sales</v>
      </c>
      <c r="H1893" t="str">
        <f>_xlfn.XLOOKUP(C1893,tblCOA[AccountNo],tblCOA[Category],"Unmapped")</f>
        <v>Revenue</v>
      </c>
      <c r="I1893" s="4">
        <f t="shared" si="87"/>
        <v>-44796.04</v>
      </c>
      <c r="J1893">
        <f t="shared" si="88"/>
        <v>2026</v>
      </c>
      <c r="K1893" s="5">
        <f t="shared" si="89"/>
        <v>46204</v>
      </c>
    </row>
    <row r="1894" spans="1:11" x14ac:dyDescent="0.25">
      <c r="A1894" t="s">
        <v>3238</v>
      </c>
      <c r="B1894" s="3">
        <v>46233</v>
      </c>
      <c r="C1894">
        <v>5010</v>
      </c>
      <c r="D1894" s="1">
        <v>3303.16</v>
      </c>
      <c r="E1894" s="1">
        <v>0</v>
      </c>
      <c r="F1894" t="s">
        <v>3239</v>
      </c>
      <c r="G1894" t="str">
        <f>_xlfn.XLOOKUP(C1894,tblCOA[AccountNo],tblCOA[AccountName],"Unmapped")</f>
        <v>Cost of Goods Sold</v>
      </c>
      <c r="H1894" t="str">
        <f>_xlfn.XLOOKUP(C1894,tblCOA[AccountNo],tblCOA[Category],"Unmapped")</f>
        <v>Expenses</v>
      </c>
      <c r="I1894" s="4">
        <f t="shared" si="87"/>
        <v>3303.16</v>
      </c>
      <c r="J1894">
        <f t="shared" si="88"/>
        <v>2026</v>
      </c>
      <c r="K1894" s="5">
        <f t="shared" si="89"/>
        <v>46204</v>
      </c>
    </row>
    <row r="1895" spans="1:11" x14ac:dyDescent="0.25">
      <c r="A1895" t="s">
        <v>3240</v>
      </c>
      <c r="B1895" s="3">
        <v>46233</v>
      </c>
      <c r="C1895">
        <v>2010</v>
      </c>
      <c r="D1895" s="1">
        <v>0</v>
      </c>
      <c r="E1895" s="1">
        <v>3303.16</v>
      </c>
      <c r="F1895" t="s">
        <v>3241</v>
      </c>
      <c r="G1895" t="str">
        <f>_xlfn.XLOOKUP(C1895,tblCOA[AccountNo],tblCOA[AccountName],"Unmapped")</f>
        <v>Accounts Payable</v>
      </c>
      <c r="H1895" t="str">
        <f>_xlfn.XLOOKUP(C1895,tblCOA[AccountNo],tblCOA[Category],"Unmapped")</f>
        <v>Liabilities</v>
      </c>
      <c r="I1895" s="4">
        <f t="shared" si="87"/>
        <v>-3303.16</v>
      </c>
      <c r="J1895">
        <f t="shared" si="88"/>
        <v>2026</v>
      </c>
      <c r="K1895" s="5">
        <f t="shared" si="89"/>
        <v>46204</v>
      </c>
    </row>
    <row r="1896" spans="1:11" x14ac:dyDescent="0.25">
      <c r="A1896" t="s">
        <v>3830</v>
      </c>
      <c r="B1896" s="3">
        <v>46233</v>
      </c>
      <c r="C1896">
        <v>5010</v>
      </c>
      <c r="D1896" s="1">
        <v>6241.32</v>
      </c>
      <c r="E1896" s="1">
        <v>0</v>
      </c>
      <c r="F1896" t="s">
        <v>3831</v>
      </c>
      <c r="G1896" t="str">
        <f>_xlfn.XLOOKUP(C1896,tblCOA[AccountNo],tblCOA[AccountName],"Unmapped")</f>
        <v>Cost of Goods Sold</v>
      </c>
      <c r="H1896" t="str">
        <f>_xlfn.XLOOKUP(C1896,tblCOA[AccountNo],tblCOA[Category],"Unmapped")</f>
        <v>Expenses</v>
      </c>
      <c r="I1896" s="4">
        <f t="shared" si="87"/>
        <v>6241.32</v>
      </c>
      <c r="J1896">
        <f t="shared" si="88"/>
        <v>2026</v>
      </c>
      <c r="K1896" s="5">
        <f t="shared" si="89"/>
        <v>46204</v>
      </c>
    </row>
    <row r="1897" spans="1:11" x14ac:dyDescent="0.25">
      <c r="A1897" t="s">
        <v>3832</v>
      </c>
      <c r="B1897" s="3">
        <v>46233</v>
      </c>
      <c r="C1897">
        <v>2010</v>
      </c>
      <c r="D1897" s="1">
        <v>0</v>
      </c>
      <c r="E1897" s="1">
        <v>6241.32</v>
      </c>
      <c r="F1897" t="s">
        <v>3833</v>
      </c>
      <c r="G1897" t="str">
        <f>_xlfn.XLOOKUP(C1897,tblCOA[AccountNo],tblCOA[AccountName],"Unmapped")</f>
        <v>Accounts Payable</v>
      </c>
      <c r="H1897" t="str">
        <f>_xlfn.XLOOKUP(C1897,tblCOA[AccountNo],tblCOA[Category],"Unmapped")</f>
        <v>Liabilities</v>
      </c>
      <c r="I1897" s="4">
        <f t="shared" si="87"/>
        <v>-6241.32</v>
      </c>
      <c r="J1897">
        <f t="shared" si="88"/>
        <v>2026</v>
      </c>
      <c r="K1897" s="5">
        <f t="shared" si="89"/>
        <v>46204</v>
      </c>
    </row>
    <row r="1898" spans="1:11" x14ac:dyDescent="0.25">
      <c r="A1898" t="s">
        <v>970</v>
      </c>
      <c r="B1898" s="3">
        <v>46234</v>
      </c>
      <c r="C1898">
        <v>1200</v>
      </c>
      <c r="D1898" s="1">
        <v>21076.63</v>
      </c>
      <c r="E1898" s="1">
        <v>0</v>
      </c>
      <c r="F1898" t="s">
        <v>971</v>
      </c>
      <c r="G1898" t="str">
        <f>_xlfn.XLOOKUP(C1898,tblCOA[AccountNo],tblCOA[AccountName],"Unmapped")</f>
        <v>Accounts Receivable</v>
      </c>
      <c r="H1898" t="str">
        <f>_xlfn.XLOOKUP(C1898,tblCOA[AccountNo],tblCOA[Category],"Unmapped")</f>
        <v>Assets</v>
      </c>
      <c r="I1898" s="4">
        <f t="shared" si="87"/>
        <v>21076.63</v>
      </c>
      <c r="J1898">
        <f t="shared" si="88"/>
        <v>2026</v>
      </c>
      <c r="K1898" s="5">
        <f t="shared" si="89"/>
        <v>46204</v>
      </c>
    </row>
    <row r="1899" spans="1:11" x14ac:dyDescent="0.25">
      <c r="A1899" t="s">
        <v>972</v>
      </c>
      <c r="B1899" s="3">
        <v>46234</v>
      </c>
      <c r="C1899">
        <v>4010</v>
      </c>
      <c r="D1899" s="1">
        <v>0</v>
      </c>
      <c r="E1899" s="1">
        <v>21076.63</v>
      </c>
      <c r="F1899" t="s">
        <v>973</v>
      </c>
      <c r="G1899" t="str">
        <f>_xlfn.XLOOKUP(C1899,tblCOA[AccountNo],tblCOA[AccountName],"Unmapped")</f>
        <v>Product Sales</v>
      </c>
      <c r="H1899" t="str">
        <f>_xlfn.XLOOKUP(C1899,tblCOA[AccountNo],tblCOA[Category],"Unmapped")</f>
        <v>Revenue</v>
      </c>
      <c r="I1899" s="4">
        <f t="shared" si="87"/>
        <v>-21076.63</v>
      </c>
      <c r="J1899">
        <f t="shared" si="88"/>
        <v>2026</v>
      </c>
      <c r="K1899" s="5">
        <f t="shared" si="89"/>
        <v>46204</v>
      </c>
    </row>
    <row r="1900" spans="1:11" x14ac:dyDescent="0.25">
      <c r="A1900" t="s">
        <v>2434</v>
      </c>
      <c r="B1900" s="3">
        <v>46235</v>
      </c>
      <c r="C1900">
        <v>1200</v>
      </c>
      <c r="D1900" s="1">
        <v>44323.98</v>
      </c>
      <c r="E1900" s="1">
        <v>0</v>
      </c>
      <c r="F1900" t="s">
        <v>2435</v>
      </c>
      <c r="G1900" t="str">
        <f>_xlfn.XLOOKUP(C1900,tblCOA[AccountNo],tblCOA[AccountName],"Unmapped")</f>
        <v>Accounts Receivable</v>
      </c>
      <c r="H1900" t="str">
        <f>_xlfn.XLOOKUP(C1900,tblCOA[AccountNo],tblCOA[Category],"Unmapped")</f>
        <v>Assets</v>
      </c>
      <c r="I1900" s="4">
        <f t="shared" si="87"/>
        <v>44323.98</v>
      </c>
      <c r="J1900">
        <f t="shared" si="88"/>
        <v>2026</v>
      </c>
      <c r="K1900" s="5">
        <f t="shared" si="89"/>
        <v>46235</v>
      </c>
    </row>
    <row r="1901" spans="1:11" x14ac:dyDescent="0.25">
      <c r="A1901" t="s">
        <v>2436</v>
      </c>
      <c r="B1901" s="3">
        <v>46235</v>
      </c>
      <c r="C1901">
        <v>4010</v>
      </c>
      <c r="D1901" s="1">
        <v>0</v>
      </c>
      <c r="E1901" s="1">
        <v>44323.98</v>
      </c>
      <c r="F1901" t="s">
        <v>2437</v>
      </c>
      <c r="G1901" t="str">
        <f>_xlfn.XLOOKUP(C1901,tblCOA[AccountNo],tblCOA[AccountName],"Unmapped")</f>
        <v>Product Sales</v>
      </c>
      <c r="H1901" t="str">
        <f>_xlfn.XLOOKUP(C1901,tblCOA[AccountNo],tblCOA[Category],"Unmapped")</f>
        <v>Revenue</v>
      </c>
      <c r="I1901" s="4">
        <f t="shared" si="87"/>
        <v>-44323.98</v>
      </c>
      <c r="J1901">
        <f t="shared" si="88"/>
        <v>2026</v>
      </c>
      <c r="K1901" s="5">
        <f t="shared" si="89"/>
        <v>46235</v>
      </c>
    </row>
    <row r="1902" spans="1:11" x14ac:dyDescent="0.25">
      <c r="A1902" t="s">
        <v>3502</v>
      </c>
      <c r="B1902" s="3">
        <v>46236</v>
      </c>
      <c r="C1902">
        <v>5010</v>
      </c>
      <c r="D1902" s="1">
        <v>18547.37</v>
      </c>
      <c r="E1902" s="1">
        <v>0</v>
      </c>
      <c r="F1902" t="s">
        <v>3503</v>
      </c>
      <c r="G1902" t="str">
        <f>_xlfn.XLOOKUP(C1902,tblCOA[AccountNo],tblCOA[AccountName],"Unmapped")</f>
        <v>Cost of Goods Sold</v>
      </c>
      <c r="H1902" t="str">
        <f>_xlfn.XLOOKUP(C1902,tblCOA[AccountNo],tblCOA[Category],"Unmapped")</f>
        <v>Expenses</v>
      </c>
      <c r="I1902" s="4">
        <f t="shared" si="87"/>
        <v>18547.37</v>
      </c>
      <c r="J1902">
        <f t="shared" si="88"/>
        <v>2026</v>
      </c>
      <c r="K1902" s="5">
        <f t="shared" si="89"/>
        <v>46235</v>
      </c>
    </row>
    <row r="1903" spans="1:11" x14ac:dyDescent="0.25">
      <c r="A1903" t="s">
        <v>3504</v>
      </c>
      <c r="B1903" s="3">
        <v>46236</v>
      </c>
      <c r="C1903">
        <v>2010</v>
      </c>
      <c r="D1903" s="1">
        <v>0</v>
      </c>
      <c r="E1903" s="1">
        <v>18547.37</v>
      </c>
      <c r="F1903" t="s">
        <v>3505</v>
      </c>
      <c r="G1903" t="str">
        <f>_xlfn.XLOOKUP(C1903,tblCOA[AccountNo],tblCOA[AccountName],"Unmapped")</f>
        <v>Accounts Payable</v>
      </c>
      <c r="H1903" t="str">
        <f>_xlfn.XLOOKUP(C1903,tblCOA[AccountNo],tblCOA[Category],"Unmapped")</f>
        <v>Liabilities</v>
      </c>
      <c r="I1903" s="4">
        <f t="shared" si="87"/>
        <v>-18547.37</v>
      </c>
      <c r="J1903">
        <f t="shared" si="88"/>
        <v>2026</v>
      </c>
      <c r="K1903" s="5">
        <f t="shared" si="89"/>
        <v>46235</v>
      </c>
    </row>
    <row r="1904" spans="1:11" x14ac:dyDescent="0.25">
      <c r="A1904" t="s">
        <v>3658</v>
      </c>
      <c r="B1904" s="3">
        <v>46238</v>
      </c>
      <c r="C1904">
        <v>1200</v>
      </c>
      <c r="D1904" s="1">
        <v>12362.34</v>
      </c>
      <c r="E1904" s="1">
        <v>0</v>
      </c>
      <c r="F1904" t="s">
        <v>3659</v>
      </c>
      <c r="G1904" t="str">
        <f>_xlfn.XLOOKUP(C1904,tblCOA[AccountNo],tblCOA[AccountName],"Unmapped")</f>
        <v>Accounts Receivable</v>
      </c>
      <c r="H1904" t="str">
        <f>_xlfn.XLOOKUP(C1904,tblCOA[AccountNo],tblCOA[Category],"Unmapped")</f>
        <v>Assets</v>
      </c>
      <c r="I1904" s="4">
        <f t="shared" si="87"/>
        <v>12362.34</v>
      </c>
      <c r="J1904">
        <f t="shared" si="88"/>
        <v>2026</v>
      </c>
      <c r="K1904" s="5">
        <f t="shared" si="89"/>
        <v>46235</v>
      </c>
    </row>
    <row r="1905" spans="1:11" x14ac:dyDescent="0.25">
      <c r="A1905" t="s">
        <v>3660</v>
      </c>
      <c r="B1905" s="3">
        <v>46238</v>
      </c>
      <c r="C1905">
        <v>4010</v>
      </c>
      <c r="D1905" s="1">
        <v>0</v>
      </c>
      <c r="E1905" s="1">
        <v>12362.34</v>
      </c>
      <c r="F1905" t="s">
        <v>3661</v>
      </c>
      <c r="G1905" t="str">
        <f>_xlfn.XLOOKUP(C1905,tblCOA[AccountNo],tblCOA[AccountName],"Unmapped")</f>
        <v>Product Sales</v>
      </c>
      <c r="H1905" t="str">
        <f>_xlfn.XLOOKUP(C1905,tblCOA[AccountNo],tblCOA[Category],"Unmapped")</f>
        <v>Revenue</v>
      </c>
      <c r="I1905" s="4">
        <f t="shared" si="87"/>
        <v>-12362.34</v>
      </c>
      <c r="J1905">
        <f t="shared" si="88"/>
        <v>2026</v>
      </c>
      <c r="K1905" s="5">
        <f t="shared" si="89"/>
        <v>46235</v>
      </c>
    </row>
    <row r="1906" spans="1:11" x14ac:dyDescent="0.25">
      <c r="A1906" t="s">
        <v>3874</v>
      </c>
      <c r="B1906" s="3">
        <v>46238</v>
      </c>
      <c r="C1906">
        <v>1200</v>
      </c>
      <c r="D1906" s="1">
        <v>8625.7000000000007</v>
      </c>
      <c r="E1906" s="1">
        <v>0</v>
      </c>
      <c r="F1906" t="s">
        <v>3875</v>
      </c>
      <c r="G1906" t="str">
        <f>_xlfn.XLOOKUP(C1906,tblCOA[AccountNo],tblCOA[AccountName],"Unmapped")</f>
        <v>Accounts Receivable</v>
      </c>
      <c r="H1906" t="str">
        <f>_xlfn.XLOOKUP(C1906,tblCOA[AccountNo],tblCOA[Category],"Unmapped")</f>
        <v>Assets</v>
      </c>
      <c r="I1906" s="4">
        <f t="shared" si="87"/>
        <v>8625.7000000000007</v>
      </c>
      <c r="J1906">
        <f t="shared" si="88"/>
        <v>2026</v>
      </c>
      <c r="K1906" s="5">
        <f t="shared" si="89"/>
        <v>46235</v>
      </c>
    </row>
    <row r="1907" spans="1:11" x14ac:dyDescent="0.25">
      <c r="A1907" t="s">
        <v>3876</v>
      </c>
      <c r="B1907" s="3">
        <v>46238</v>
      </c>
      <c r="C1907">
        <v>4010</v>
      </c>
      <c r="D1907" s="1">
        <v>0</v>
      </c>
      <c r="E1907" s="1">
        <v>8625.7000000000007</v>
      </c>
      <c r="F1907" t="s">
        <v>3877</v>
      </c>
      <c r="G1907" t="str">
        <f>_xlfn.XLOOKUP(C1907,tblCOA[AccountNo],tblCOA[AccountName],"Unmapped")</f>
        <v>Product Sales</v>
      </c>
      <c r="H1907" t="str">
        <f>_xlfn.XLOOKUP(C1907,tblCOA[AccountNo],tblCOA[Category],"Unmapped")</f>
        <v>Revenue</v>
      </c>
      <c r="I1907" s="4">
        <f t="shared" si="87"/>
        <v>-8625.7000000000007</v>
      </c>
      <c r="J1907">
        <f t="shared" si="88"/>
        <v>2026</v>
      </c>
      <c r="K1907" s="5">
        <f t="shared" si="89"/>
        <v>46235</v>
      </c>
    </row>
    <row r="1908" spans="1:11" x14ac:dyDescent="0.25">
      <c r="A1908" t="s">
        <v>706</v>
      </c>
      <c r="B1908" s="3">
        <v>46238</v>
      </c>
      <c r="C1908">
        <v>1200</v>
      </c>
      <c r="D1908" s="1">
        <v>4360.46</v>
      </c>
      <c r="E1908" s="1">
        <v>0</v>
      </c>
      <c r="F1908" t="s">
        <v>707</v>
      </c>
      <c r="G1908" t="str">
        <f>_xlfn.XLOOKUP(C1908,tblCOA[AccountNo],tblCOA[AccountName],"Unmapped")</f>
        <v>Accounts Receivable</v>
      </c>
      <c r="H1908" t="str">
        <f>_xlfn.XLOOKUP(C1908,tblCOA[AccountNo],tblCOA[Category],"Unmapped")</f>
        <v>Assets</v>
      </c>
      <c r="I1908" s="4">
        <f t="shared" si="87"/>
        <v>4360.46</v>
      </c>
      <c r="J1908">
        <f t="shared" si="88"/>
        <v>2026</v>
      </c>
      <c r="K1908" s="5">
        <f t="shared" si="89"/>
        <v>46235</v>
      </c>
    </row>
    <row r="1909" spans="1:11" x14ac:dyDescent="0.25">
      <c r="A1909" t="s">
        <v>708</v>
      </c>
      <c r="B1909" s="3">
        <v>46238</v>
      </c>
      <c r="C1909">
        <v>4010</v>
      </c>
      <c r="D1909" s="1">
        <v>0</v>
      </c>
      <c r="E1909" s="1">
        <v>4360.46</v>
      </c>
      <c r="F1909" t="s">
        <v>709</v>
      </c>
      <c r="G1909" t="str">
        <f>_xlfn.XLOOKUP(C1909,tblCOA[AccountNo],tblCOA[AccountName],"Unmapped")</f>
        <v>Product Sales</v>
      </c>
      <c r="H1909" t="str">
        <f>_xlfn.XLOOKUP(C1909,tblCOA[AccountNo],tblCOA[Category],"Unmapped")</f>
        <v>Revenue</v>
      </c>
      <c r="I1909" s="4">
        <f t="shared" si="87"/>
        <v>-4360.46</v>
      </c>
      <c r="J1909">
        <f t="shared" si="88"/>
        <v>2026</v>
      </c>
      <c r="K1909" s="5">
        <f t="shared" si="89"/>
        <v>46235</v>
      </c>
    </row>
    <row r="1910" spans="1:11" x14ac:dyDescent="0.25">
      <c r="A1910" t="s">
        <v>2086</v>
      </c>
      <c r="B1910" s="3">
        <v>46240</v>
      </c>
      <c r="C1910">
        <v>5010</v>
      </c>
      <c r="D1910" s="1">
        <v>12299.93</v>
      </c>
      <c r="E1910" s="1">
        <v>0</v>
      </c>
      <c r="F1910" t="s">
        <v>2087</v>
      </c>
      <c r="G1910" t="str">
        <f>_xlfn.XLOOKUP(C1910,tblCOA[AccountNo],tblCOA[AccountName],"Unmapped")</f>
        <v>Cost of Goods Sold</v>
      </c>
      <c r="H1910" t="str">
        <f>_xlfn.XLOOKUP(C1910,tblCOA[AccountNo],tblCOA[Category],"Unmapped")</f>
        <v>Expenses</v>
      </c>
      <c r="I1910" s="4">
        <f t="shared" si="87"/>
        <v>12299.93</v>
      </c>
      <c r="J1910">
        <f t="shared" si="88"/>
        <v>2026</v>
      </c>
      <c r="K1910" s="5">
        <f t="shared" si="89"/>
        <v>46235</v>
      </c>
    </row>
    <row r="1911" spans="1:11" x14ac:dyDescent="0.25">
      <c r="A1911" t="s">
        <v>2088</v>
      </c>
      <c r="B1911" s="3">
        <v>46240</v>
      </c>
      <c r="C1911">
        <v>2010</v>
      </c>
      <c r="D1911" s="1">
        <v>0</v>
      </c>
      <c r="E1911" s="1">
        <v>12299.93</v>
      </c>
      <c r="F1911" t="s">
        <v>2089</v>
      </c>
      <c r="G1911" t="str">
        <f>_xlfn.XLOOKUP(C1911,tblCOA[AccountNo],tblCOA[AccountName],"Unmapped")</f>
        <v>Accounts Payable</v>
      </c>
      <c r="H1911" t="str">
        <f>_xlfn.XLOOKUP(C1911,tblCOA[AccountNo],tblCOA[Category],"Unmapped")</f>
        <v>Liabilities</v>
      </c>
      <c r="I1911" s="4">
        <f t="shared" si="87"/>
        <v>-12299.93</v>
      </c>
      <c r="J1911">
        <f t="shared" si="88"/>
        <v>2026</v>
      </c>
      <c r="K1911" s="5">
        <f t="shared" si="89"/>
        <v>46235</v>
      </c>
    </row>
    <row r="1912" spans="1:11" x14ac:dyDescent="0.25">
      <c r="A1912" t="s">
        <v>770</v>
      </c>
      <c r="B1912" s="3">
        <v>46243</v>
      </c>
      <c r="C1912">
        <v>1200</v>
      </c>
      <c r="D1912" s="1">
        <v>38631.31</v>
      </c>
      <c r="E1912" s="1">
        <v>0</v>
      </c>
      <c r="F1912" t="s">
        <v>771</v>
      </c>
      <c r="G1912" t="str">
        <f>_xlfn.XLOOKUP(C1912,tblCOA[AccountNo],tblCOA[AccountName],"Unmapped")</f>
        <v>Accounts Receivable</v>
      </c>
      <c r="H1912" t="str">
        <f>_xlfn.XLOOKUP(C1912,tblCOA[AccountNo],tblCOA[Category],"Unmapped")</f>
        <v>Assets</v>
      </c>
      <c r="I1912" s="4">
        <f t="shared" si="87"/>
        <v>38631.31</v>
      </c>
      <c r="J1912">
        <f t="shared" si="88"/>
        <v>2026</v>
      </c>
      <c r="K1912" s="5">
        <f t="shared" si="89"/>
        <v>46235</v>
      </c>
    </row>
    <row r="1913" spans="1:11" x14ac:dyDescent="0.25">
      <c r="A1913" t="s">
        <v>772</v>
      </c>
      <c r="B1913" s="3">
        <v>46243</v>
      </c>
      <c r="C1913">
        <v>4010</v>
      </c>
      <c r="D1913" s="1">
        <v>0</v>
      </c>
      <c r="E1913" s="1">
        <v>38631.31</v>
      </c>
      <c r="F1913" t="s">
        <v>773</v>
      </c>
      <c r="G1913" t="str">
        <f>_xlfn.XLOOKUP(C1913,tblCOA[AccountNo],tblCOA[AccountName],"Unmapped")</f>
        <v>Product Sales</v>
      </c>
      <c r="H1913" t="str">
        <f>_xlfn.XLOOKUP(C1913,tblCOA[AccountNo],tblCOA[Category],"Unmapped")</f>
        <v>Revenue</v>
      </c>
      <c r="I1913" s="4">
        <f t="shared" si="87"/>
        <v>-38631.31</v>
      </c>
      <c r="J1913">
        <f t="shared" si="88"/>
        <v>2026</v>
      </c>
      <c r="K1913" s="5">
        <f t="shared" si="89"/>
        <v>46235</v>
      </c>
    </row>
    <row r="1914" spans="1:11" x14ac:dyDescent="0.25">
      <c r="A1914" t="s">
        <v>3254</v>
      </c>
      <c r="B1914" s="3">
        <v>46244</v>
      </c>
      <c r="C1914">
        <v>5010</v>
      </c>
      <c r="D1914" s="1">
        <v>1227.6600000000001</v>
      </c>
      <c r="E1914" s="1">
        <v>0</v>
      </c>
      <c r="F1914" t="s">
        <v>3255</v>
      </c>
      <c r="G1914" t="str">
        <f>_xlfn.XLOOKUP(C1914,tblCOA[AccountNo],tblCOA[AccountName],"Unmapped")</f>
        <v>Cost of Goods Sold</v>
      </c>
      <c r="H1914" t="str">
        <f>_xlfn.XLOOKUP(C1914,tblCOA[AccountNo],tblCOA[Category],"Unmapped")</f>
        <v>Expenses</v>
      </c>
      <c r="I1914" s="4">
        <f t="shared" si="87"/>
        <v>1227.6600000000001</v>
      </c>
      <c r="J1914">
        <f t="shared" si="88"/>
        <v>2026</v>
      </c>
      <c r="K1914" s="5">
        <f t="shared" si="89"/>
        <v>46235</v>
      </c>
    </row>
    <row r="1915" spans="1:11" x14ac:dyDescent="0.25">
      <c r="A1915" t="s">
        <v>3256</v>
      </c>
      <c r="B1915" s="3">
        <v>46244</v>
      </c>
      <c r="C1915">
        <v>2010</v>
      </c>
      <c r="D1915" s="1">
        <v>0</v>
      </c>
      <c r="E1915" s="1">
        <v>1227.6600000000001</v>
      </c>
      <c r="F1915" t="s">
        <v>3257</v>
      </c>
      <c r="G1915" t="str">
        <f>_xlfn.XLOOKUP(C1915,tblCOA[AccountNo],tblCOA[AccountName],"Unmapped")</f>
        <v>Accounts Payable</v>
      </c>
      <c r="H1915" t="str">
        <f>_xlfn.XLOOKUP(C1915,tblCOA[AccountNo],tblCOA[Category],"Unmapped")</f>
        <v>Liabilities</v>
      </c>
      <c r="I1915" s="4">
        <f t="shared" si="87"/>
        <v>-1227.6600000000001</v>
      </c>
      <c r="J1915">
        <f t="shared" si="88"/>
        <v>2026</v>
      </c>
      <c r="K1915" s="5">
        <f t="shared" si="89"/>
        <v>46235</v>
      </c>
    </row>
    <row r="1916" spans="1:11" x14ac:dyDescent="0.25">
      <c r="A1916" t="s">
        <v>1590</v>
      </c>
      <c r="B1916" s="3">
        <v>46246</v>
      </c>
      <c r="C1916">
        <v>5010</v>
      </c>
      <c r="D1916" s="1">
        <v>17130.82</v>
      </c>
      <c r="E1916" s="1">
        <v>0</v>
      </c>
      <c r="F1916" t="s">
        <v>1591</v>
      </c>
      <c r="G1916" t="str">
        <f>_xlfn.XLOOKUP(C1916,tblCOA[AccountNo],tblCOA[AccountName],"Unmapped")</f>
        <v>Cost of Goods Sold</v>
      </c>
      <c r="H1916" t="str">
        <f>_xlfn.XLOOKUP(C1916,tblCOA[AccountNo],tblCOA[Category],"Unmapped")</f>
        <v>Expenses</v>
      </c>
      <c r="I1916" s="4">
        <f t="shared" si="87"/>
        <v>17130.82</v>
      </c>
      <c r="J1916">
        <f t="shared" si="88"/>
        <v>2026</v>
      </c>
      <c r="K1916" s="5">
        <f t="shared" si="89"/>
        <v>46235</v>
      </c>
    </row>
    <row r="1917" spans="1:11" x14ac:dyDescent="0.25">
      <c r="A1917" t="s">
        <v>1592</v>
      </c>
      <c r="B1917" s="3">
        <v>46246</v>
      </c>
      <c r="C1917">
        <v>2010</v>
      </c>
      <c r="D1917" s="1">
        <v>0</v>
      </c>
      <c r="E1917" s="1">
        <v>17130.82</v>
      </c>
      <c r="F1917" t="s">
        <v>1593</v>
      </c>
      <c r="G1917" t="str">
        <f>_xlfn.XLOOKUP(C1917,tblCOA[AccountNo],tblCOA[AccountName],"Unmapped")</f>
        <v>Accounts Payable</v>
      </c>
      <c r="H1917" t="str">
        <f>_xlfn.XLOOKUP(C1917,tblCOA[AccountNo],tblCOA[Category],"Unmapped")</f>
        <v>Liabilities</v>
      </c>
      <c r="I1917" s="4">
        <f t="shared" si="87"/>
        <v>-17130.82</v>
      </c>
      <c r="J1917">
        <f t="shared" si="88"/>
        <v>2026</v>
      </c>
      <c r="K1917" s="5">
        <f t="shared" si="89"/>
        <v>46235</v>
      </c>
    </row>
    <row r="1918" spans="1:11" x14ac:dyDescent="0.25">
      <c r="A1918" t="s">
        <v>1822</v>
      </c>
      <c r="B1918" s="3">
        <v>46248</v>
      </c>
      <c r="C1918">
        <v>5010</v>
      </c>
      <c r="D1918" s="1">
        <v>19359.96</v>
      </c>
      <c r="E1918" s="1">
        <v>0</v>
      </c>
      <c r="F1918" t="s">
        <v>1823</v>
      </c>
      <c r="G1918" t="str">
        <f>_xlfn.XLOOKUP(C1918,tblCOA[AccountNo],tblCOA[AccountName],"Unmapped")</f>
        <v>Cost of Goods Sold</v>
      </c>
      <c r="H1918" t="str">
        <f>_xlfn.XLOOKUP(C1918,tblCOA[AccountNo],tblCOA[Category],"Unmapped")</f>
        <v>Expenses</v>
      </c>
      <c r="I1918" s="4">
        <f t="shared" si="87"/>
        <v>19359.96</v>
      </c>
      <c r="J1918">
        <f t="shared" si="88"/>
        <v>2026</v>
      </c>
      <c r="K1918" s="5">
        <f t="shared" si="89"/>
        <v>46235</v>
      </c>
    </row>
    <row r="1919" spans="1:11" x14ac:dyDescent="0.25">
      <c r="A1919" t="s">
        <v>1824</v>
      </c>
      <c r="B1919" s="3">
        <v>46248</v>
      </c>
      <c r="C1919">
        <v>2010</v>
      </c>
      <c r="D1919" s="1">
        <v>0</v>
      </c>
      <c r="E1919" s="1">
        <v>19359.96</v>
      </c>
      <c r="F1919" t="s">
        <v>1825</v>
      </c>
      <c r="G1919" t="str">
        <f>_xlfn.XLOOKUP(C1919,tblCOA[AccountNo],tblCOA[AccountName],"Unmapped")</f>
        <v>Accounts Payable</v>
      </c>
      <c r="H1919" t="str">
        <f>_xlfn.XLOOKUP(C1919,tblCOA[AccountNo],tblCOA[Category],"Unmapped")</f>
        <v>Liabilities</v>
      </c>
      <c r="I1919" s="4">
        <f t="shared" si="87"/>
        <v>-19359.96</v>
      </c>
      <c r="J1919">
        <f t="shared" si="88"/>
        <v>2026</v>
      </c>
      <c r="K1919" s="5">
        <f t="shared" si="89"/>
        <v>46235</v>
      </c>
    </row>
    <row r="1920" spans="1:11" x14ac:dyDescent="0.25">
      <c r="A1920" t="s">
        <v>1910</v>
      </c>
      <c r="B1920" s="3">
        <v>46250</v>
      </c>
      <c r="C1920">
        <v>5010</v>
      </c>
      <c r="D1920" s="1">
        <v>15681.57</v>
      </c>
      <c r="E1920" s="1">
        <v>0</v>
      </c>
      <c r="F1920" t="s">
        <v>1911</v>
      </c>
      <c r="G1920" t="str">
        <f>_xlfn.XLOOKUP(C1920,tblCOA[AccountNo],tblCOA[AccountName],"Unmapped")</f>
        <v>Cost of Goods Sold</v>
      </c>
      <c r="H1920" t="str">
        <f>_xlfn.XLOOKUP(C1920,tblCOA[AccountNo],tblCOA[Category],"Unmapped")</f>
        <v>Expenses</v>
      </c>
      <c r="I1920" s="4">
        <f t="shared" si="87"/>
        <v>15681.57</v>
      </c>
      <c r="J1920">
        <f t="shared" si="88"/>
        <v>2026</v>
      </c>
      <c r="K1920" s="5">
        <f t="shared" si="89"/>
        <v>46235</v>
      </c>
    </row>
    <row r="1921" spans="1:11" x14ac:dyDescent="0.25">
      <c r="A1921" t="s">
        <v>1912</v>
      </c>
      <c r="B1921" s="3">
        <v>46250</v>
      </c>
      <c r="C1921">
        <v>2010</v>
      </c>
      <c r="D1921" s="1">
        <v>0</v>
      </c>
      <c r="E1921" s="1">
        <v>15681.57</v>
      </c>
      <c r="F1921" t="s">
        <v>1913</v>
      </c>
      <c r="G1921" t="str">
        <f>_xlfn.XLOOKUP(C1921,tblCOA[AccountNo],tblCOA[AccountName],"Unmapped")</f>
        <v>Accounts Payable</v>
      </c>
      <c r="H1921" t="str">
        <f>_xlfn.XLOOKUP(C1921,tblCOA[AccountNo],tblCOA[Category],"Unmapped")</f>
        <v>Liabilities</v>
      </c>
      <c r="I1921" s="4">
        <f t="shared" si="87"/>
        <v>-15681.57</v>
      </c>
      <c r="J1921">
        <f t="shared" si="88"/>
        <v>2026</v>
      </c>
      <c r="K1921" s="5">
        <f t="shared" si="89"/>
        <v>46235</v>
      </c>
    </row>
    <row r="1922" spans="1:11" x14ac:dyDescent="0.25">
      <c r="A1922" t="s">
        <v>410</v>
      </c>
      <c r="B1922" s="3">
        <v>46251</v>
      </c>
      <c r="C1922">
        <v>1200</v>
      </c>
      <c r="D1922" s="1">
        <v>17803.080000000002</v>
      </c>
      <c r="E1922" s="1">
        <v>0</v>
      </c>
      <c r="F1922" t="s">
        <v>411</v>
      </c>
      <c r="G1922" t="str">
        <f>_xlfn.XLOOKUP(C1922,tblCOA[AccountNo],tblCOA[AccountName],"Unmapped")</f>
        <v>Accounts Receivable</v>
      </c>
      <c r="H1922" t="str">
        <f>_xlfn.XLOOKUP(C1922,tblCOA[AccountNo],tblCOA[Category],"Unmapped")</f>
        <v>Assets</v>
      </c>
      <c r="I1922" s="4">
        <f t="shared" ref="I1922:I1985" si="90">D1922-E1922</f>
        <v>17803.080000000002</v>
      </c>
      <c r="J1922">
        <f t="shared" ref="J1922:J1985" si="91">YEAR(B1922)</f>
        <v>2026</v>
      </c>
      <c r="K1922" s="5">
        <f t="shared" ref="K1922:K1985" si="92">DATE(YEAR(B1922),MONTH(B1922),1)</f>
        <v>46235</v>
      </c>
    </row>
    <row r="1923" spans="1:11" x14ac:dyDescent="0.25">
      <c r="A1923" t="s">
        <v>412</v>
      </c>
      <c r="B1923" s="3">
        <v>46251</v>
      </c>
      <c r="C1923">
        <v>4010</v>
      </c>
      <c r="D1923" s="1">
        <v>0</v>
      </c>
      <c r="E1923" s="1">
        <v>17803.080000000002</v>
      </c>
      <c r="F1923" t="s">
        <v>413</v>
      </c>
      <c r="G1923" t="str">
        <f>_xlfn.XLOOKUP(C1923,tblCOA[AccountNo],tblCOA[AccountName],"Unmapped")</f>
        <v>Product Sales</v>
      </c>
      <c r="H1923" t="str">
        <f>_xlfn.XLOOKUP(C1923,tblCOA[AccountNo],tblCOA[Category],"Unmapped")</f>
        <v>Revenue</v>
      </c>
      <c r="I1923" s="4">
        <f t="shared" si="90"/>
        <v>-17803.080000000002</v>
      </c>
      <c r="J1923">
        <f t="shared" si="91"/>
        <v>2026</v>
      </c>
      <c r="K1923" s="5">
        <f t="shared" si="92"/>
        <v>46235</v>
      </c>
    </row>
    <row r="1924" spans="1:11" x14ac:dyDescent="0.25">
      <c r="A1924" t="s">
        <v>2702</v>
      </c>
      <c r="B1924" s="3">
        <v>46252</v>
      </c>
      <c r="C1924">
        <v>5010</v>
      </c>
      <c r="D1924" s="1">
        <v>17978.419999999998</v>
      </c>
      <c r="E1924" s="1">
        <v>0</v>
      </c>
      <c r="F1924" t="s">
        <v>2703</v>
      </c>
      <c r="G1924" t="str">
        <f>_xlfn.XLOOKUP(C1924,tblCOA[AccountNo],tblCOA[AccountName],"Unmapped")</f>
        <v>Cost of Goods Sold</v>
      </c>
      <c r="H1924" t="str">
        <f>_xlfn.XLOOKUP(C1924,tblCOA[AccountNo],tblCOA[Category],"Unmapped")</f>
        <v>Expenses</v>
      </c>
      <c r="I1924" s="4">
        <f t="shared" si="90"/>
        <v>17978.419999999998</v>
      </c>
      <c r="J1924">
        <f t="shared" si="91"/>
        <v>2026</v>
      </c>
      <c r="K1924" s="5">
        <f t="shared" si="92"/>
        <v>46235</v>
      </c>
    </row>
    <row r="1925" spans="1:11" x14ac:dyDescent="0.25">
      <c r="A1925" t="s">
        <v>2704</v>
      </c>
      <c r="B1925" s="3">
        <v>46252</v>
      </c>
      <c r="C1925">
        <v>2010</v>
      </c>
      <c r="D1925" s="1">
        <v>0</v>
      </c>
      <c r="E1925" s="1">
        <v>17978.419999999998</v>
      </c>
      <c r="F1925" t="s">
        <v>2705</v>
      </c>
      <c r="G1925" t="str">
        <f>_xlfn.XLOOKUP(C1925,tblCOA[AccountNo],tblCOA[AccountName],"Unmapped")</f>
        <v>Accounts Payable</v>
      </c>
      <c r="H1925" t="str">
        <f>_xlfn.XLOOKUP(C1925,tblCOA[AccountNo],tblCOA[Category],"Unmapped")</f>
        <v>Liabilities</v>
      </c>
      <c r="I1925" s="4">
        <f t="shared" si="90"/>
        <v>-17978.419999999998</v>
      </c>
      <c r="J1925">
        <f t="shared" si="91"/>
        <v>2026</v>
      </c>
      <c r="K1925" s="5">
        <f t="shared" si="92"/>
        <v>46235</v>
      </c>
    </row>
    <row r="1926" spans="1:11" x14ac:dyDescent="0.25">
      <c r="A1926" t="s">
        <v>3278</v>
      </c>
      <c r="B1926" s="3">
        <v>46252</v>
      </c>
      <c r="C1926">
        <v>5010</v>
      </c>
      <c r="D1926" s="1">
        <v>16743.03</v>
      </c>
      <c r="E1926" s="1">
        <v>0</v>
      </c>
      <c r="F1926" t="s">
        <v>3279</v>
      </c>
      <c r="G1926" t="str">
        <f>_xlfn.XLOOKUP(C1926,tblCOA[AccountNo],tblCOA[AccountName],"Unmapped")</f>
        <v>Cost of Goods Sold</v>
      </c>
      <c r="H1926" t="str">
        <f>_xlfn.XLOOKUP(C1926,tblCOA[AccountNo],tblCOA[Category],"Unmapped")</f>
        <v>Expenses</v>
      </c>
      <c r="I1926" s="4">
        <f t="shared" si="90"/>
        <v>16743.03</v>
      </c>
      <c r="J1926">
        <f t="shared" si="91"/>
        <v>2026</v>
      </c>
      <c r="K1926" s="5">
        <f t="shared" si="92"/>
        <v>46235</v>
      </c>
    </row>
    <row r="1927" spans="1:11" x14ac:dyDescent="0.25">
      <c r="A1927" t="s">
        <v>3280</v>
      </c>
      <c r="B1927" s="3">
        <v>46252</v>
      </c>
      <c r="C1927">
        <v>2010</v>
      </c>
      <c r="D1927" s="1">
        <v>0</v>
      </c>
      <c r="E1927" s="1">
        <v>16743.03</v>
      </c>
      <c r="F1927" t="s">
        <v>3281</v>
      </c>
      <c r="G1927" t="str">
        <f>_xlfn.XLOOKUP(C1927,tblCOA[AccountNo],tblCOA[AccountName],"Unmapped")</f>
        <v>Accounts Payable</v>
      </c>
      <c r="H1927" t="str">
        <f>_xlfn.XLOOKUP(C1927,tblCOA[AccountNo],tblCOA[Category],"Unmapped")</f>
        <v>Liabilities</v>
      </c>
      <c r="I1927" s="4">
        <f t="shared" si="90"/>
        <v>-16743.03</v>
      </c>
      <c r="J1927">
        <f t="shared" si="91"/>
        <v>2026</v>
      </c>
      <c r="K1927" s="5">
        <f t="shared" si="92"/>
        <v>46235</v>
      </c>
    </row>
    <row r="1928" spans="1:11" x14ac:dyDescent="0.25">
      <c r="A1928" t="s">
        <v>686</v>
      </c>
      <c r="B1928" s="3">
        <v>46253</v>
      </c>
      <c r="C1928">
        <v>5010</v>
      </c>
      <c r="D1928" s="1">
        <v>13244.08</v>
      </c>
      <c r="E1928" s="1">
        <v>0</v>
      </c>
      <c r="F1928" t="s">
        <v>687</v>
      </c>
      <c r="G1928" t="str">
        <f>_xlfn.XLOOKUP(C1928,tblCOA[AccountNo],tblCOA[AccountName],"Unmapped")</f>
        <v>Cost of Goods Sold</v>
      </c>
      <c r="H1928" t="str">
        <f>_xlfn.XLOOKUP(C1928,tblCOA[AccountNo],tblCOA[Category],"Unmapped")</f>
        <v>Expenses</v>
      </c>
      <c r="I1928" s="4">
        <f t="shared" si="90"/>
        <v>13244.08</v>
      </c>
      <c r="J1928">
        <f t="shared" si="91"/>
        <v>2026</v>
      </c>
      <c r="K1928" s="5">
        <f t="shared" si="92"/>
        <v>46235</v>
      </c>
    </row>
    <row r="1929" spans="1:11" x14ac:dyDescent="0.25">
      <c r="A1929" t="s">
        <v>688</v>
      </c>
      <c r="B1929" s="3">
        <v>46253</v>
      </c>
      <c r="C1929">
        <v>2010</v>
      </c>
      <c r="D1929" s="1">
        <v>0</v>
      </c>
      <c r="E1929" s="1">
        <v>13244.08</v>
      </c>
      <c r="F1929" t="s">
        <v>689</v>
      </c>
      <c r="G1929" t="str">
        <f>_xlfn.XLOOKUP(C1929,tblCOA[AccountNo],tblCOA[AccountName],"Unmapped")</f>
        <v>Accounts Payable</v>
      </c>
      <c r="H1929" t="str">
        <f>_xlfn.XLOOKUP(C1929,tblCOA[AccountNo],tblCOA[Category],"Unmapped")</f>
        <v>Liabilities</v>
      </c>
      <c r="I1929" s="4">
        <f t="shared" si="90"/>
        <v>-13244.08</v>
      </c>
      <c r="J1929">
        <f t="shared" si="91"/>
        <v>2026</v>
      </c>
      <c r="K1929" s="5">
        <f t="shared" si="92"/>
        <v>46235</v>
      </c>
    </row>
    <row r="1930" spans="1:11" x14ac:dyDescent="0.25">
      <c r="A1930" t="s">
        <v>3394</v>
      </c>
      <c r="B1930" s="3">
        <v>46254</v>
      </c>
      <c r="C1930">
        <v>1200</v>
      </c>
      <c r="D1930" s="1">
        <v>7392.84</v>
      </c>
      <c r="E1930" s="1">
        <v>0</v>
      </c>
      <c r="F1930" t="s">
        <v>3395</v>
      </c>
      <c r="G1930" t="str">
        <f>_xlfn.XLOOKUP(C1930,tblCOA[AccountNo],tblCOA[AccountName],"Unmapped")</f>
        <v>Accounts Receivable</v>
      </c>
      <c r="H1930" t="str">
        <f>_xlfn.XLOOKUP(C1930,tblCOA[AccountNo],tblCOA[Category],"Unmapped")</f>
        <v>Assets</v>
      </c>
      <c r="I1930" s="4">
        <f t="shared" si="90"/>
        <v>7392.84</v>
      </c>
      <c r="J1930">
        <f t="shared" si="91"/>
        <v>2026</v>
      </c>
      <c r="K1930" s="5">
        <f t="shared" si="92"/>
        <v>46235</v>
      </c>
    </row>
    <row r="1931" spans="1:11" x14ac:dyDescent="0.25">
      <c r="A1931" t="s">
        <v>3396</v>
      </c>
      <c r="B1931" s="3">
        <v>46254</v>
      </c>
      <c r="C1931">
        <v>4010</v>
      </c>
      <c r="D1931" s="1">
        <v>0</v>
      </c>
      <c r="E1931" s="1">
        <v>7392.84</v>
      </c>
      <c r="F1931" t="s">
        <v>3397</v>
      </c>
      <c r="G1931" t="str">
        <f>_xlfn.XLOOKUP(C1931,tblCOA[AccountNo],tblCOA[AccountName],"Unmapped")</f>
        <v>Product Sales</v>
      </c>
      <c r="H1931" t="str">
        <f>_xlfn.XLOOKUP(C1931,tblCOA[AccountNo],tblCOA[Category],"Unmapped")</f>
        <v>Revenue</v>
      </c>
      <c r="I1931" s="4">
        <f t="shared" si="90"/>
        <v>-7392.84</v>
      </c>
      <c r="J1931">
        <f t="shared" si="91"/>
        <v>2026</v>
      </c>
      <c r="K1931" s="5">
        <f t="shared" si="92"/>
        <v>46235</v>
      </c>
    </row>
    <row r="1932" spans="1:11" x14ac:dyDescent="0.25">
      <c r="A1932" t="s">
        <v>3990</v>
      </c>
      <c r="B1932" s="3">
        <v>46256</v>
      </c>
      <c r="C1932">
        <v>5010</v>
      </c>
      <c r="D1932" s="1">
        <v>3024.54</v>
      </c>
      <c r="E1932" s="1">
        <v>0</v>
      </c>
      <c r="F1932" t="s">
        <v>3991</v>
      </c>
      <c r="G1932" t="str">
        <f>_xlfn.XLOOKUP(C1932,tblCOA[AccountNo],tblCOA[AccountName],"Unmapped")</f>
        <v>Cost of Goods Sold</v>
      </c>
      <c r="H1932" t="str">
        <f>_xlfn.XLOOKUP(C1932,tblCOA[AccountNo],tblCOA[Category],"Unmapped")</f>
        <v>Expenses</v>
      </c>
      <c r="I1932" s="4">
        <f t="shared" si="90"/>
        <v>3024.54</v>
      </c>
      <c r="J1932">
        <f t="shared" si="91"/>
        <v>2026</v>
      </c>
      <c r="K1932" s="5">
        <f t="shared" si="92"/>
        <v>46235</v>
      </c>
    </row>
    <row r="1933" spans="1:11" x14ac:dyDescent="0.25">
      <c r="A1933" t="s">
        <v>3992</v>
      </c>
      <c r="B1933" s="3">
        <v>46256</v>
      </c>
      <c r="C1933">
        <v>2010</v>
      </c>
      <c r="D1933" s="1">
        <v>0</v>
      </c>
      <c r="E1933" s="1">
        <v>3024.54</v>
      </c>
      <c r="F1933" t="s">
        <v>3993</v>
      </c>
      <c r="G1933" t="str">
        <f>_xlfn.XLOOKUP(C1933,tblCOA[AccountNo],tblCOA[AccountName],"Unmapped")</f>
        <v>Accounts Payable</v>
      </c>
      <c r="H1933" t="str">
        <f>_xlfn.XLOOKUP(C1933,tblCOA[AccountNo],tblCOA[Category],"Unmapped")</f>
        <v>Liabilities</v>
      </c>
      <c r="I1933" s="4">
        <f t="shared" si="90"/>
        <v>-3024.54</v>
      </c>
      <c r="J1933">
        <f t="shared" si="91"/>
        <v>2026</v>
      </c>
      <c r="K1933" s="5">
        <f t="shared" si="92"/>
        <v>46235</v>
      </c>
    </row>
    <row r="1934" spans="1:11" x14ac:dyDescent="0.25">
      <c r="A1934" t="s">
        <v>3902</v>
      </c>
      <c r="B1934" s="3">
        <v>46258</v>
      </c>
      <c r="C1934">
        <v>5010</v>
      </c>
      <c r="D1934" s="1">
        <v>1017.74</v>
      </c>
      <c r="E1934" s="1">
        <v>0</v>
      </c>
      <c r="F1934" t="s">
        <v>3903</v>
      </c>
      <c r="G1934" t="str">
        <f>_xlfn.XLOOKUP(C1934,tblCOA[AccountNo],tblCOA[AccountName],"Unmapped")</f>
        <v>Cost of Goods Sold</v>
      </c>
      <c r="H1934" t="str">
        <f>_xlfn.XLOOKUP(C1934,tblCOA[AccountNo],tblCOA[Category],"Unmapped")</f>
        <v>Expenses</v>
      </c>
      <c r="I1934" s="4">
        <f t="shared" si="90"/>
        <v>1017.74</v>
      </c>
      <c r="J1934">
        <f t="shared" si="91"/>
        <v>2026</v>
      </c>
      <c r="K1934" s="5">
        <f t="shared" si="92"/>
        <v>46235</v>
      </c>
    </row>
    <row r="1935" spans="1:11" x14ac:dyDescent="0.25">
      <c r="A1935" t="s">
        <v>3904</v>
      </c>
      <c r="B1935" s="3">
        <v>46258</v>
      </c>
      <c r="C1935">
        <v>2010</v>
      </c>
      <c r="D1935" s="1">
        <v>0</v>
      </c>
      <c r="E1935" s="1">
        <v>1017.74</v>
      </c>
      <c r="F1935" t="s">
        <v>3905</v>
      </c>
      <c r="G1935" t="str">
        <f>_xlfn.XLOOKUP(C1935,tblCOA[AccountNo],tblCOA[AccountName],"Unmapped")</f>
        <v>Accounts Payable</v>
      </c>
      <c r="H1935" t="str">
        <f>_xlfn.XLOOKUP(C1935,tblCOA[AccountNo],tblCOA[Category],"Unmapped")</f>
        <v>Liabilities</v>
      </c>
      <c r="I1935" s="4">
        <f t="shared" si="90"/>
        <v>-1017.74</v>
      </c>
      <c r="J1935">
        <f t="shared" si="91"/>
        <v>2026</v>
      </c>
      <c r="K1935" s="5">
        <f t="shared" si="92"/>
        <v>46235</v>
      </c>
    </row>
    <row r="1936" spans="1:11" x14ac:dyDescent="0.25">
      <c r="A1936" t="s">
        <v>3622</v>
      </c>
      <c r="B1936" s="3">
        <v>46259</v>
      </c>
      <c r="C1936">
        <v>5010</v>
      </c>
      <c r="D1936" s="1">
        <v>17979.810000000001</v>
      </c>
      <c r="E1936" s="1">
        <v>0</v>
      </c>
      <c r="F1936" t="s">
        <v>3623</v>
      </c>
      <c r="G1936" t="str">
        <f>_xlfn.XLOOKUP(C1936,tblCOA[AccountNo],tblCOA[AccountName],"Unmapped")</f>
        <v>Cost of Goods Sold</v>
      </c>
      <c r="H1936" t="str">
        <f>_xlfn.XLOOKUP(C1936,tblCOA[AccountNo],tblCOA[Category],"Unmapped")</f>
        <v>Expenses</v>
      </c>
      <c r="I1936" s="4">
        <f t="shared" si="90"/>
        <v>17979.810000000001</v>
      </c>
      <c r="J1936">
        <f t="shared" si="91"/>
        <v>2026</v>
      </c>
      <c r="K1936" s="5">
        <f t="shared" si="92"/>
        <v>46235</v>
      </c>
    </row>
    <row r="1937" spans="1:11" x14ac:dyDescent="0.25">
      <c r="A1937" t="s">
        <v>3624</v>
      </c>
      <c r="B1937" s="3">
        <v>46259</v>
      </c>
      <c r="C1937">
        <v>2010</v>
      </c>
      <c r="D1937" s="1">
        <v>0</v>
      </c>
      <c r="E1937" s="1">
        <v>17979.810000000001</v>
      </c>
      <c r="F1937" t="s">
        <v>3625</v>
      </c>
      <c r="G1937" t="str">
        <f>_xlfn.XLOOKUP(C1937,tblCOA[AccountNo],tblCOA[AccountName],"Unmapped")</f>
        <v>Accounts Payable</v>
      </c>
      <c r="H1937" t="str">
        <f>_xlfn.XLOOKUP(C1937,tblCOA[AccountNo],tblCOA[Category],"Unmapped")</f>
        <v>Liabilities</v>
      </c>
      <c r="I1937" s="4">
        <f t="shared" si="90"/>
        <v>-17979.810000000001</v>
      </c>
      <c r="J1937">
        <f t="shared" si="91"/>
        <v>2026</v>
      </c>
      <c r="K1937" s="5">
        <f t="shared" si="92"/>
        <v>46235</v>
      </c>
    </row>
    <row r="1938" spans="1:11" x14ac:dyDescent="0.25">
      <c r="A1938" t="s">
        <v>3402</v>
      </c>
      <c r="B1938" s="3">
        <v>46260</v>
      </c>
      <c r="C1938">
        <v>1200</v>
      </c>
      <c r="D1938" s="1">
        <v>32674.33</v>
      </c>
      <c r="E1938" s="1">
        <v>0</v>
      </c>
      <c r="F1938" t="s">
        <v>3403</v>
      </c>
      <c r="G1938" t="str">
        <f>_xlfn.XLOOKUP(C1938,tblCOA[AccountNo],tblCOA[AccountName],"Unmapped")</f>
        <v>Accounts Receivable</v>
      </c>
      <c r="H1938" t="str">
        <f>_xlfn.XLOOKUP(C1938,tblCOA[AccountNo],tblCOA[Category],"Unmapped")</f>
        <v>Assets</v>
      </c>
      <c r="I1938" s="4">
        <f t="shared" si="90"/>
        <v>32674.33</v>
      </c>
      <c r="J1938">
        <f t="shared" si="91"/>
        <v>2026</v>
      </c>
      <c r="K1938" s="5">
        <f t="shared" si="92"/>
        <v>46235</v>
      </c>
    </row>
    <row r="1939" spans="1:11" x14ac:dyDescent="0.25">
      <c r="A1939" t="s">
        <v>3404</v>
      </c>
      <c r="B1939" s="3">
        <v>46260</v>
      </c>
      <c r="C1939">
        <v>4010</v>
      </c>
      <c r="D1939" s="1">
        <v>0</v>
      </c>
      <c r="E1939" s="1">
        <v>32674.33</v>
      </c>
      <c r="F1939" t="s">
        <v>3405</v>
      </c>
      <c r="G1939" t="str">
        <f>_xlfn.XLOOKUP(C1939,tblCOA[AccountNo],tblCOA[AccountName],"Unmapped")</f>
        <v>Product Sales</v>
      </c>
      <c r="H1939" t="str">
        <f>_xlfn.XLOOKUP(C1939,tblCOA[AccountNo],tblCOA[Category],"Unmapped")</f>
        <v>Revenue</v>
      </c>
      <c r="I1939" s="4">
        <f t="shared" si="90"/>
        <v>-32674.33</v>
      </c>
      <c r="J1939">
        <f t="shared" si="91"/>
        <v>2026</v>
      </c>
      <c r="K1939" s="5">
        <f t="shared" si="92"/>
        <v>46235</v>
      </c>
    </row>
    <row r="1940" spans="1:11" x14ac:dyDescent="0.25">
      <c r="A1940" t="s">
        <v>2370</v>
      </c>
      <c r="B1940" s="3">
        <v>46264</v>
      </c>
      <c r="C1940">
        <v>1200</v>
      </c>
      <c r="D1940" s="1">
        <v>5486.03</v>
      </c>
      <c r="E1940" s="1">
        <v>0</v>
      </c>
      <c r="F1940" t="s">
        <v>2371</v>
      </c>
      <c r="G1940" t="str">
        <f>_xlfn.XLOOKUP(C1940,tblCOA[AccountNo],tblCOA[AccountName],"Unmapped")</f>
        <v>Accounts Receivable</v>
      </c>
      <c r="H1940" t="str">
        <f>_xlfn.XLOOKUP(C1940,tblCOA[AccountNo],tblCOA[Category],"Unmapped")</f>
        <v>Assets</v>
      </c>
      <c r="I1940" s="4">
        <f t="shared" si="90"/>
        <v>5486.03</v>
      </c>
      <c r="J1940">
        <f t="shared" si="91"/>
        <v>2026</v>
      </c>
      <c r="K1940" s="5">
        <f t="shared" si="92"/>
        <v>46235</v>
      </c>
    </row>
    <row r="1941" spans="1:11" x14ac:dyDescent="0.25">
      <c r="A1941" t="s">
        <v>2372</v>
      </c>
      <c r="B1941" s="3">
        <v>46264</v>
      </c>
      <c r="C1941">
        <v>4010</v>
      </c>
      <c r="D1941" s="1">
        <v>0</v>
      </c>
      <c r="E1941" s="1">
        <v>5486.03</v>
      </c>
      <c r="F1941" t="s">
        <v>2373</v>
      </c>
      <c r="G1941" t="str">
        <f>_xlfn.XLOOKUP(C1941,tblCOA[AccountNo],tblCOA[AccountName],"Unmapped")</f>
        <v>Product Sales</v>
      </c>
      <c r="H1941" t="str">
        <f>_xlfn.XLOOKUP(C1941,tblCOA[AccountNo],tblCOA[Category],"Unmapped")</f>
        <v>Revenue</v>
      </c>
      <c r="I1941" s="4">
        <f t="shared" si="90"/>
        <v>-5486.03</v>
      </c>
      <c r="J1941">
        <f t="shared" si="91"/>
        <v>2026</v>
      </c>
      <c r="K1941" s="5">
        <f t="shared" si="92"/>
        <v>46235</v>
      </c>
    </row>
    <row r="1942" spans="1:11" x14ac:dyDescent="0.25">
      <c r="A1942" t="s">
        <v>586</v>
      </c>
      <c r="B1942" s="3">
        <v>46264</v>
      </c>
      <c r="C1942">
        <v>1200</v>
      </c>
      <c r="D1942" s="1">
        <v>40493.879999999997</v>
      </c>
      <c r="E1942" s="1">
        <v>0</v>
      </c>
      <c r="F1942" t="s">
        <v>587</v>
      </c>
      <c r="G1942" t="str">
        <f>_xlfn.XLOOKUP(C1942,tblCOA[AccountNo],tblCOA[AccountName],"Unmapped")</f>
        <v>Accounts Receivable</v>
      </c>
      <c r="H1942" t="str">
        <f>_xlfn.XLOOKUP(C1942,tblCOA[AccountNo],tblCOA[Category],"Unmapped")</f>
        <v>Assets</v>
      </c>
      <c r="I1942" s="4">
        <f t="shared" si="90"/>
        <v>40493.879999999997</v>
      </c>
      <c r="J1942">
        <f t="shared" si="91"/>
        <v>2026</v>
      </c>
      <c r="K1942" s="5">
        <f t="shared" si="92"/>
        <v>46235</v>
      </c>
    </row>
    <row r="1943" spans="1:11" x14ac:dyDescent="0.25">
      <c r="A1943" t="s">
        <v>588</v>
      </c>
      <c r="B1943" s="3">
        <v>46264</v>
      </c>
      <c r="C1943">
        <v>4010</v>
      </c>
      <c r="D1943" s="1">
        <v>0</v>
      </c>
      <c r="E1943" s="1">
        <v>40493.879999999997</v>
      </c>
      <c r="F1943" t="s">
        <v>589</v>
      </c>
      <c r="G1943" t="str">
        <f>_xlfn.XLOOKUP(C1943,tblCOA[AccountNo],tblCOA[AccountName],"Unmapped")</f>
        <v>Product Sales</v>
      </c>
      <c r="H1943" t="str">
        <f>_xlfn.XLOOKUP(C1943,tblCOA[AccountNo],tblCOA[Category],"Unmapped")</f>
        <v>Revenue</v>
      </c>
      <c r="I1943" s="4">
        <f t="shared" si="90"/>
        <v>-40493.879999999997</v>
      </c>
      <c r="J1943">
        <f t="shared" si="91"/>
        <v>2026</v>
      </c>
      <c r="K1943" s="5">
        <f t="shared" si="92"/>
        <v>46235</v>
      </c>
    </row>
    <row r="1944" spans="1:11" x14ac:dyDescent="0.25">
      <c r="A1944" t="s">
        <v>3910</v>
      </c>
      <c r="B1944" s="3">
        <v>46268</v>
      </c>
      <c r="C1944">
        <v>5010</v>
      </c>
      <c r="D1944" s="1">
        <v>13656.14</v>
      </c>
      <c r="E1944" s="1">
        <v>0</v>
      </c>
      <c r="F1944" t="s">
        <v>3911</v>
      </c>
      <c r="G1944" t="str">
        <f>_xlfn.XLOOKUP(C1944,tblCOA[AccountNo],tblCOA[AccountName],"Unmapped")</f>
        <v>Cost of Goods Sold</v>
      </c>
      <c r="H1944" t="str">
        <f>_xlfn.XLOOKUP(C1944,tblCOA[AccountNo],tblCOA[Category],"Unmapped")</f>
        <v>Expenses</v>
      </c>
      <c r="I1944" s="4">
        <f t="shared" si="90"/>
        <v>13656.14</v>
      </c>
      <c r="J1944">
        <f t="shared" si="91"/>
        <v>2026</v>
      </c>
      <c r="K1944" s="5">
        <f t="shared" si="92"/>
        <v>46266</v>
      </c>
    </row>
    <row r="1945" spans="1:11" x14ac:dyDescent="0.25">
      <c r="A1945" t="s">
        <v>3912</v>
      </c>
      <c r="B1945" s="3">
        <v>46268</v>
      </c>
      <c r="C1945">
        <v>2010</v>
      </c>
      <c r="D1945" s="1">
        <v>0</v>
      </c>
      <c r="E1945" s="1">
        <v>13656.14</v>
      </c>
      <c r="F1945" t="s">
        <v>3913</v>
      </c>
      <c r="G1945" t="str">
        <f>_xlfn.XLOOKUP(C1945,tblCOA[AccountNo],tblCOA[AccountName],"Unmapped")</f>
        <v>Accounts Payable</v>
      </c>
      <c r="H1945" t="str">
        <f>_xlfn.XLOOKUP(C1945,tblCOA[AccountNo],tblCOA[Category],"Unmapped")</f>
        <v>Liabilities</v>
      </c>
      <c r="I1945" s="4">
        <f t="shared" si="90"/>
        <v>-13656.14</v>
      </c>
      <c r="J1945">
        <f t="shared" si="91"/>
        <v>2026</v>
      </c>
      <c r="K1945" s="5">
        <f t="shared" si="92"/>
        <v>46266</v>
      </c>
    </row>
    <row r="1946" spans="1:11" x14ac:dyDescent="0.25">
      <c r="A1946" t="s">
        <v>450</v>
      </c>
      <c r="B1946" s="3">
        <v>46268</v>
      </c>
      <c r="C1946">
        <v>1200</v>
      </c>
      <c r="D1946" s="1">
        <v>42355.06</v>
      </c>
      <c r="E1946" s="1">
        <v>0</v>
      </c>
      <c r="F1946" t="s">
        <v>451</v>
      </c>
      <c r="G1946" t="str">
        <f>_xlfn.XLOOKUP(C1946,tblCOA[AccountNo],tblCOA[AccountName],"Unmapped")</f>
        <v>Accounts Receivable</v>
      </c>
      <c r="H1946" t="str">
        <f>_xlfn.XLOOKUP(C1946,tblCOA[AccountNo],tblCOA[Category],"Unmapped")</f>
        <v>Assets</v>
      </c>
      <c r="I1946" s="4">
        <f t="shared" si="90"/>
        <v>42355.06</v>
      </c>
      <c r="J1946">
        <f t="shared" si="91"/>
        <v>2026</v>
      </c>
      <c r="K1946" s="5">
        <f t="shared" si="92"/>
        <v>46266</v>
      </c>
    </row>
    <row r="1947" spans="1:11" x14ac:dyDescent="0.25">
      <c r="A1947" t="s">
        <v>452</v>
      </c>
      <c r="B1947" s="3">
        <v>46268</v>
      </c>
      <c r="C1947">
        <v>4010</v>
      </c>
      <c r="D1947" s="1">
        <v>0</v>
      </c>
      <c r="E1947" s="1">
        <v>42355.06</v>
      </c>
      <c r="F1947" t="s">
        <v>453</v>
      </c>
      <c r="G1947" t="str">
        <f>_xlfn.XLOOKUP(C1947,tblCOA[AccountNo],tblCOA[AccountName],"Unmapped")</f>
        <v>Product Sales</v>
      </c>
      <c r="H1947" t="str">
        <f>_xlfn.XLOOKUP(C1947,tblCOA[AccountNo],tblCOA[Category],"Unmapped")</f>
        <v>Revenue</v>
      </c>
      <c r="I1947" s="4">
        <f t="shared" si="90"/>
        <v>-42355.06</v>
      </c>
      <c r="J1947">
        <f t="shared" si="91"/>
        <v>2026</v>
      </c>
      <c r="K1947" s="5">
        <f t="shared" si="92"/>
        <v>46266</v>
      </c>
    </row>
    <row r="1948" spans="1:11" x14ac:dyDescent="0.25">
      <c r="A1948" t="s">
        <v>2746</v>
      </c>
      <c r="B1948" s="3">
        <v>46271</v>
      </c>
      <c r="C1948">
        <v>1200</v>
      </c>
      <c r="D1948" s="1">
        <v>34627.410000000003</v>
      </c>
      <c r="E1948" s="1">
        <v>0</v>
      </c>
      <c r="F1948" t="s">
        <v>2747</v>
      </c>
      <c r="G1948" t="str">
        <f>_xlfn.XLOOKUP(C1948,tblCOA[AccountNo],tblCOA[AccountName],"Unmapped")</f>
        <v>Accounts Receivable</v>
      </c>
      <c r="H1948" t="str">
        <f>_xlfn.XLOOKUP(C1948,tblCOA[AccountNo],tblCOA[Category],"Unmapped")</f>
        <v>Assets</v>
      </c>
      <c r="I1948" s="4">
        <f t="shared" si="90"/>
        <v>34627.410000000003</v>
      </c>
      <c r="J1948">
        <f t="shared" si="91"/>
        <v>2026</v>
      </c>
      <c r="K1948" s="5">
        <f t="shared" si="92"/>
        <v>46266</v>
      </c>
    </row>
    <row r="1949" spans="1:11" x14ac:dyDescent="0.25">
      <c r="A1949" t="s">
        <v>2748</v>
      </c>
      <c r="B1949" s="3">
        <v>46271</v>
      </c>
      <c r="C1949">
        <v>4010</v>
      </c>
      <c r="D1949" s="1">
        <v>0</v>
      </c>
      <c r="E1949" s="1">
        <v>34627.410000000003</v>
      </c>
      <c r="F1949" t="s">
        <v>2749</v>
      </c>
      <c r="G1949" t="str">
        <f>_xlfn.XLOOKUP(C1949,tblCOA[AccountNo],tblCOA[AccountName],"Unmapped")</f>
        <v>Product Sales</v>
      </c>
      <c r="H1949" t="str">
        <f>_xlfn.XLOOKUP(C1949,tblCOA[AccountNo],tblCOA[Category],"Unmapped")</f>
        <v>Revenue</v>
      </c>
      <c r="I1949" s="4">
        <f t="shared" si="90"/>
        <v>-34627.410000000003</v>
      </c>
      <c r="J1949">
        <f t="shared" si="91"/>
        <v>2026</v>
      </c>
      <c r="K1949" s="5">
        <f t="shared" si="92"/>
        <v>46266</v>
      </c>
    </row>
    <row r="1950" spans="1:11" x14ac:dyDescent="0.25">
      <c r="A1950" t="s">
        <v>3882</v>
      </c>
      <c r="B1950" s="3">
        <v>46273</v>
      </c>
      <c r="C1950">
        <v>1200</v>
      </c>
      <c r="D1950" s="1">
        <v>6350.45</v>
      </c>
      <c r="E1950" s="1">
        <v>0</v>
      </c>
      <c r="F1950" t="s">
        <v>3883</v>
      </c>
      <c r="G1950" t="str">
        <f>_xlfn.XLOOKUP(C1950,tblCOA[AccountNo],tblCOA[AccountName],"Unmapped")</f>
        <v>Accounts Receivable</v>
      </c>
      <c r="H1950" t="str">
        <f>_xlfn.XLOOKUP(C1950,tblCOA[AccountNo],tblCOA[Category],"Unmapped")</f>
        <v>Assets</v>
      </c>
      <c r="I1950" s="4">
        <f t="shared" si="90"/>
        <v>6350.45</v>
      </c>
      <c r="J1950">
        <f t="shared" si="91"/>
        <v>2026</v>
      </c>
      <c r="K1950" s="5">
        <f t="shared" si="92"/>
        <v>46266</v>
      </c>
    </row>
    <row r="1951" spans="1:11" x14ac:dyDescent="0.25">
      <c r="A1951" t="s">
        <v>3884</v>
      </c>
      <c r="B1951" s="3">
        <v>46273</v>
      </c>
      <c r="C1951">
        <v>4010</v>
      </c>
      <c r="D1951" s="1">
        <v>0</v>
      </c>
      <c r="E1951" s="1">
        <v>6350.45</v>
      </c>
      <c r="F1951" t="s">
        <v>3885</v>
      </c>
      <c r="G1951" t="str">
        <f>_xlfn.XLOOKUP(C1951,tblCOA[AccountNo],tblCOA[AccountName],"Unmapped")</f>
        <v>Product Sales</v>
      </c>
      <c r="H1951" t="str">
        <f>_xlfn.XLOOKUP(C1951,tblCOA[AccountNo],tblCOA[Category],"Unmapped")</f>
        <v>Revenue</v>
      </c>
      <c r="I1951" s="4">
        <f t="shared" si="90"/>
        <v>-6350.45</v>
      </c>
      <c r="J1951">
        <f t="shared" si="91"/>
        <v>2026</v>
      </c>
      <c r="K1951" s="5">
        <f t="shared" si="92"/>
        <v>46266</v>
      </c>
    </row>
    <row r="1952" spans="1:11" x14ac:dyDescent="0.25">
      <c r="A1952" t="s">
        <v>3850</v>
      </c>
      <c r="B1952" s="3">
        <v>46274</v>
      </c>
      <c r="C1952">
        <v>1200</v>
      </c>
      <c r="D1952" s="1">
        <v>41454.800000000003</v>
      </c>
      <c r="E1952" s="1">
        <v>0</v>
      </c>
      <c r="F1952" t="s">
        <v>3851</v>
      </c>
      <c r="G1952" t="str">
        <f>_xlfn.XLOOKUP(C1952,tblCOA[AccountNo],tblCOA[AccountName],"Unmapped")</f>
        <v>Accounts Receivable</v>
      </c>
      <c r="H1952" t="str">
        <f>_xlfn.XLOOKUP(C1952,tblCOA[AccountNo],tblCOA[Category],"Unmapped")</f>
        <v>Assets</v>
      </c>
      <c r="I1952" s="4">
        <f t="shared" si="90"/>
        <v>41454.800000000003</v>
      </c>
      <c r="J1952">
        <f t="shared" si="91"/>
        <v>2026</v>
      </c>
      <c r="K1952" s="5">
        <f t="shared" si="92"/>
        <v>46266</v>
      </c>
    </row>
    <row r="1953" spans="1:11" x14ac:dyDescent="0.25">
      <c r="A1953" t="s">
        <v>3852</v>
      </c>
      <c r="B1953" s="3">
        <v>46274</v>
      </c>
      <c r="C1953">
        <v>4010</v>
      </c>
      <c r="D1953" s="1">
        <v>0</v>
      </c>
      <c r="E1953" s="1">
        <v>41454.800000000003</v>
      </c>
      <c r="F1953" t="s">
        <v>3853</v>
      </c>
      <c r="G1953" t="str">
        <f>_xlfn.XLOOKUP(C1953,tblCOA[AccountNo],tblCOA[AccountName],"Unmapped")</f>
        <v>Product Sales</v>
      </c>
      <c r="H1953" t="str">
        <f>_xlfn.XLOOKUP(C1953,tblCOA[AccountNo],tblCOA[Category],"Unmapped")</f>
        <v>Revenue</v>
      </c>
      <c r="I1953" s="4">
        <f t="shared" si="90"/>
        <v>-41454.800000000003</v>
      </c>
      <c r="J1953">
        <f t="shared" si="91"/>
        <v>2026</v>
      </c>
      <c r="K1953" s="5">
        <f t="shared" si="92"/>
        <v>46266</v>
      </c>
    </row>
    <row r="1954" spans="1:11" x14ac:dyDescent="0.25">
      <c r="A1954" t="s">
        <v>2190</v>
      </c>
      <c r="B1954" s="3">
        <v>46276</v>
      </c>
      <c r="C1954">
        <v>5010</v>
      </c>
      <c r="D1954" s="1">
        <v>17432.650000000001</v>
      </c>
      <c r="E1954" s="1">
        <v>0</v>
      </c>
      <c r="F1954" t="s">
        <v>2191</v>
      </c>
      <c r="G1954" t="str">
        <f>_xlfn.XLOOKUP(C1954,tblCOA[AccountNo],tblCOA[AccountName],"Unmapped")</f>
        <v>Cost of Goods Sold</v>
      </c>
      <c r="H1954" t="str">
        <f>_xlfn.XLOOKUP(C1954,tblCOA[AccountNo],tblCOA[Category],"Unmapped")</f>
        <v>Expenses</v>
      </c>
      <c r="I1954" s="4">
        <f t="shared" si="90"/>
        <v>17432.650000000001</v>
      </c>
      <c r="J1954">
        <f t="shared" si="91"/>
        <v>2026</v>
      </c>
      <c r="K1954" s="5">
        <f t="shared" si="92"/>
        <v>46266</v>
      </c>
    </row>
    <row r="1955" spans="1:11" x14ac:dyDescent="0.25">
      <c r="A1955" t="s">
        <v>2192</v>
      </c>
      <c r="B1955" s="3">
        <v>46276</v>
      </c>
      <c r="C1955">
        <v>2010</v>
      </c>
      <c r="D1955" s="1">
        <v>0</v>
      </c>
      <c r="E1955" s="1">
        <v>17432.650000000001</v>
      </c>
      <c r="F1955" t="s">
        <v>2193</v>
      </c>
      <c r="G1955" t="str">
        <f>_xlfn.XLOOKUP(C1955,tblCOA[AccountNo],tblCOA[AccountName],"Unmapped")</f>
        <v>Accounts Payable</v>
      </c>
      <c r="H1955" t="str">
        <f>_xlfn.XLOOKUP(C1955,tblCOA[AccountNo],tblCOA[Category],"Unmapped")</f>
        <v>Liabilities</v>
      </c>
      <c r="I1955" s="4">
        <f t="shared" si="90"/>
        <v>-17432.650000000001</v>
      </c>
      <c r="J1955">
        <f t="shared" si="91"/>
        <v>2026</v>
      </c>
      <c r="K1955" s="5">
        <f t="shared" si="92"/>
        <v>46266</v>
      </c>
    </row>
    <row r="1956" spans="1:11" x14ac:dyDescent="0.25">
      <c r="A1956" t="s">
        <v>1366</v>
      </c>
      <c r="B1956" s="3">
        <v>46277</v>
      </c>
      <c r="C1956">
        <v>5010</v>
      </c>
      <c r="D1956" s="1">
        <v>9741.84</v>
      </c>
      <c r="E1956" s="1">
        <v>0</v>
      </c>
      <c r="F1956" t="s">
        <v>1367</v>
      </c>
      <c r="G1956" t="str">
        <f>_xlfn.XLOOKUP(C1956,tblCOA[AccountNo],tblCOA[AccountName],"Unmapped")</f>
        <v>Cost of Goods Sold</v>
      </c>
      <c r="H1956" t="str">
        <f>_xlfn.XLOOKUP(C1956,tblCOA[AccountNo],tblCOA[Category],"Unmapped")</f>
        <v>Expenses</v>
      </c>
      <c r="I1956" s="4">
        <f t="shared" si="90"/>
        <v>9741.84</v>
      </c>
      <c r="J1956">
        <f t="shared" si="91"/>
        <v>2026</v>
      </c>
      <c r="K1956" s="5">
        <f t="shared" si="92"/>
        <v>46266</v>
      </c>
    </row>
    <row r="1957" spans="1:11" x14ac:dyDescent="0.25">
      <c r="A1957" t="s">
        <v>1368</v>
      </c>
      <c r="B1957" s="3">
        <v>46277</v>
      </c>
      <c r="C1957">
        <v>2010</v>
      </c>
      <c r="D1957" s="1">
        <v>0</v>
      </c>
      <c r="E1957" s="1">
        <v>9741.84</v>
      </c>
      <c r="F1957" t="s">
        <v>1369</v>
      </c>
      <c r="G1957" t="str">
        <f>_xlfn.XLOOKUP(C1957,tblCOA[AccountNo],tblCOA[AccountName],"Unmapped")</f>
        <v>Accounts Payable</v>
      </c>
      <c r="H1957" t="str">
        <f>_xlfn.XLOOKUP(C1957,tblCOA[AccountNo],tblCOA[Category],"Unmapped")</f>
        <v>Liabilities</v>
      </c>
      <c r="I1957" s="4">
        <f t="shared" si="90"/>
        <v>-9741.84</v>
      </c>
      <c r="J1957">
        <f t="shared" si="91"/>
        <v>2026</v>
      </c>
      <c r="K1957" s="5">
        <f t="shared" si="92"/>
        <v>46266</v>
      </c>
    </row>
    <row r="1958" spans="1:11" x14ac:dyDescent="0.25">
      <c r="A1958" t="s">
        <v>2538</v>
      </c>
      <c r="B1958" s="3">
        <v>46283</v>
      </c>
      <c r="C1958">
        <v>1200</v>
      </c>
      <c r="D1958" s="1">
        <v>36742.01</v>
      </c>
      <c r="E1958" s="1">
        <v>0</v>
      </c>
      <c r="F1958" t="s">
        <v>2539</v>
      </c>
      <c r="G1958" t="str">
        <f>_xlfn.XLOOKUP(C1958,tblCOA[AccountNo],tblCOA[AccountName],"Unmapped")</f>
        <v>Accounts Receivable</v>
      </c>
      <c r="H1958" t="str">
        <f>_xlfn.XLOOKUP(C1958,tblCOA[AccountNo],tblCOA[Category],"Unmapped")</f>
        <v>Assets</v>
      </c>
      <c r="I1958" s="4">
        <f t="shared" si="90"/>
        <v>36742.01</v>
      </c>
      <c r="J1958">
        <f t="shared" si="91"/>
        <v>2026</v>
      </c>
      <c r="K1958" s="5">
        <f t="shared" si="92"/>
        <v>46266</v>
      </c>
    </row>
    <row r="1959" spans="1:11" x14ac:dyDescent="0.25">
      <c r="A1959" t="s">
        <v>2540</v>
      </c>
      <c r="B1959" s="3">
        <v>46283</v>
      </c>
      <c r="C1959">
        <v>4010</v>
      </c>
      <c r="D1959" s="1">
        <v>0</v>
      </c>
      <c r="E1959" s="1">
        <v>36742.01</v>
      </c>
      <c r="F1959" t="s">
        <v>2541</v>
      </c>
      <c r="G1959" t="str">
        <f>_xlfn.XLOOKUP(C1959,tblCOA[AccountNo],tblCOA[AccountName],"Unmapped")</f>
        <v>Product Sales</v>
      </c>
      <c r="H1959" t="str">
        <f>_xlfn.XLOOKUP(C1959,tblCOA[AccountNo],tblCOA[Category],"Unmapped")</f>
        <v>Revenue</v>
      </c>
      <c r="I1959" s="4">
        <f t="shared" si="90"/>
        <v>-36742.01</v>
      </c>
      <c r="J1959">
        <f t="shared" si="91"/>
        <v>2026</v>
      </c>
      <c r="K1959" s="5">
        <f t="shared" si="92"/>
        <v>46266</v>
      </c>
    </row>
    <row r="1960" spans="1:11" x14ac:dyDescent="0.25">
      <c r="A1960" t="s">
        <v>3854</v>
      </c>
      <c r="B1960" s="3">
        <v>46284</v>
      </c>
      <c r="C1960">
        <v>5010</v>
      </c>
      <c r="D1960" s="1">
        <v>2396.5100000000002</v>
      </c>
      <c r="E1960" s="1">
        <v>0</v>
      </c>
      <c r="F1960" t="s">
        <v>3855</v>
      </c>
      <c r="G1960" t="str">
        <f>_xlfn.XLOOKUP(C1960,tblCOA[AccountNo],tblCOA[AccountName],"Unmapped")</f>
        <v>Cost of Goods Sold</v>
      </c>
      <c r="H1960" t="str">
        <f>_xlfn.XLOOKUP(C1960,tblCOA[AccountNo],tblCOA[Category],"Unmapped")</f>
        <v>Expenses</v>
      </c>
      <c r="I1960" s="4">
        <f t="shared" si="90"/>
        <v>2396.5100000000002</v>
      </c>
      <c r="J1960">
        <f t="shared" si="91"/>
        <v>2026</v>
      </c>
      <c r="K1960" s="5">
        <f t="shared" si="92"/>
        <v>46266</v>
      </c>
    </row>
    <row r="1961" spans="1:11" x14ac:dyDescent="0.25">
      <c r="A1961" t="s">
        <v>3856</v>
      </c>
      <c r="B1961" s="3">
        <v>46284</v>
      </c>
      <c r="C1961">
        <v>2010</v>
      </c>
      <c r="D1961" s="1">
        <v>0</v>
      </c>
      <c r="E1961" s="1">
        <v>2396.5100000000002</v>
      </c>
      <c r="F1961" t="s">
        <v>3857</v>
      </c>
      <c r="G1961" t="str">
        <f>_xlfn.XLOOKUP(C1961,tblCOA[AccountNo],tblCOA[AccountName],"Unmapped")</f>
        <v>Accounts Payable</v>
      </c>
      <c r="H1961" t="str">
        <f>_xlfn.XLOOKUP(C1961,tblCOA[AccountNo],tblCOA[Category],"Unmapped")</f>
        <v>Liabilities</v>
      </c>
      <c r="I1961" s="4">
        <f t="shared" si="90"/>
        <v>-2396.5100000000002</v>
      </c>
      <c r="J1961">
        <f t="shared" si="91"/>
        <v>2026</v>
      </c>
      <c r="K1961" s="5">
        <f t="shared" si="92"/>
        <v>46266</v>
      </c>
    </row>
    <row r="1962" spans="1:11" x14ac:dyDescent="0.25">
      <c r="A1962" t="s">
        <v>1634</v>
      </c>
      <c r="B1962" s="3">
        <v>46284</v>
      </c>
      <c r="C1962">
        <v>1200</v>
      </c>
      <c r="D1962" s="1">
        <v>46145.19</v>
      </c>
      <c r="E1962" s="1">
        <v>0</v>
      </c>
      <c r="F1962" t="s">
        <v>1635</v>
      </c>
      <c r="G1962" t="str">
        <f>_xlfn.XLOOKUP(C1962,tblCOA[AccountNo],tblCOA[AccountName],"Unmapped")</f>
        <v>Accounts Receivable</v>
      </c>
      <c r="H1962" t="str">
        <f>_xlfn.XLOOKUP(C1962,tblCOA[AccountNo],tblCOA[Category],"Unmapped")</f>
        <v>Assets</v>
      </c>
      <c r="I1962" s="4">
        <f t="shared" si="90"/>
        <v>46145.19</v>
      </c>
      <c r="J1962">
        <f t="shared" si="91"/>
        <v>2026</v>
      </c>
      <c r="K1962" s="5">
        <f t="shared" si="92"/>
        <v>46266</v>
      </c>
    </row>
    <row r="1963" spans="1:11" x14ac:dyDescent="0.25">
      <c r="A1963" t="s">
        <v>1636</v>
      </c>
      <c r="B1963" s="3">
        <v>46284</v>
      </c>
      <c r="C1963">
        <v>4010</v>
      </c>
      <c r="D1963" s="1">
        <v>0</v>
      </c>
      <c r="E1963" s="1">
        <v>46145.19</v>
      </c>
      <c r="F1963" t="s">
        <v>1637</v>
      </c>
      <c r="G1963" t="str">
        <f>_xlfn.XLOOKUP(C1963,tblCOA[AccountNo],tblCOA[AccountName],"Unmapped")</f>
        <v>Product Sales</v>
      </c>
      <c r="H1963" t="str">
        <f>_xlfn.XLOOKUP(C1963,tblCOA[AccountNo],tblCOA[Category],"Unmapped")</f>
        <v>Revenue</v>
      </c>
      <c r="I1963" s="4">
        <f t="shared" si="90"/>
        <v>-46145.19</v>
      </c>
      <c r="J1963">
        <f t="shared" si="91"/>
        <v>2026</v>
      </c>
      <c r="K1963" s="5">
        <f t="shared" si="92"/>
        <v>46266</v>
      </c>
    </row>
    <row r="1964" spans="1:11" x14ac:dyDescent="0.25">
      <c r="A1964" t="s">
        <v>3170</v>
      </c>
      <c r="B1964" s="3">
        <v>46286</v>
      </c>
      <c r="C1964">
        <v>1200</v>
      </c>
      <c r="D1964" s="1">
        <v>41916.720000000001</v>
      </c>
      <c r="E1964" s="1">
        <v>0</v>
      </c>
      <c r="F1964" t="s">
        <v>3171</v>
      </c>
      <c r="G1964" t="str">
        <f>_xlfn.XLOOKUP(C1964,tblCOA[AccountNo],tblCOA[AccountName],"Unmapped")</f>
        <v>Accounts Receivable</v>
      </c>
      <c r="H1964" t="str">
        <f>_xlfn.XLOOKUP(C1964,tblCOA[AccountNo],tblCOA[Category],"Unmapped")</f>
        <v>Assets</v>
      </c>
      <c r="I1964" s="4">
        <f t="shared" si="90"/>
        <v>41916.720000000001</v>
      </c>
      <c r="J1964">
        <f t="shared" si="91"/>
        <v>2026</v>
      </c>
      <c r="K1964" s="5">
        <f t="shared" si="92"/>
        <v>46266</v>
      </c>
    </row>
    <row r="1965" spans="1:11" x14ac:dyDescent="0.25">
      <c r="A1965" t="s">
        <v>3172</v>
      </c>
      <c r="B1965" s="3">
        <v>46286</v>
      </c>
      <c r="C1965">
        <v>4010</v>
      </c>
      <c r="D1965" s="1">
        <v>0</v>
      </c>
      <c r="E1965" s="1">
        <v>41916.720000000001</v>
      </c>
      <c r="F1965" t="s">
        <v>3173</v>
      </c>
      <c r="G1965" t="str">
        <f>_xlfn.XLOOKUP(C1965,tblCOA[AccountNo],tblCOA[AccountName],"Unmapped")</f>
        <v>Product Sales</v>
      </c>
      <c r="H1965" t="str">
        <f>_xlfn.XLOOKUP(C1965,tblCOA[AccountNo],tblCOA[Category],"Unmapped")</f>
        <v>Revenue</v>
      </c>
      <c r="I1965" s="4">
        <f t="shared" si="90"/>
        <v>-41916.720000000001</v>
      </c>
      <c r="J1965">
        <f t="shared" si="91"/>
        <v>2026</v>
      </c>
      <c r="K1965" s="5">
        <f t="shared" si="92"/>
        <v>46266</v>
      </c>
    </row>
    <row r="1966" spans="1:11" x14ac:dyDescent="0.25">
      <c r="A1966" t="s">
        <v>998</v>
      </c>
      <c r="B1966" s="3">
        <v>46286</v>
      </c>
      <c r="C1966">
        <v>5010</v>
      </c>
      <c r="D1966" s="1">
        <v>5029.54</v>
      </c>
      <c r="E1966" s="1">
        <v>0</v>
      </c>
      <c r="F1966" t="s">
        <v>999</v>
      </c>
      <c r="G1966" t="str">
        <f>_xlfn.XLOOKUP(C1966,tblCOA[AccountNo],tblCOA[AccountName],"Unmapped")</f>
        <v>Cost of Goods Sold</v>
      </c>
      <c r="H1966" t="str">
        <f>_xlfn.XLOOKUP(C1966,tblCOA[AccountNo],tblCOA[Category],"Unmapped")</f>
        <v>Expenses</v>
      </c>
      <c r="I1966" s="4">
        <f t="shared" si="90"/>
        <v>5029.54</v>
      </c>
      <c r="J1966">
        <f t="shared" si="91"/>
        <v>2026</v>
      </c>
      <c r="K1966" s="5">
        <f t="shared" si="92"/>
        <v>46266</v>
      </c>
    </row>
    <row r="1967" spans="1:11" x14ac:dyDescent="0.25">
      <c r="A1967" t="s">
        <v>1000</v>
      </c>
      <c r="B1967" s="3">
        <v>46286</v>
      </c>
      <c r="C1967">
        <v>2010</v>
      </c>
      <c r="D1967" s="1">
        <v>0</v>
      </c>
      <c r="E1967" s="1">
        <v>5029.54</v>
      </c>
      <c r="F1967" t="s">
        <v>1001</v>
      </c>
      <c r="G1967" t="str">
        <f>_xlfn.XLOOKUP(C1967,tblCOA[AccountNo],tblCOA[AccountName],"Unmapped")</f>
        <v>Accounts Payable</v>
      </c>
      <c r="H1967" t="str">
        <f>_xlfn.XLOOKUP(C1967,tblCOA[AccountNo],tblCOA[Category],"Unmapped")</f>
        <v>Liabilities</v>
      </c>
      <c r="I1967" s="4">
        <f t="shared" si="90"/>
        <v>-5029.54</v>
      </c>
      <c r="J1967">
        <f t="shared" si="91"/>
        <v>2026</v>
      </c>
      <c r="K1967" s="5">
        <f t="shared" si="92"/>
        <v>46266</v>
      </c>
    </row>
    <row r="1968" spans="1:11" x14ac:dyDescent="0.25">
      <c r="A1968" t="s">
        <v>1642</v>
      </c>
      <c r="B1968" s="3">
        <v>46286</v>
      </c>
      <c r="C1968">
        <v>1200</v>
      </c>
      <c r="D1968" s="1">
        <v>17676.5</v>
      </c>
      <c r="E1968" s="1">
        <v>0</v>
      </c>
      <c r="F1968" t="s">
        <v>1643</v>
      </c>
      <c r="G1968" t="str">
        <f>_xlfn.XLOOKUP(C1968,tblCOA[AccountNo],tblCOA[AccountName],"Unmapped")</f>
        <v>Accounts Receivable</v>
      </c>
      <c r="H1968" t="str">
        <f>_xlfn.XLOOKUP(C1968,tblCOA[AccountNo],tblCOA[Category],"Unmapped")</f>
        <v>Assets</v>
      </c>
      <c r="I1968" s="4">
        <f t="shared" si="90"/>
        <v>17676.5</v>
      </c>
      <c r="J1968">
        <f t="shared" si="91"/>
        <v>2026</v>
      </c>
      <c r="K1968" s="5">
        <f t="shared" si="92"/>
        <v>46266</v>
      </c>
    </row>
    <row r="1969" spans="1:11" x14ac:dyDescent="0.25">
      <c r="A1969" t="s">
        <v>1644</v>
      </c>
      <c r="B1969" s="3">
        <v>46286</v>
      </c>
      <c r="C1969">
        <v>4010</v>
      </c>
      <c r="D1969" s="1">
        <v>0</v>
      </c>
      <c r="E1969" s="1">
        <v>17676.5</v>
      </c>
      <c r="F1969" t="s">
        <v>1645</v>
      </c>
      <c r="G1969" t="str">
        <f>_xlfn.XLOOKUP(C1969,tblCOA[AccountNo],tblCOA[AccountName],"Unmapped")</f>
        <v>Product Sales</v>
      </c>
      <c r="H1969" t="str">
        <f>_xlfn.XLOOKUP(C1969,tblCOA[AccountNo],tblCOA[Category],"Unmapped")</f>
        <v>Revenue</v>
      </c>
      <c r="I1969" s="4">
        <f t="shared" si="90"/>
        <v>-17676.5</v>
      </c>
      <c r="J1969">
        <f t="shared" si="91"/>
        <v>2026</v>
      </c>
      <c r="K1969" s="5">
        <f t="shared" si="92"/>
        <v>46266</v>
      </c>
    </row>
    <row r="1970" spans="1:11" x14ac:dyDescent="0.25">
      <c r="A1970" t="s">
        <v>554</v>
      </c>
      <c r="B1970" s="3">
        <v>46288</v>
      </c>
      <c r="C1970">
        <v>1200</v>
      </c>
      <c r="D1970" s="1">
        <v>39302.76</v>
      </c>
      <c r="E1970" s="1">
        <v>0</v>
      </c>
      <c r="F1970" t="s">
        <v>555</v>
      </c>
      <c r="G1970" t="str">
        <f>_xlfn.XLOOKUP(C1970,tblCOA[AccountNo],tblCOA[AccountName],"Unmapped")</f>
        <v>Accounts Receivable</v>
      </c>
      <c r="H1970" t="str">
        <f>_xlfn.XLOOKUP(C1970,tblCOA[AccountNo],tblCOA[Category],"Unmapped")</f>
        <v>Assets</v>
      </c>
      <c r="I1970" s="4">
        <f t="shared" si="90"/>
        <v>39302.76</v>
      </c>
      <c r="J1970">
        <f t="shared" si="91"/>
        <v>2026</v>
      </c>
      <c r="K1970" s="5">
        <f t="shared" si="92"/>
        <v>46266</v>
      </c>
    </row>
    <row r="1971" spans="1:11" x14ac:dyDescent="0.25">
      <c r="A1971" t="s">
        <v>556</v>
      </c>
      <c r="B1971" s="3">
        <v>46288</v>
      </c>
      <c r="C1971">
        <v>4010</v>
      </c>
      <c r="D1971" s="1">
        <v>0</v>
      </c>
      <c r="E1971" s="1">
        <v>39302.76</v>
      </c>
      <c r="F1971" t="s">
        <v>557</v>
      </c>
      <c r="G1971" t="str">
        <f>_xlfn.XLOOKUP(C1971,tblCOA[AccountNo],tblCOA[AccountName],"Unmapped")</f>
        <v>Product Sales</v>
      </c>
      <c r="H1971" t="str">
        <f>_xlfn.XLOOKUP(C1971,tblCOA[AccountNo],tblCOA[Category],"Unmapped")</f>
        <v>Revenue</v>
      </c>
      <c r="I1971" s="4">
        <f t="shared" si="90"/>
        <v>-39302.76</v>
      </c>
      <c r="J1971">
        <f t="shared" si="91"/>
        <v>2026</v>
      </c>
      <c r="K1971" s="5">
        <f t="shared" si="92"/>
        <v>46266</v>
      </c>
    </row>
    <row r="1972" spans="1:11" x14ac:dyDescent="0.25">
      <c r="A1972" t="s">
        <v>3514</v>
      </c>
      <c r="B1972" s="3">
        <v>46290</v>
      </c>
      <c r="C1972">
        <v>1200</v>
      </c>
      <c r="D1972" s="1">
        <v>46058.8</v>
      </c>
      <c r="E1972" s="1">
        <v>0</v>
      </c>
      <c r="F1972" t="s">
        <v>3515</v>
      </c>
      <c r="G1972" t="str">
        <f>_xlfn.XLOOKUP(C1972,tblCOA[AccountNo],tblCOA[AccountName],"Unmapped")</f>
        <v>Accounts Receivable</v>
      </c>
      <c r="H1972" t="str">
        <f>_xlfn.XLOOKUP(C1972,tblCOA[AccountNo],tblCOA[Category],"Unmapped")</f>
        <v>Assets</v>
      </c>
      <c r="I1972" s="4">
        <f t="shared" si="90"/>
        <v>46058.8</v>
      </c>
      <c r="J1972">
        <f t="shared" si="91"/>
        <v>2026</v>
      </c>
      <c r="K1972" s="5">
        <f t="shared" si="92"/>
        <v>46266</v>
      </c>
    </row>
    <row r="1973" spans="1:11" x14ac:dyDescent="0.25">
      <c r="A1973" t="s">
        <v>3516</v>
      </c>
      <c r="B1973" s="3">
        <v>46290</v>
      </c>
      <c r="C1973">
        <v>4010</v>
      </c>
      <c r="D1973" s="1">
        <v>0</v>
      </c>
      <c r="E1973" s="1">
        <v>46058.8</v>
      </c>
      <c r="F1973" t="s">
        <v>3517</v>
      </c>
      <c r="G1973" t="str">
        <f>_xlfn.XLOOKUP(C1973,tblCOA[AccountNo],tblCOA[AccountName],"Unmapped")</f>
        <v>Product Sales</v>
      </c>
      <c r="H1973" t="str">
        <f>_xlfn.XLOOKUP(C1973,tblCOA[AccountNo],tblCOA[Category],"Unmapped")</f>
        <v>Revenue</v>
      </c>
      <c r="I1973" s="4">
        <f t="shared" si="90"/>
        <v>-46058.8</v>
      </c>
      <c r="J1973">
        <f t="shared" si="91"/>
        <v>2026</v>
      </c>
      <c r="K1973" s="5">
        <f t="shared" si="92"/>
        <v>46266</v>
      </c>
    </row>
    <row r="1974" spans="1:11" x14ac:dyDescent="0.25">
      <c r="A1974" t="s">
        <v>3770</v>
      </c>
      <c r="B1974" s="3">
        <v>46293</v>
      </c>
      <c r="C1974">
        <v>1200</v>
      </c>
      <c r="D1974" s="1">
        <v>26314.63</v>
      </c>
      <c r="E1974" s="1">
        <v>0</v>
      </c>
      <c r="F1974" t="s">
        <v>3771</v>
      </c>
      <c r="G1974" t="str">
        <f>_xlfn.XLOOKUP(C1974,tblCOA[AccountNo],tblCOA[AccountName],"Unmapped")</f>
        <v>Accounts Receivable</v>
      </c>
      <c r="H1974" t="str">
        <f>_xlfn.XLOOKUP(C1974,tblCOA[AccountNo],tblCOA[Category],"Unmapped")</f>
        <v>Assets</v>
      </c>
      <c r="I1974" s="4">
        <f t="shared" si="90"/>
        <v>26314.63</v>
      </c>
      <c r="J1974">
        <f t="shared" si="91"/>
        <v>2026</v>
      </c>
      <c r="K1974" s="5">
        <f t="shared" si="92"/>
        <v>46266</v>
      </c>
    </row>
    <row r="1975" spans="1:11" x14ac:dyDescent="0.25">
      <c r="A1975" t="s">
        <v>3772</v>
      </c>
      <c r="B1975" s="3">
        <v>46293</v>
      </c>
      <c r="C1975">
        <v>4010</v>
      </c>
      <c r="D1975" s="1">
        <v>0</v>
      </c>
      <c r="E1975" s="1">
        <v>26314.63</v>
      </c>
      <c r="F1975" t="s">
        <v>3773</v>
      </c>
      <c r="G1975" t="str">
        <f>_xlfn.XLOOKUP(C1975,tblCOA[AccountNo],tblCOA[AccountName],"Unmapped")</f>
        <v>Product Sales</v>
      </c>
      <c r="H1975" t="str">
        <f>_xlfn.XLOOKUP(C1975,tblCOA[AccountNo],tblCOA[Category],"Unmapped")</f>
        <v>Revenue</v>
      </c>
      <c r="I1975" s="4">
        <f t="shared" si="90"/>
        <v>-26314.63</v>
      </c>
      <c r="J1975">
        <f t="shared" si="91"/>
        <v>2026</v>
      </c>
      <c r="K1975" s="5">
        <f t="shared" si="92"/>
        <v>46266</v>
      </c>
    </row>
    <row r="1976" spans="1:11" x14ac:dyDescent="0.25">
      <c r="A1976" t="s">
        <v>3030</v>
      </c>
      <c r="B1976" s="3">
        <v>46294</v>
      </c>
      <c r="C1976">
        <v>5010</v>
      </c>
      <c r="D1976" s="1">
        <v>11640.44</v>
      </c>
      <c r="E1976" s="1">
        <v>0</v>
      </c>
      <c r="F1976" t="s">
        <v>3031</v>
      </c>
      <c r="G1976" t="str">
        <f>_xlfn.XLOOKUP(C1976,tblCOA[AccountNo],tblCOA[AccountName],"Unmapped")</f>
        <v>Cost of Goods Sold</v>
      </c>
      <c r="H1976" t="str">
        <f>_xlfn.XLOOKUP(C1976,tblCOA[AccountNo],tblCOA[Category],"Unmapped")</f>
        <v>Expenses</v>
      </c>
      <c r="I1976" s="4">
        <f t="shared" si="90"/>
        <v>11640.44</v>
      </c>
      <c r="J1976">
        <f t="shared" si="91"/>
        <v>2026</v>
      </c>
      <c r="K1976" s="5">
        <f t="shared" si="92"/>
        <v>46266</v>
      </c>
    </row>
    <row r="1977" spans="1:11" x14ac:dyDescent="0.25">
      <c r="A1977" t="s">
        <v>3032</v>
      </c>
      <c r="B1977" s="3">
        <v>46294</v>
      </c>
      <c r="C1977">
        <v>2010</v>
      </c>
      <c r="D1977" s="1">
        <v>0</v>
      </c>
      <c r="E1977" s="1">
        <v>11640.44</v>
      </c>
      <c r="F1977" t="s">
        <v>3033</v>
      </c>
      <c r="G1977" t="str">
        <f>_xlfn.XLOOKUP(C1977,tblCOA[AccountNo],tblCOA[AccountName],"Unmapped")</f>
        <v>Accounts Payable</v>
      </c>
      <c r="H1977" t="str">
        <f>_xlfn.XLOOKUP(C1977,tblCOA[AccountNo],tblCOA[Category],"Unmapped")</f>
        <v>Liabilities</v>
      </c>
      <c r="I1977" s="4">
        <f t="shared" si="90"/>
        <v>-11640.44</v>
      </c>
      <c r="J1977">
        <f t="shared" si="91"/>
        <v>2026</v>
      </c>
      <c r="K1977" s="5">
        <f t="shared" si="92"/>
        <v>46266</v>
      </c>
    </row>
    <row r="1978" spans="1:11" x14ac:dyDescent="0.25">
      <c r="A1978" t="s">
        <v>3310</v>
      </c>
      <c r="B1978" s="3">
        <v>46295</v>
      </c>
      <c r="C1978">
        <v>5010</v>
      </c>
      <c r="D1978" s="1">
        <v>11675.13</v>
      </c>
      <c r="E1978" s="1">
        <v>0</v>
      </c>
      <c r="F1978" t="s">
        <v>3311</v>
      </c>
      <c r="G1978" t="str">
        <f>_xlfn.XLOOKUP(C1978,tblCOA[AccountNo],tblCOA[AccountName],"Unmapped")</f>
        <v>Cost of Goods Sold</v>
      </c>
      <c r="H1978" t="str">
        <f>_xlfn.XLOOKUP(C1978,tblCOA[AccountNo],tblCOA[Category],"Unmapped")</f>
        <v>Expenses</v>
      </c>
      <c r="I1978" s="4">
        <f t="shared" si="90"/>
        <v>11675.13</v>
      </c>
      <c r="J1978">
        <f t="shared" si="91"/>
        <v>2026</v>
      </c>
      <c r="K1978" s="5">
        <f t="shared" si="92"/>
        <v>46266</v>
      </c>
    </row>
    <row r="1979" spans="1:11" x14ac:dyDescent="0.25">
      <c r="A1979" t="s">
        <v>3312</v>
      </c>
      <c r="B1979" s="3">
        <v>46295</v>
      </c>
      <c r="C1979">
        <v>2010</v>
      </c>
      <c r="D1979" s="1">
        <v>0</v>
      </c>
      <c r="E1979" s="1">
        <v>11675.13</v>
      </c>
      <c r="F1979" t="s">
        <v>3313</v>
      </c>
      <c r="G1979" t="str">
        <f>_xlfn.XLOOKUP(C1979,tblCOA[AccountNo],tblCOA[AccountName],"Unmapped")</f>
        <v>Accounts Payable</v>
      </c>
      <c r="H1979" t="str">
        <f>_xlfn.XLOOKUP(C1979,tblCOA[AccountNo],tblCOA[Category],"Unmapped")</f>
        <v>Liabilities</v>
      </c>
      <c r="I1979" s="4">
        <f t="shared" si="90"/>
        <v>-11675.13</v>
      </c>
      <c r="J1979">
        <f t="shared" si="91"/>
        <v>2026</v>
      </c>
      <c r="K1979" s="5">
        <f t="shared" si="92"/>
        <v>46266</v>
      </c>
    </row>
    <row r="1980" spans="1:11" x14ac:dyDescent="0.25">
      <c r="A1980" t="s">
        <v>2782</v>
      </c>
      <c r="B1980" s="3">
        <v>46296</v>
      </c>
      <c r="C1980">
        <v>5010</v>
      </c>
      <c r="D1980" s="1">
        <v>2645.48</v>
      </c>
      <c r="E1980" s="1">
        <v>0</v>
      </c>
      <c r="F1980" t="s">
        <v>2783</v>
      </c>
      <c r="G1980" t="str">
        <f>_xlfn.XLOOKUP(C1980,tblCOA[AccountNo],tblCOA[AccountName],"Unmapped")</f>
        <v>Cost of Goods Sold</v>
      </c>
      <c r="H1980" t="str">
        <f>_xlfn.XLOOKUP(C1980,tblCOA[AccountNo],tblCOA[Category],"Unmapped")</f>
        <v>Expenses</v>
      </c>
      <c r="I1980" s="4">
        <f t="shared" si="90"/>
        <v>2645.48</v>
      </c>
      <c r="J1980">
        <f t="shared" si="91"/>
        <v>2026</v>
      </c>
      <c r="K1980" s="5">
        <f t="shared" si="92"/>
        <v>46296</v>
      </c>
    </row>
    <row r="1981" spans="1:11" x14ac:dyDescent="0.25">
      <c r="A1981" t="s">
        <v>2784</v>
      </c>
      <c r="B1981" s="3">
        <v>46296</v>
      </c>
      <c r="C1981">
        <v>2010</v>
      </c>
      <c r="D1981" s="1">
        <v>0</v>
      </c>
      <c r="E1981" s="1">
        <v>2645.48</v>
      </c>
      <c r="F1981" t="s">
        <v>2785</v>
      </c>
      <c r="G1981" t="str">
        <f>_xlfn.XLOOKUP(C1981,tblCOA[AccountNo],tblCOA[AccountName],"Unmapped")</f>
        <v>Accounts Payable</v>
      </c>
      <c r="H1981" t="str">
        <f>_xlfn.XLOOKUP(C1981,tblCOA[AccountNo],tblCOA[Category],"Unmapped")</f>
        <v>Liabilities</v>
      </c>
      <c r="I1981" s="4">
        <f t="shared" si="90"/>
        <v>-2645.48</v>
      </c>
      <c r="J1981">
        <f t="shared" si="91"/>
        <v>2026</v>
      </c>
      <c r="K1981" s="5">
        <f t="shared" si="92"/>
        <v>46296</v>
      </c>
    </row>
    <row r="1982" spans="1:11" x14ac:dyDescent="0.25">
      <c r="A1982" t="s">
        <v>3694</v>
      </c>
      <c r="B1982" s="3">
        <v>46296</v>
      </c>
      <c r="C1982">
        <v>5010</v>
      </c>
      <c r="D1982" s="1">
        <v>12627.04</v>
      </c>
      <c r="E1982" s="1">
        <v>0</v>
      </c>
      <c r="F1982" t="s">
        <v>3695</v>
      </c>
      <c r="G1982" t="str">
        <f>_xlfn.XLOOKUP(C1982,tblCOA[AccountNo],tblCOA[AccountName],"Unmapped")</f>
        <v>Cost of Goods Sold</v>
      </c>
      <c r="H1982" t="str">
        <f>_xlfn.XLOOKUP(C1982,tblCOA[AccountNo],tblCOA[Category],"Unmapped")</f>
        <v>Expenses</v>
      </c>
      <c r="I1982" s="4">
        <f t="shared" si="90"/>
        <v>12627.04</v>
      </c>
      <c r="J1982">
        <f t="shared" si="91"/>
        <v>2026</v>
      </c>
      <c r="K1982" s="5">
        <f t="shared" si="92"/>
        <v>46296</v>
      </c>
    </row>
    <row r="1983" spans="1:11" x14ac:dyDescent="0.25">
      <c r="A1983" t="s">
        <v>3696</v>
      </c>
      <c r="B1983" s="3">
        <v>46296</v>
      </c>
      <c r="C1983">
        <v>2010</v>
      </c>
      <c r="D1983" s="1">
        <v>0</v>
      </c>
      <c r="E1983" s="1">
        <v>12627.04</v>
      </c>
      <c r="F1983" t="s">
        <v>3697</v>
      </c>
      <c r="G1983" t="str">
        <f>_xlfn.XLOOKUP(C1983,tblCOA[AccountNo],tblCOA[AccountName],"Unmapped")</f>
        <v>Accounts Payable</v>
      </c>
      <c r="H1983" t="str">
        <f>_xlfn.XLOOKUP(C1983,tblCOA[AccountNo],tblCOA[Category],"Unmapped")</f>
        <v>Liabilities</v>
      </c>
      <c r="I1983" s="4">
        <f t="shared" si="90"/>
        <v>-12627.04</v>
      </c>
      <c r="J1983">
        <f t="shared" si="91"/>
        <v>2026</v>
      </c>
      <c r="K1983" s="5">
        <f t="shared" si="92"/>
        <v>46296</v>
      </c>
    </row>
    <row r="1984" spans="1:11" x14ac:dyDescent="0.25">
      <c r="A1984" t="s">
        <v>1574</v>
      </c>
      <c r="B1984" s="3">
        <v>46296</v>
      </c>
      <c r="C1984">
        <v>5010</v>
      </c>
      <c r="D1984" s="1">
        <v>16381.13</v>
      </c>
      <c r="E1984" s="1">
        <v>0</v>
      </c>
      <c r="F1984" t="s">
        <v>1575</v>
      </c>
      <c r="G1984" t="str">
        <f>_xlfn.XLOOKUP(C1984,tblCOA[AccountNo],tblCOA[AccountName],"Unmapped")</f>
        <v>Cost of Goods Sold</v>
      </c>
      <c r="H1984" t="str">
        <f>_xlfn.XLOOKUP(C1984,tblCOA[AccountNo],tblCOA[Category],"Unmapped")</f>
        <v>Expenses</v>
      </c>
      <c r="I1984" s="4">
        <f t="shared" si="90"/>
        <v>16381.13</v>
      </c>
      <c r="J1984">
        <f t="shared" si="91"/>
        <v>2026</v>
      </c>
      <c r="K1984" s="5">
        <f t="shared" si="92"/>
        <v>46296</v>
      </c>
    </row>
    <row r="1985" spans="1:11" x14ac:dyDescent="0.25">
      <c r="A1985" t="s">
        <v>1576</v>
      </c>
      <c r="B1985" s="3">
        <v>46296</v>
      </c>
      <c r="C1985">
        <v>2010</v>
      </c>
      <c r="D1985" s="1">
        <v>0</v>
      </c>
      <c r="E1985" s="1">
        <v>16381.13</v>
      </c>
      <c r="F1985" t="s">
        <v>1577</v>
      </c>
      <c r="G1985" t="str">
        <f>_xlfn.XLOOKUP(C1985,tblCOA[AccountNo],tblCOA[AccountName],"Unmapped")</f>
        <v>Accounts Payable</v>
      </c>
      <c r="H1985" t="str">
        <f>_xlfn.XLOOKUP(C1985,tblCOA[AccountNo],tblCOA[Category],"Unmapped")</f>
        <v>Liabilities</v>
      </c>
      <c r="I1985" s="4">
        <f t="shared" si="90"/>
        <v>-16381.13</v>
      </c>
      <c r="J1985">
        <f t="shared" si="91"/>
        <v>2026</v>
      </c>
      <c r="K1985" s="5">
        <f t="shared" si="92"/>
        <v>46296</v>
      </c>
    </row>
    <row r="1986" spans="1:11" x14ac:dyDescent="0.25">
      <c r="A1986" t="s">
        <v>86</v>
      </c>
      <c r="B1986" s="3">
        <v>46297</v>
      </c>
      <c r="C1986">
        <v>5010</v>
      </c>
      <c r="D1986" s="1">
        <v>9358.0499999999993</v>
      </c>
      <c r="E1986" s="1">
        <v>0</v>
      </c>
      <c r="F1986" t="s">
        <v>87</v>
      </c>
      <c r="G1986" t="str">
        <f>_xlfn.XLOOKUP(C1986,tblCOA[AccountNo],tblCOA[AccountName],"Unmapped")</f>
        <v>Cost of Goods Sold</v>
      </c>
      <c r="H1986" t="str">
        <f>_xlfn.XLOOKUP(C1986,tblCOA[AccountNo],tblCOA[Category],"Unmapped")</f>
        <v>Expenses</v>
      </c>
      <c r="I1986" s="4">
        <f t="shared" ref="I1986:I2001" si="93">D1986-E1986</f>
        <v>9358.0499999999993</v>
      </c>
      <c r="J1986">
        <f t="shared" ref="J1986:J2001" si="94">YEAR(B1986)</f>
        <v>2026</v>
      </c>
      <c r="K1986" s="5">
        <f t="shared" ref="K1986:K2001" si="95">DATE(YEAR(B1986),MONTH(B1986),1)</f>
        <v>46296</v>
      </c>
    </row>
    <row r="1987" spans="1:11" x14ac:dyDescent="0.25">
      <c r="A1987" t="s">
        <v>88</v>
      </c>
      <c r="B1987" s="3">
        <v>46297</v>
      </c>
      <c r="C1987">
        <v>2010</v>
      </c>
      <c r="D1987" s="1">
        <v>0</v>
      </c>
      <c r="E1987" s="1">
        <v>9358.0499999999993</v>
      </c>
      <c r="F1987" t="s">
        <v>89</v>
      </c>
      <c r="G1987" t="str">
        <f>_xlfn.XLOOKUP(C1987,tblCOA[AccountNo],tblCOA[AccountName],"Unmapped")</f>
        <v>Accounts Payable</v>
      </c>
      <c r="H1987" t="str">
        <f>_xlfn.XLOOKUP(C1987,tblCOA[AccountNo],tblCOA[Category],"Unmapped")</f>
        <v>Liabilities</v>
      </c>
      <c r="I1987" s="4">
        <f t="shared" si="93"/>
        <v>-9358.0499999999993</v>
      </c>
      <c r="J1987">
        <f t="shared" si="94"/>
        <v>2026</v>
      </c>
      <c r="K1987" s="5">
        <f t="shared" si="95"/>
        <v>46296</v>
      </c>
    </row>
    <row r="1988" spans="1:11" x14ac:dyDescent="0.25">
      <c r="A1988" t="s">
        <v>94</v>
      </c>
      <c r="B1988" s="3">
        <v>46298</v>
      </c>
      <c r="C1988">
        <v>5010</v>
      </c>
      <c r="D1988" s="1">
        <v>3413.43</v>
      </c>
      <c r="E1988" s="1">
        <v>0</v>
      </c>
      <c r="F1988" t="s">
        <v>95</v>
      </c>
      <c r="G1988" t="str">
        <f>_xlfn.XLOOKUP(C1988,tblCOA[AccountNo],tblCOA[AccountName],"Unmapped")</f>
        <v>Cost of Goods Sold</v>
      </c>
      <c r="H1988" t="str">
        <f>_xlfn.XLOOKUP(C1988,tblCOA[AccountNo],tblCOA[Category],"Unmapped")</f>
        <v>Expenses</v>
      </c>
      <c r="I1988" s="4">
        <f t="shared" si="93"/>
        <v>3413.43</v>
      </c>
      <c r="J1988">
        <f t="shared" si="94"/>
        <v>2026</v>
      </c>
      <c r="K1988" s="5">
        <f t="shared" si="95"/>
        <v>46296</v>
      </c>
    </row>
    <row r="1989" spans="1:11" x14ac:dyDescent="0.25">
      <c r="A1989" t="s">
        <v>96</v>
      </c>
      <c r="B1989" s="3">
        <v>46298</v>
      </c>
      <c r="C1989">
        <v>2010</v>
      </c>
      <c r="D1989" s="1">
        <v>0</v>
      </c>
      <c r="E1989" s="1">
        <v>3413.43</v>
      </c>
      <c r="F1989" t="s">
        <v>97</v>
      </c>
      <c r="G1989" t="str">
        <f>_xlfn.XLOOKUP(C1989,tblCOA[AccountNo],tblCOA[AccountName],"Unmapped")</f>
        <v>Accounts Payable</v>
      </c>
      <c r="H1989" t="str">
        <f>_xlfn.XLOOKUP(C1989,tblCOA[AccountNo],tblCOA[Category],"Unmapped")</f>
        <v>Liabilities</v>
      </c>
      <c r="I1989" s="4">
        <f t="shared" si="93"/>
        <v>-3413.43</v>
      </c>
      <c r="J1989">
        <f t="shared" si="94"/>
        <v>2026</v>
      </c>
      <c r="K1989" s="5">
        <f t="shared" si="95"/>
        <v>46296</v>
      </c>
    </row>
    <row r="1990" spans="1:11" x14ac:dyDescent="0.25">
      <c r="A1990" t="s">
        <v>1178</v>
      </c>
      <c r="B1990" s="3">
        <v>46298</v>
      </c>
      <c r="C1990">
        <v>1200</v>
      </c>
      <c r="D1990" s="1">
        <v>15255.78</v>
      </c>
      <c r="E1990" s="1">
        <v>0</v>
      </c>
      <c r="F1990" t="s">
        <v>1179</v>
      </c>
      <c r="G1990" t="str">
        <f>_xlfn.XLOOKUP(C1990,tblCOA[AccountNo],tblCOA[AccountName],"Unmapped")</f>
        <v>Accounts Receivable</v>
      </c>
      <c r="H1990" t="str">
        <f>_xlfn.XLOOKUP(C1990,tblCOA[AccountNo],tblCOA[Category],"Unmapped")</f>
        <v>Assets</v>
      </c>
      <c r="I1990" s="4">
        <f t="shared" si="93"/>
        <v>15255.78</v>
      </c>
      <c r="J1990">
        <f t="shared" si="94"/>
        <v>2026</v>
      </c>
      <c r="K1990" s="5">
        <f t="shared" si="95"/>
        <v>46296</v>
      </c>
    </row>
    <row r="1991" spans="1:11" x14ac:dyDescent="0.25">
      <c r="A1991" t="s">
        <v>1180</v>
      </c>
      <c r="B1991" s="3">
        <v>46298</v>
      </c>
      <c r="C1991">
        <v>4010</v>
      </c>
      <c r="D1991" s="1">
        <v>0</v>
      </c>
      <c r="E1991" s="1">
        <v>15255.78</v>
      </c>
      <c r="F1991" t="s">
        <v>1181</v>
      </c>
      <c r="G1991" t="str">
        <f>_xlfn.XLOOKUP(C1991,tblCOA[AccountNo],tblCOA[AccountName],"Unmapped")</f>
        <v>Product Sales</v>
      </c>
      <c r="H1991" t="str">
        <f>_xlfn.XLOOKUP(C1991,tblCOA[AccountNo],tblCOA[Category],"Unmapped")</f>
        <v>Revenue</v>
      </c>
      <c r="I1991" s="4">
        <f t="shared" si="93"/>
        <v>-15255.78</v>
      </c>
      <c r="J1991">
        <f t="shared" si="94"/>
        <v>2026</v>
      </c>
      <c r="K1991" s="5">
        <f t="shared" si="95"/>
        <v>46296</v>
      </c>
    </row>
    <row r="1992" spans="1:11" x14ac:dyDescent="0.25">
      <c r="A1992" t="s">
        <v>1202</v>
      </c>
      <c r="B1992" s="3">
        <v>46298</v>
      </c>
      <c r="C1992">
        <v>1200</v>
      </c>
      <c r="D1992" s="1">
        <v>10305.86</v>
      </c>
      <c r="E1992" s="1">
        <v>0</v>
      </c>
      <c r="F1992" t="s">
        <v>1203</v>
      </c>
      <c r="G1992" t="str">
        <f>_xlfn.XLOOKUP(C1992,tblCOA[AccountNo],tblCOA[AccountName],"Unmapped")</f>
        <v>Accounts Receivable</v>
      </c>
      <c r="H1992" t="str">
        <f>_xlfn.XLOOKUP(C1992,tblCOA[AccountNo],tblCOA[Category],"Unmapped")</f>
        <v>Assets</v>
      </c>
      <c r="I1992" s="4">
        <f t="shared" si="93"/>
        <v>10305.86</v>
      </c>
      <c r="J1992">
        <f t="shared" si="94"/>
        <v>2026</v>
      </c>
      <c r="K1992" s="5">
        <f t="shared" si="95"/>
        <v>46296</v>
      </c>
    </row>
    <row r="1993" spans="1:11" x14ac:dyDescent="0.25">
      <c r="A1993" t="s">
        <v>1204</v>
      </c>
      <c r="B1993" s="3">
        <v>46298</v>
      </c>
      <c r="C1993">
        <v>4010</v>
      </c>
      <c r="D1993" s="1">
        <v>0</v>
      </c>
      <c r="E1993" s="1">
        <v>10305.86</v>
      </c>
      <c r="F1993" t="s">
        <v>1205</v>
      </c>
      <c r="G1993" t="str">
        <f>_xlfn.XLOOKUP(C1993,tblCOA[AccountNo],tblCOA[AccountName],"Unmapped")</f>
        <v>Product Sales</v>
      </c>
      <c r="H1993" t="str">
        <f>_xlfn.XLOOKUP(C1993,tblCOA[AccountNo],tblCOA[Category],"Unmapped")</f>
        <v>Revenue</v>
      </c>
      <c r="I1993" s="4">
        <f t="shared" si="93"/>
        <v>-10305.86</v>
      </c>
      <c r="J1993">
        <f t="shared" si="94"/>
        <v>2026</v>
      </c>
      <c r="K1993" s="5">
        <f t="shared" si="95"/>
        <v>46296</v>
      </c>
    </row>
    <row r="1994" spans="1:11" x14ac:dyDescent="0.25">
      <c r="A1994" t="s">
        <v>2446</v>
      </c>
      <c r="B1994" s="3">
        <v>46299</v>
      </c>
      <c r="C1994">
        <v>5010</v>
      </c>
      <c r="D1994" s="1">
        <v>2201.91</v>
      </c>
      <c r="E1994" s="1">
        <v>0</v>
      </c>
      <c r="F1994" t="s">
        <v>2447</v>
      </c>
      <c r="G1994" t="str">
        <f>_xlfn.XLOOKUP(C1994,tblCOA[AccountNo],tblCOA[AccountName],"Unmapped")</f>
        <v>Cost of Goods Sold</v>
      </c>
      <c r="H1994" t="str">
        <f>_xlfn.XLOOKUP(C1994,tblCOA[AccountNo],tblCOA[Category],"Unmapped")</f>
        <v>Expenses</v>
      </c>
      <c r="I1994" s="4">
        <f t="shared" si="93"/>
        <v>2201.91</v>
      </c>
      <c r="J1994">
        <f t="shared" si="94"/>
        <v>2026</v>
      </c>
      <c r="K1994" s="5">
        <f t="shared" si="95"/>
        <v>46296</v>
      </c>
    </row>
    <row r="1995" spans="1:11" x14ac:dyDescent="0.25">
      <c r="A1995" t="s">
        <v>2448</v>
      </c>
      <c r="B1995" s="3">
        <v>46299</v>
      </c>
      <c r="C1995">
        <v>2010</v>
      </c>
      <c r="D1995" s="1">
        <v>0</v>
      </c>
      <c r="E1995" s="1">
        <v>2201.91</v>
      </c>
      <c r="F1995" t="s">
        <v>2449</v>
      </c>
      <c r="G1995" t="str">
        <f>_xlfn.XLOOKUP(C1995,tblCOA[AccountNo],tblCOA[AccountName],"Unmapped")</f>
        <v>Accounts Payable</v>
      </c>
      <c r="H1995" t="str">
        <f>_xlfn.XLOOKUP(C1995,tblCOA[AccountNo],tblCOA[Category],"Unmapped")</f>
        <v>Liabilities</v>
      </c>
      <c r="I1995" s="4">
        <f t="shared" si="93"/>
        <v>-2201.91</v>
      </c>
      <c r="J1995">
        <f t="shared" si="94"/>
        <v>2026</v>
      </c>
      <c r="K1995" s="5">
        <f t="shared" si="95"/>
        <v>46296</v>
      </c>
    </row>
    <row r="1996" spans="1:11" x14ac:dyDescent="0.25">
      <c r="A1996" t="s">
        <v>3370</v>
      </c>
      <c r="B1996" s="3">
        <v>46300</v>
      </c>
      <c r="C1996">
        <v>1200</v>
      </c>
      <c r="D1996" s="1">
        <v>29124.45</v>
      </c>
      <c r="E1996" s="1">
        <v>0</v>
      </c>
      <c r="F1996" t="s">
        <v>3371</v>
      </c>
      <c r="G1996" t="str">
        <f>_xlfn.XLOOKUP(C1996,tblCOA[AccountNo],tblCOA[AccountName],"Unmapped")</f>
        <v>Accounts Receivable</v>
      </c>
      <c r="H1996" t="str">
        <f>_xlfn.XLOOKUP(C1996,tblCOA[AccountNo],tblCOA[Category],"Unmapped")</f>
        <v>Assets</v>
      </c>
      <c r="I1996" s="4">
        <f t="shared" si="93"/>
        <v>29124.45</v>
      </c>
      <c r="J1996">
        <f t="shared" si="94"/>
        <v>2026</v>
      </c>
      <c r="K1996" s="5">
        <f t="shared" si="95"/>
        <v>46296</v>
      </c>
    </row>
    <row r="1997" spans="1:11" x14ac:dyDescent="0.25">
      <c r="A1997" t="s">
        <v>3372</v>
      </c>
      <c r="B1997" s="3">
        <v>46300</v>
      </c>
      <c r="C1997">
        <v>4010</v>
      </c>
      <c r="D1997" s="1">
        <v>0</v>
      </c>
      <c r="E1997" s="1">
        <v>29124.45</v>
      </c>
      <c r="F1997" t="s">
        <v>3373</v>
      </c>
      <c r="G1997" t="str">
        <f>_xlfn.XLOOKUP(C1997,tblCOA[AccountNo],tblCOA[AccountName],"Unmapped")</f>
        <v>Product Sales</v>
      </c>
      <c r="H1997" t="str">
        <f>_xlfn.XLOOKUP(C1997,tblCOA[AccountNo],tblCOA[Category],"Unmapped")</f>
        <v>Revenue</v>
      </c>
      <c r="I1997" s="4">
        <f t="shared" si="93"/>
        <v>-29124.45</v>
      </c>
      <c r="J1997">
        <f t="shared" si="94"/>
        <v>2026</v>
      </c>
      <c r="K1997" s="5">
        <f t="shared" si="95"/>
        <v>46296</v>
      </c>
    </row>
    <row r="1998" spans="1:11" x14ac:dyDescent="0.25">
      <c r="A1998" t="s">
        <v>3486</v>
      </c>
      <c r="B1998" s="3">
        <v>46300</v>
      </c>
      <c r="C1998">
        <v>5010</v>
      </c>
      <c r="D1998" s="1">
        <v>18432.560000000001</v>
      </c>
      <c r="E1998" s="1">
        <v>0</v>
      </c>
      <c r="F1998" t="s">
        <v>3487</v>
      </c>
      <c r="G1998" t="str">
        <f>_xlfn.XLOOKUP(C1998,tblCOA[AccountNo],tblCOA[AccountName],"Unmapped")</f>
        <v>Cost of Goods Sold</v>
      </c>
      <c r="H1998" t="str">
        <f>_xlfn.XLOOKUP(C1998,tblCOA[AccountNo],tblCOA[Category],"Unmapped")</f>
        <v>Expenses</v>
      </c>
      <c r="I1998" s="4">
        <f t="shared" si="93"/>
        <v>18432.560000000001</v>
      </c>
      <c r="J1998">
        <f t="shared" si="94"/>
        <v>2026</v>
      </c>
      <c r="K1998" s="5">
        <f t="shared" si="95"/>
        <v>46296</v>
      </c>
    </row>
    <row r="1999" spans="1:11" x14ac:dyDescent="0.25">
      <c r="A1999" t="s">
        <v>3488</v>
      </c>
      <c r="B1999" s="3">
        <v>46300</v>
      </c>
      <c r="C1999">
        <v>2010</v>
      </c>
      <c r="D1999" s="1">
        <v>0</v>
      </c>
      <c r="E1999" s="1">
        <v>18432.560000000001</v>
      </c>
      <c r="F1999" t="s">
        <v>3489</v>
      </c>
      <c r="G1999" t="str">
        <f>_xlfn.XLOOKUP(C1999,tblCOA[AccountNo],tblCOA[AccountName],"Unmapped")</f>
        <v>Accounts Payable</v>
      </c>
      <c r="H1999" t="str">
        <f>_xlfn.XLOOKUP(C1999,tblCOA[AccountNo],tblCOA[Category],"Unmapped")</f>
        <v>Liabilities</v>
      </c>
      <c r="I1999" s="4">
        <f t="shared" si="93"/>
        <v>-18432.560000000001</v>
      </c>
      <c r="J1999">
        <f t="shared" si="94"/>
        <v>2026</v>
      </c>
      <c r="K1999" s="5">
        <f t="shared" si="95"/>
        <v>46296</v>
      </c>
    </row>
    <row r="2000" spans="1:11" x14ac:dyDescent="0.25">
      <c r="A2000" t="s">
        <v>1998</v>
      </c>
      <c r="B2000" s="3">
        <v>46300</v>
      </c>
      <c r="C2000">
        <v>5010</v>
      </c>
      <c r="D2000" s="1">
        <v>8770.2999999999993</v>
      </c>
      <c r="E2000" s="1">
        <v>0</v>
      </c>
      <c r="F2000" t="s">
        <v>1999</v>
      </c>
      <c r="G2000" t="str">
        <f>_xlfn.XLOOKUP(C2000,tblCOA[AccountNo],tblCOA[AccountName],"Unmapped")</f>
        <v>Cost of Goods Sold</v>
      </c>
      <c r="H2000" t="str">
        <f>_xlfn.XLOOKUP(C2000,tblCOA[AccountNo],tblCOA[Category],"Unmapped")</f>
        <v>Expenses</v>
      </c>
      <c r="I2000" s="4">
        <f t="shared" si="93"/>
        <v>8770.2999999999993</v>
      </c>
      <c r="J2000">
        <f t="shared" si="94"/>
        <v>2026</v>
      </c>
      <c r="K2000" s="5">
        <f t="shared" si="95"/>
        <v>46296</v>
      </c>
    </row>
    <row r="2001" spans="1:11" x14ac:dyDescent="0.25">
      <c r="A2001" t="s">
        <v>2000</v>
      </c>
      <c r="B2001" s="3">
        <v>46300</v>
      </c>
      <c r="C2001">
        <v>2010</v>
      </c>
      <c r="D2001" s="1">
        <v>0</v>
      </c>
      <c r="E2001" s="1">
        <v>8770.2999999999993</v>
      </c>
      <c r="F2001" t="s">
        <v>2001</v>
      </c>
      <c r="G2001" t="str">
        <f>_xlfn.XLOOKUP(C2001,tblCOA[AccountNo],tblCOA[AccountName],"Unmapped")</f>
        <v>Accounts Payable</v>
      </c>
      <c r="H2001" t="str">
        <f>_xlfn.XLOOKUP(C2001,tblCOA[AccountNo],tblCOA[Category],"Unmapped")</f>
        <v>Liabilities</v>
      </c>
      <c r="I2001" s="4">
        <f t="shared" si="93"/>
        <v>-8770.2999999999993</v>
      </c>
      <c r="J2001">
        <f t="shared" si="94"/>
        <v>2026</v>
      </c>
      <c r="K2001" s="5">
        <f t="shared" si="95"/>
        <v>46296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sqref="A1:C16"/>
    </sheetView>
  </sheetViews>
  <sheetFormatPr defaultRowHeight="15.75" x14ac:dyDescent="0.25"/>
  <cols>
    <col min="1" max="1" width="12.125" bestFit="1" customWidth="1"/>
    <col min="2" max="2" width="19.25" bestFit="1" customWidth="1"/>
    <col min="3" max="3" width="10.25" bestFit="1" customWidth="1"/>
  </cols>
  <sheetData>
    <row r="1" spans="1:3" x14ac:dyDescent="0.25">
      <c r="A1" t="s">
        <v>4006</v>
      </c>
      <c r="B1" t="s">
        <v>4007</v>
      </c>
      <c r="C1" t="s">
        <v>4008</v>
      </c>
    </row>
    <row r="2" spans="1:3" x14ac:dyDescent="0.25">
      <c r="A2">
        <v>1010</v>
      </c>
      <c r="B2" t="s">
        <v>4009</v>
      </c>
      <c r="C2" t="s">
        <v>4010</v>
      </c>
    </row>
    <row r="3" spans="1:3" x14ac:dyDescent="0.25">
      <c r="A3">
        <v>1200</v>
      </c>
      <c r="B3" t="s">
        <v>4011</v>
      </c>
      <c r="C3" t="s">
        <v>4010</v>
      </c>
    </row>
    <row r="4" spans="1:3" x14ac:dyDescent="0.25">
      <c r="A4">
        <v>1400</v>
      </c>
      <c r="B4" t="s">
        <v>4012</v>
      </c>
      <c r="C4" t="s">
        <v>4010</v>
      </c>
    </row>
    <row r="5" spans="1:3" x14ac:dyDescent="0.25">
      <c r="A5">
        <v>1500</v>
      </c>
      <c r="B5" t="s">
        <v>4013</v>
      </c>
      <c r="C5" t="s">
        <v>4010</v>
      </c>
    </row>
    <row r="6" spans="1:3" x14ac:dyDescent="0.25">
      <c r="A6">
        <v>2010</v>
      </c>
      <c r="B6" t="s">
        <v>4014</v>
      </c>
      <c r="C6" t="s">
        <v>4015</v>
      </c>
    </row>
    <row r="7" spans="1:3" x14ac:dyDescent="0.25">
      <c r="A7">
        <v>2200</v>
      </c>
      <c r="B7" t="s">
        <v>4016</v>
      </c>
      <c r="C7" t="s">
        <v>4015</v>
      </c>
    </row>
    <row r="8" spans="1:3" x14ac:dyDescent="0.25">
      <c r="A8">
        <v>3010</v>
      </c>
      <c r="B8" t="s">
        <v>4017</v>
      </c>
      <c r="C8" t="s">
        <v>4018</v>
      </c>
    </row>
    <row r="9" spans="1:3" x14ac:dyDescent="0.25">
      <c r="A9">
        <v>3200</v>
      </c>
      <c r="B9" t="s">
        <v>4019</v>
      </c>
      <c r="C9" t="s">
        <v>4018</v>
      </c>
    </row>
    <row r="10" spans="1:3" x14ac:dyDescent="0.25">
      <c r="A10">
        <v>4010</v>
      </c>
      <c r="B10" t="s">
        <v>4020</v>
      </c>
      <c r="C10" t="s">
        <v>4021</v>
      </c>
    </row>
    <row r="11" spans="1:3" x14ac:dyDescent="0.25">
      <c r="A11">
        <v>4020</v>
      </c>
      <c r="B11" t="s">
        <v>4022</v>
      </c>
      <c r="C11" t="s">
        <v>4021</v>
      </c>
    </row>
    <row r="12" spans="1:3" x14ac:dyDescent="0.25">
      <c r="A12">
        <v>5010</v>
      </c>
      <c r="B12" t="s">
        <v>4023</v>
      </c>
      <c r="C12" t="s">
        <v>4024</v>
      </c>
    </row>
    <row r="13" spans="1:3" x14ac:dyDescent="0.25">
      <c r="A13">
        <v>5020</v>
      </c>
      <c r="B13" t="s">
        <v>4025</v>
      </c>
      <c r="C13" t="s">
        <v>4024</v>
      </c>
    </row>
    <row r="14" spans="1:3" x14ac:dyDescent="0.25">
      <c r="A14">
        <v>5030</v>
      </c>
      <c r="B14" t="s">
        <v>4026</v>
      </c>
      <c r="C14" t="s">
        <v>4024</v>
      </c>
    </row>
    <row r="15" spans="1:3" x14ac:dyDescent="0.25">
      <c r="A15">
        <v>5040</v>
      </c>
      <c r="B15" t="s">
        <v>4027</v>
      </c>
      <c r="C15" t="s">
        <v>4024</v>
      </c>
    </row>
    <row r="16" spans="1:3" x14ac:dyDescent="0.25">
      <c r="A16">
        <v>5050</v>
      </c>
      <c r="B16" t="s">
        <v>4028</v>
      </c>
      <c r="C16" t="s">
        <v>4024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1"/>
  <sheetViews>
    <sheetView workbookViewId="0">
      <pane ySplit="1" topLeftCell="A2" activePane="bottomLeft" state="frozen"/>
      <selection pane="bottomLeft" activeCell="G13" sqref="G13"/>
    </sheetView>
  </sheetViews>
  <sheetFormatPr defaultRowHeight="15.75" x14ac:dyDescent="0.25"/>
  <cols>
    <col min="1" max="1" width="13.375" bestFit="1" customWidth="1"/>
    <col min="2" max="2" width="9" bestFit="1" customWidth="1"/>
    <col min="3" max="3" width="10.75" bestFit="1" customWidth="1"/>
    <col min="4" max="4" width="10.125" bestFit="1" customWidth="1"/>
    <col min="5" max="5" width="13.75" bestFit="1" customWidth="1"/>
    <col min="6" max="6" width="7" bestFit="1" customWidth="1"/>
    <col min="7" max="7" width="20.75" customWidth="1"/>
    <col min="8" max="8" width="12.125" customWidth="1"/>
    <col min="9" max="9" width="18.25" bestFit="1" customWidth="1"/>
    <col min="10" max="10" width="12.125" bestFit="1" customWidth="1"/>
  </cols>
  <sheetData>
    <row r="1" spans="1:10" x14ac:dyDescent="0.25">
      <c r="A1" t="s">
        <v>4029</v>
      </c>
      <c r="B1" t="s">
        <v>4030</v>
      </c>
      <c r="C1" s="3" t="s">
        <v>4031</v>
      </c>
      <c r="D1" s="3" t="s">
        <v>4032</v>
      </c>
      <c r="E1" s="1" t="s">
        <v>4033</v>
      </c>
      <c r="F1" t="s">
        <v>4034</v>
      </c>
      <c r="G1" t="s">
        <v>4543</v>
      </c>
      <c r="H1" t="s">
        <v>5680</v>
      </c>
      <c r="I1" s="1" t="s">
        <v>5681</v>
      </c>
      <c r="J1" t="s">
        <v>5682</v>
      </c>
    </row>
    <row r="2" spans="1:10" x14ac:dyDescent="0.25">
      <c r="A2" t="s">
        <v>4102</v>
      </c>
      <c r="B2" t="s">
        <v>4036</v>
      </c>
      <c r="C2" s="3">
        <v>44927</v>
      </c>
      <c r="D2" s="3">
        <v>44957</v>
      </c>
      <c r="E2" s="1">
        <v>1058.55</v>
      </c>
      <c r="F2" t="s">
        <v>4037</v>
      </c>
      <c r="G2" t="str">
        <f>_xlfn.XLOOKUP(B2,tblVendors[VendorID],tblVendors[VendorName],"Unmapped")</f>
        <v>Cloud Services LLC</v>
      </c>
      <c r="H2">
        <f t="shared" ref="H2:H65" si="0">D2-C2</f>
        <v>30</v>
      </c>
      <c r="I2" s="1">
        <f t="shared" ref="I2:I65" si="1">IF(F2="Unpaid",E2,0)</f>
        <v>0</v>
      </c>
      <c r="J2" t="str">
        <f t="shared" ref="J2:J65" ca="1" si="2">IF(F2="Paid","Paid",IF(D2&lt;TODAY(),"Overdue","Open"))</f>
        <v>Paid</v>
      </c>
    </row>
    <row r="3" spans="1:10" x14ac:dyDescent="0.25">
      <c r="A3" t="s">
        <v>4216</v>
      </c>
      <c r="B3" t="s">
        <v>4036</v>
      </c>
      <c r="C3" s="3">
        <v>44931</v>
      </c>
      <c r="D3" s="3">
        <v>44961</v>
      </c>
      <c r="E3" s="1">
        <v>13354.74</v>
      </c>
      <c r="F3" t="s">
        <v>4037</v>
      </c>
      <c r="G3" t="str">
        <f>_xlfn.XLOOKUP(B3,tblVendors[VendorID],tblVendors[VendorName],"Unmapped")</f>
        <v>Cloud Services LLC</v>
      </c>
      <c r="H3">
        <f t="shared" si="0"/>
        <v>30</v>
      </c>
      <c r="I3" s="1">
        <f t="shared" si="1"/>
        <v>0</v>
      </c>
      <c r="J3" t="str">
        <f t="shared" ca="1" si="2"/>
        <v>Paid</v>
      </c>
    </row>
    <row r="4" spans="1:10" x14ac:dyDescent="0.25">
      <c r="A4" t="s">
        <v>4260</v>
      </c>
      <c r="B4" t="s">
        <v>4036</v>
      </c>
      <c r="C4" s="3">
        <v>44941</v>
      </c>
      <c r="D4" s="3">
        <v>44971</v>
      </c>
      <c r="E4" s="1">
        <v>3675.59</v>
      </c>
      <c r="F4" t="s">
        <v>4037</v>
      </c>
      <c r="G4" t="str">
        <f>_xlfn.XLOOKUP(B4,tblVendors[VendorID],tblVendors[VendorName],"Unmapped")</f>
        <v>Cloud Services LLC</v>
      </c>
      <c r="H4">
        <f t="shared" si="0"/>
        <v>30</v>
      </c>
      <c r="I4" s="1">
        <f t="shared" si="1"/>
        <v>0</v>
      </c>
      <c r="J4" t="str">
        <f t="shared" ca="1" si="2"/>
        <v>Paid</v>
      </c>
    </row>
    <row r="5" spans="1:10" x14ac:dyDescent="0.25">
      <c r="A5" t="s">
        <v>4532</v>
      </c>
      <c r="B5" t="s">
        <v>4062</v>
      </c>
      <c r="C5" s="3">
        <v>44942</v>
      </c>
      <c r="D5" s="3">
        <v>44972</v>
      </c>
      <c r="E5" s="1">
        <v>19483.96</v>
      </c>
      <c r="F5" t="s">
        <v>4037</v>
      </c>
      <c r="G5" t="str">
        <f>_xlfn.XLOOKUP(B5,tblVendors[VendorID],tblVendors[VendorName],"Unmapped")</f>
        <v>Packaging Pros</v>
      </c>
      <c r="H5">
        <f t="shared" si="0"/>
        <v>30</v>
      </c>
      <c r="I5" s="1">
        <f t="shared" si="1"/>
        <v>0</v>
      </c>
      <c r="J5" t="str">
        <f t="shared" ca="1" si="2"/>
        <v>Paid</v>
      </c>
    </row>
    <row r="6" spans="1:10" x14ac:dyDescent="0.25">
      <c r="A6" t="s">
        <v>4156</v>
      </c>
      <c r="B6" t="s">
        <v>4045</v>
      </c>
      <c r="C6" s="3">
        <v>44943</v>
      </c>
      <c r="D6" s="3">
        <v>44973</v>
      </c>
      <c r="E6" s="1">
        <v>1983.3</v>
      </c>
      <c r="F6" t="s">
        <v>4037</v>
      </c>
      <c r="G6" t="str">
        <f>_xlfn.XLOOKUP(B6,tblVendors[VendorID],tblVendors[VendorName],"Unmapped")</f>
        <v>Office Supplies Co.</v>
      </c>
      <c r="H6">
        <f t="shared" si="0"/>
        <v>30</v>
      </c>
      <c r="I6" s="1">
        <f t="shared" si="1"/>
        <v>0</v>
      </c>
      <c r="J6" t="str">
        <f t="shared" ca="1" si="2"/>
        <v>Paid</v>
      </c>
    </row>
    <row r="7" spans="1:10" x14ac:dyDescent="0.25">
      <c r="A7" t="s">
        <v>4386</v>
      </c>
      <c r="B7" t="s">
        <v>4047</v>
      </c>
      <c r="C7" s="3">
        <v>44945</v>
      </c>
      <c r="D7" s="3">
        <v>44975</v>
      </c>
      <c r="E7" s="1">
        <v>8486.36</v>
      </c>
      <c r="F7" t="s">
        <v>4037</v>
      </c>
      <c r="G7" t="str">
        <f>_xlfn.XLOOKUP(B7,tblVendors[VendorID],tblVendors[VendorName],"Unmapped")</f>
        <v>Global Sweeteners</v>
      </c>
      <c r="H7">
        <f t="shared" si="0"/>
        <v>30</v>
      </c>
      <c r="I7" s="1">
        <f t="shared" si="1"/>
        <v>0</v>
      </c>
      <c r="J7" t="str">
        <f t="shared" ca="1" si="2"/>
        <v>Paid</v>
      </c>
    </row>
    <row r="8" spans="1:10" x14ac:dyDescent="0.25">
      <c r="A8" t="s">
        <v>4159</v>
      </c>
      <c r="B8" t="s">
        <v>4045</v>
      </c>
      <c r="C8" s="3">
        <v>44946</v>
      </c>
      <c r="D8" s="3">
        <v>44976</v>
      </c>
      <c r="E8" s="1">
        <v>16861.39</v>
      </c>
      <c r="F8" t="s">
        <v>4037</v>
      </c>
      <c r="G8" t="str">
        <f>_xlfn.XLOOKUP(B8,tblVendors[VendorID],tblVendors[VendorName],"Unmapped")</f>
        <v>Office Supplies Co.</v>
      </c>
      <c r="H8">
        <f t="shared" si="0"/>
        <v>30</v>
      </c>
      <c r="I8" s="1">
        <f t="shared" si="1"/>
        <v>0</v>
      </c>
      <c r="J8" t="str">
        <f t="shared" ca="1" si="2"/>
        <v>Paid</v>
      </c>
    </row>
    <row r="9" spans="1:10" x14ac:dyDescent="0.25">
      <c r="A9" t="s">
        <v>4122</v>
      </c>
      <c r="B9" t="s">
        <v>4047</v>
      </c>
      <c r="C9" s="3">
        <v>44947</v>
      </c>
      <c r="D9" s="3">
        <v>44977</v>
      </c>
      <c r="E9" s="1">
        <v>7921.86</v>
      </c>
      <c r="F9" t="s">
        <v>4040</v>
      </c>
      <c r="G9" t="str">
        <f>_xlfn.XLOOKUP(B9,tblVendors[VendorID],tblVendors[VendorName],"Unmapped")</f>
        <v>Global Sweeteners</v>
      </c>
      <c r="H9">
        <f t="shared" si="0"/>
        <v>30</v>
      </c>
      <c r="I9" s="1">
        <f t="shared" si="1"/>
        <v>7921.86</v>
      </c>
      <c r="J9" t="str">
        <f t="shared" ca="1" si="2"/>
        <v>Overdue</v>
      </c>
    </row>
    <row r="10" spans="1:10" x14ac:dyDescent="0.25">
      <c r="A10" t="s">
        <v>4377</v>
      </c>
      <c r="B10" t="s">
        <v>4045</v>
      </c>
      <c r="C10" s="3">
        <v>44947</v>
      </c>
      <c r="D10" s="3">
        <v>44977</v>
      </c>
      <c r="E10" s="1">
        <v>15098.49</v>
      </c>
      <c r="F10" t="s">
        <v>4040</v>
      </c>
      <c r="G10" t="str">
        <f>_xlfn.XLOOKUP(B10,tblVendors[VendorID],tblVendors[VendorName],"Unmapped")</f>
        <v>Office Supplies Co.</v>
      </c>
      <c r="H10">
        <f t="shared" si="0"/>
        <v>30</v>
      </c>
      <c r="I10" s="1">
        <f t="shared" si="1"/>
        <v>15098.49</v>
      </c>
      <c r="J10" t="str">
        <f t="shared" ca="1" si="2"/>
        <v>Overdue</v>
      </c>
    </row>
    <row r="11" spans="1:10" x14ac:dyDescent="0.25">
      <c r="A11" t="s">
        <v>4110</v>
      </c>
      <c r="B11" t="s">
        <v>4039</v>
      </c>
      <c r="C11" s="3">
        <v>44948</v>
      </c>
      <c r="D11" s="3">
        <v>44978</v>
      </c>
      <c r="E11" s="1">
        <v>4687.8500000000004</v>
      </c>
      <c r="F11" t="s">
        <v>4037</v>
      </c>
      <c r="G11" t="str">
        <f>_xlfn.XLOOKUP(B11,tblVendors[VendorID],tblVendors[VendorName],"Unmapped")</f>
        <v>Dairy Farms United</v>
      </c>
      <c r="H11">
        <f t="shared" si="0"/>
        <v>30</v>
      </c>
      <c r="I11" s="1">
        <f t="shared" si="1"/>
        <v>0</v>
      </c>
      <c r="J11" t="str">
        <f t="shared" ca="1" si="2"/>
        <v>Paid</v>
      </c>
    </row>
    <row r="12" spans="1:10" x14ac:dyDescent="0.25">
      <c r="A12" t="s">
        <v>4196</v>
      </c>
      <c r="B12" t="s">
        <v>4062</v>
      </c>
      <c r="C12" s="3">
        <v>44951</v>
      </c>
      <c r="D12" s="3">
        <v>44981</v>
      </c>
      <c r="E12" s="1">
        <v>3203.42</v>
      </c>
      <c r="F12" t="s">
        <v>4037</v>
      </c>
      <c r="G12" t="str">
        <f>_xlfn.XLOOKUP(B12,tblVendors[VendorID],tblVendors[VendorName],"Unmapped")</f>
        <v>Packaging Pros</v>
      </c>
      <c r="H12">
        <f t="shared" si="0"/>
        <v>30</v>
      </c>
      <c r="I12" s="1">
        <f t="shared" si="1"/>
        <v>0</v>
      </c>
      <c r="J12" t="str">
        <f t="shared" ca="1" si="2"/>
        <v>Paid</v>
      </c>
    </row>
    <row r="13" spans="1:10" x14ac:dyDescent="0.25">
      <c r="A13" t="s">
        <v>4404</v>
      </c>
      <c r="B13" t="s">
        <v>4039</v>
      </c>
      <c r="C13" s="3">
        <v>44951</v>
      </c>
      <c r="D13" s="3">
        <v>44981</v>
      </c>
      <c r="E13" s="1">
        <v>8003.06</v>
      </c>
      <c r="F13" t="s">
        <v>4037</v>
      </c>
      <c r="G13" t="str">
        <f>_xlfn.XLOOKUP(B13,tblVendors[VendorID],tblVendors[VendorName],"Unmapped")</f>
        <v>Dairy Farms United</v>
      </c>
      <c r="H13">
        <f t="shared" si="0"/>
        <v>30</v>
      </c>
      <c r="I13" s="1">
        <f t="shared" si="1"/>
        <v>0</v>
      </c>
      <c r="J13" t="str">
        <f t="shared" ca="1" si="2"/>
        <v>Paid</v>
      </c>
    </row>
    <row r="14" spans="1:10" x14ac:dyDescent="0.25">
      <c r="A14" t="s">
        <v>4242</v>
      </c>
      <c r="B14" t="s">
        <v>4045</v>
      </c>
      <c r="C14" s="3">
        <v>44960</v>
      </c>
      <c r="D14" s="3">
        <v>44990</v>
      </c>
      <c r="E14" s="1">
        <v>1651.55</v>
      </c>
      <c r="F14" t="s">
        <v>4037</v>
      </c>
      <c r="G14" t="str">
        <f>_xlfn.XLOOKUP(B14,tblVendors[VendorID],tblVendors[VendorName],"Unmapped")</f>
        <v>Office Supplies Co.</v>
      </c>
      <c r="H14">
        <f t="shared" si="0"/>
        <v>30</v>
      </c>
      <c r="I14" s="1">
        <f t="shared" si="1"/>
        <v>0</v>
      </c>
      <c r="J14" t="str">
        <f t="shared" ca="1" si="2"/>
        <v>Paid</v>
      </c>
    </row>
    <row r="15" spans="1:10" x14ac:dyDescent="0.25">
      <c r="A15" t="s">
        <v>4248</v>
      </c>
      <c r="B15" t="s">
        <v>4047</v>
      </c>
      <c r="C15" s="3">
        <v>44960</v>
      </c>
      <c r="D15" s="3">
        <v>44990</v>
      </c>
      <c r="E15" s="1">
        <v>17401.39</v>
      </c>
      <c r="F15" t="s">
        <v>4037</v>
      </c>
      <c r="G15" t="str">
        <f>_xlfn.XLOOKUP(B15,tblVendors[VendorID],tblVendors[VendorName],"Unmapped")</f>
        <v>Global Sweeteners</v>
      </c>
      <c r="H15">
        <f t="shared" si="0"/>
        <v>30</v>
      </c>
      <c r="I15" s="1">
        <f t="shared" si="1"/>
        <v>0</v>
      </c>
      <c r="J15" t="str">
        <f t="shared" ca="1" si="2"/>
        <v>Paid</v>
      </c>
    </row>
    <row r="16" spans="1:10" x14ac:dyDescent="0.25">
      <c r="A16" t="s">
        <v>4055</v>
      </c>
      <c r="B16" t="s">
        <v>4047</v>
      </c>
      <c r="C16" s="3">
        <v>44962</v>
      </c>
      <c r="D16" s="3">
        <v>44992</v>
      </c>
      <c r="E16" s="1">
        <v>11504.91</v>
      </c>
      <c r="F16" t="s">
        <v>4040</v>
      </c>
      <c r="G16" t="str">
        <f>_xlfn.XLOOKUP(B16,tblVendors[VendorID],tblVendors[VendorName],"Unmapped")</f>
        <v>Global Sweeteners</v>
      </c>
      <c r="H16">
        <f t="shared" si="0"/>
        <v>30</v>
      </c>
      <c r="I16" s="1">
        <f t="shared" si="1"/>
        <v>11504.91</v>
      </c>
      <c r="J16" t="str">
        <f t="shared" ca="1" si="2"/>
        <v>Overdue</v>
      </c>
    </row>
    <row r="17" spans="1:10" x14ac:dyDescent="0.25">
      <c r="A17" t="s">
        <v>4206</v>
      </c>
      <c r="B17" t="s">
        <v>4062</v>
      </c>
      <c r="C17" s="3">
        <v>44965</v>
      </c>
      <c r="D17" s="3">
        <v>44995</v>
      </c>
      <c r="E17" s="1">
        <v>13042.47</v>
      </c>
      <c r="F17" t="s">
        <v>4037</v>
      </c>
      <c r="G17" t="str">
        <f>_xlfn.XLOOKUP(B17,tblVendors[VendorID],tblVendors[VendorName],"Unmapped")</f>
        <v>Packaging Pros</v>
      </c>
      <c r="H17">
        <f t="shared" si="0"/>
        <v>30</v>
      </c>
      <c r="I17" s="1">
        <f t="shared" si="1"/>
        <v>0</v>
      </c>
      <c r="J17" t="str">
        <f t="shared" ca="1" si="2"/>
        <v>Paid</v>
      </c>
    </row>
    <row r="18" spans="1:10" x14ac:dyDescent="0.25">
      <c r="A18" t="s">
        <v>4483</v>
      </c>
      <c r="B18" t="s">
        <v>4039</v>
      </c>
      <c r="C18" s="3">
        <v>44965</v>
      </c>
      <c r="D18" s="3">
        <v>44995</v>
      </c>
      <c r="E18" s="1">
        <v>14272.04</v>
      </c>
      <c r="F18" t="s">
        <v>4040</v>
      </c>
      <c r="G18" t="str">
        <f>_xlfn.XLOOKUP(B18,tblVendors[VendorID],tblVendors[VendorName],"Unmapped")</f>
        <v>Dairy Farms United</v>
      </c>
      <c r="H18">
        <f t="shared" si="0"/>
        <v>30</v>
      </c>
      <c r="I18" s="1">
        <f t="shared" si="1"/>
        <v>14272.04</v>
      </c>
      <c r="J18" t="str">
        <f t="shared" ca="1" si="2"/>
        <v>Overdue</v>
      </c>
    </row>
    <row r="19" spans="1:10" x14ac:dyDescent="0.25">
      <c r="A19" t="s">
        <v>4085</v>
      </c>
      <c r="B19" t="s">
        <v>4047</v>
      </c>
      <c r="C19" s="3">
        <v>44971</v>
      </c>
      <c r="D19" s="3">
        <v>45001</v>
      </c>
      <c r="E19" s="1">
        <v>17151.28</v>
      </c>
      <c r="F19" t="s">
        <v>4037</v>
      </c>
      <c r="G19" t="str">
        <f>_xlfn.XLOOKUP(B19,tblVendors[VendorID],tblVendors[VendorName],"Unmapped")</f>
        <v>Global Sweeteners</v>
      </c>
      <c r="H19">
        <f t="shared" si="0"/>
        <v>30</v>
      </c>
      <c r="I19" s="1">
        <f t="shared" si="1"/>
        <v>0</v>
      </c>
      <c r="J19" t="str">
        <f t="shared" ca="1" si="2"/>
        <v>Paid</v>
      </c>
    </row>
    <row r="20" spans="1:10" x14ac:dyDescent="0.25">
      <c r="A20" t="s">
        <v>4537</v>
      </c>
      <c r="B20" t="s">
        <v>4047</v>
      </c>
      <c r="C20" s="3">
        <v>44974</v>
      </c>
      <c r="D20" s="3">
        <v>45004</v>
      </c>
      <c r="E20" s="1">
        <v>12004.08</v>
      </c>
      <c r="F20" t="s">
        <v>4037</v>
      </c>
      <c r="G20" t="str">
        <f>_xlfn.XLOOKUP(B20,tblVendors[VendorID],tblVendors[VendorName],"Unmapped")</f>
        <v>Global Sweeteners</v>
      </c>
      <c r="H20">
        <f t="shared" si="0"/>
        <v>30</v>
      </c>
      <c r="I20" s="1">
        <f t="shared" si="1"/>
        <v>0</v>
      </c>
      <c r="J20" t="str">
        <f t="shared" ca="1" si="2"/>
        <v>Paid</v>
      </c>
    </row>
    <row r="21" spans="1:10" x14ac:dyDescent="0.25">
      <c r="A21" t="s">
        <v>4127</v>
      </c>
      <c r="B21" t="s">
        <v>4039</v>
      </c>
      <c r="C21" s="3">
        <v>44977</v>
      </c>
      <c r="D21" s="3">
        <v>45007</v>
      </c>
      <c r="E21" s="1">
        <v>7157.36</v>
      </c>
      <c r="F21" t="s">
        <v>4037</v>
      </c>
      <c r="G21" t="str">
        <f>_xlfn.XLOOKUP(B21,tblVendors[VendorID],tblVendors[VendorName],"Unmapped")</f>
        <v>Dairy Farms United</v>
      </c>
      <c r="H21">
        <f t="shared" si="0"/>
        <v>30</v>
      </c>
      <c r="I21" s="1">
        <f t="shared" si="1"/>
        <v>0</v>
      </c>
      <c r="J21" t="str">
        <f t="shared" ca="1" si="2"/>
        <v>Paid</v>
      </c>
    </row>
    <row r="22" spans="1:10" x14ac:dyDescent="0.25">
      <c r="A22" t="s">
        <v>4186</v>
      </c>
      <c r="B22" t="s">
        <v>4047</v>
      </c>
      <c r="C22" s="3">
        <v>44982</v>
      </c>
      <c r="D22" s="3">
        <v>45012</v>
      </c>
      <c r="E22" s="1">
        <v>6875.49</v>
      </c>
      <c r="F22" t="s">
        <v>4037</v>
      </c>
      <c r="G22" t="str">
        <f>_xlfn.XLOOKUP(B22,tblVendors[VendorID],tblVendors[VendorName],"Unmapped")</f>
        <v>Global Sweeteners</v>
      </c>
      <c r="H22">
        <f t="shared" si="0"/>
        <v>30</v>
      </c>
      <c r="I22" s="1">
        <f t="shared" si="1"/>
        <v>0</v>
      </c>
      <c r="J22" t="str">
        <f t="shared" ca="1" si="2"/>
        <v>Paid</v>
      </c>
    </row>
    <row r="23" spans="1:10" x14ac:dyDescent="0.25">
      <c r="A23" t="s">
        <v>4477</v>
      </c>
      <c r="B23" t="s">
        <v>4036</v>
      </c>
      <c r="C23" s="3">
        <v>44982</v>
      </c>
      <c r="D23" s="3">
        <v>45012</v>
      </c>
      <c r="E23" s="1">
        <v>9840.08</v>
      </c>
      <c r="F23" t="s">
        <v>4037</v>
      </c>
      <c r="G23" t="str">
        <f>_xlfn.XLOOKUP(B23,tblVendors[VendorID],tblVendors[VendorName],"Unmapped")</f>
        <v>Cloud Services LLC</v>
      </c>
      <c r="H23">
        <f t="shared" si="0"/>
        <v>30</v>
      </c>
      <c r="I23" s="1">
        <f t="shared" si="1"/>
        <v>0</v>
      </c>
      <c r="J23" t="str">
        <f t="shared" ca="1" si="2"/>
        <v>Paid</v>
      </c>
    </row>
    <row r="24" spans="1:10" x14ac:dyDescent="0.25">
      <c r="A24" t="s">
        <v>4408</v>
      </c>
      <c r="B24" t="s">
        <v>4042</v>
      </c>
      <c r="C24" s="3">
        <v>44983</v>
      </c>
      <c r="D24" s="3">
        <v>45013</v>
      </c>
      <c r="E24" s="1">
        <v>11608.94</v>
      </c>
      <c r="F24" t="s">
        <v>4037</v>
      </c>
      <c r="G24" t="str">
        <f>_xlfn.XLOOKUP(B24,tblVendors[VendorID],tblVendors[VendorName],"Unmapped")</f>
        <v>Cocoa World Inc.</v>
      </c>
      <c r="H24">
        <f t="shared" si="0"/>
        <v>30</v>
      </c>
      <c r="I24" s="1">
        <f t="shared" si="1"/>
        <v>0</v>
      </c>
      <c r="J24" t="str">
        <f t="shared" ca="1" si="2"/>
        <v>Paid</v>
      </c>
    </row>
    <row r="25" spans="1:10" x14ac:dyDescent="0.25">
      <c r="A25" t="s">
        <v>4331</v>
      </c>
      <c r="B25" t="s">
        <v>4045</v>
      </c>
      <c r="C25" s="3">
        <v>44984</v>
      </c>
      <c r="D25" s="3">
        <v>45014</v>
      </c>
      <c r="E25" s="1">
        <v>17524.23</v>
      </c>
      <c r="F25" t="s">
        <v>4037</v>
      </c>
      <c r="G25" t="str">
        <f>_xlfn.XLOOKUP(B25,tblVendors[VendorID],tblVendors[VendorName],"Unmapped")</f>
        <v>Office Supplies Co.</v>
      </c>
      <c r="H25">
        <f t="shared" si="0"/>
        <v>30</v>
      </c>
      <c r="I25" s="1">
        <f t="shared" si="1"/>
        <v>0</v>
      </c>
      <c r="J25" t="str">
        <f t="shared" ca="1" si="2"/>
        <v>Paid</v>
      </c>
    </row>
    <row r="26" spans="1:10" x14ac:dyDescent="0.25">
      <c r="A26" t="s">
        <v>4276</v>
      </c>
      <c r="B26" t="s">
        <v>4036</v>
      </c>
      <c r="C26" s="3">
        <v>44985</v>
      </c>
      <c r="D26" s="3">
        <v>45015</v>
      </c>
      <c r="E26" s="1">
        <v>5469.68</v>
      </c>
      <c r="F26" t="s">
        <v>4037</v>
      </c>
      <c r="G26" t="str">
        <f>_xlfn.XLOOKUP(B26,tblVendors[VendorID],tblVendors[VendorName],"Unmapped")</f>
        <v>Cloud Services LLC</v>
      </c>
      <c r="H26">
        <f t="shared" si="0"/>
        <v>30</v>
      </c>
      <c r="I26" s="1">
        <f t="shared" si="1"/>
        <v>0</v>
      </c>
      <c r="J26" t="str">
        <f t="shared" ca="1" si="2"/>
        <v>Paid</v>
      </c>
    </row>
    <row r="27" spans="1:10" x14ac:dyDescent="0.25">
      <c r="A27" t="s">
        <v>4151</v>
      </c>
      <c r="B27" t="s">
        <v>4047</v>
      </c>
      <c r="C27" s="3">
        <v>44987</v>
      </c>
      <c r="D27" s="3">
        <v>45017</v>
      </c>
      <c r="E27" s="1">
        <v>5552.08</v>
      </c>
      <c r="F27" t="s">
        <v>4037</v>
      </c>
      <c r="G27" t="str">
        <f>_xlfn.XLOOKUP(B27,tblVendors[VendorID],tblVendors[VendorName],"Unmapped")</f>
        <v>Global Sweeteners</v>
      </c>
      <c r="H27">
        <f t="shared" si="0"/>
        <v>30</v>
      </c>
      <c r="I27" s="1">
        <f t="shared" si="1"/>
        <v>0</v>
      </c>
      <c r="J27" t="str">
        <f t="shared" ca="1" si="2"/>
        <v>Paid</v>
      </c>
    </row>
    <row r="28" spans="1:10" x14ac:dyDescent="0.25">
      <c r="A28" t="s">
        <v>4391</v>
      </c>
      <c r="B28" t="s">
        <v>4039</v>
      </c>
      <c r="C28" s="3">
        <v>44988</v>
      </c>
      <c r="D28" s="3">
        <v>45018</v>
      </c>
      <c r="E28" s="1">
        <v>11613.83</v>
      </c>
      <c r="F28" t="s">
        <v>4037</v>
      </c>
      <c r="G28" t="str">
        <f>_xlfn.XLOOKUP(B28,tblVendors[VendorID],tblVendors[VendorName],"Unmapped")</f>
        <v>Dairy Farms United</v>
      </c>
      <c r="H28">
        <f t="shared" si="0"/>
        <v>30</v>
      </c>
      <c r="I28" s="1">
        <f t="shared" si="1"/>
        <v>0</v>
      </c>
      <c r="J28" t="str">
        <f t="shared" ca="1" si="2"/>
        <v>Paid</v>
      </c>
    </row>
    <row r="29" spans="1:10" x14ac:dyDescent="0.25">
      <c r="A29" t="s">
        <v>4061</v>
      </c>
      <c r="B29" t="s">
        <v>4062</v>
      </c>
      <c r="C29" s="3">
        <v>44989</v>
      </c>
      <c r="D29" s="3">
        <v>45019</v>
      </c>
      <c r="E29" s="1">
        <v>4602.6000000000004</v>
      </c>
      <c r="F29" t="s">
        <v>4040</v>
      </c>
      <c r="G29" t="str">
        <f>_xlfn.XLOOKUP(B29,tblVendors[VendorID],tblVendors[VendorName],"Unmapped")</f>
        <v>Packaging Pros</v>
      </c>
      <c r="H29">
        <f t="shared" si="0"/>
        <v>30</v>
      </c>
      <c r="I29" s="1">
        <f t="shared" si="1"/>
        <v>4602.6000000000004</v>
      </c>
      <c r="J29" t="str">
        <f t="shared" ca="1" si="2"/>
        <v>Overdue</v>
      </c>
    </row>
    <row r="30" spans="1:10" x14ac:dyDescent="0.25">
      <c r="A30" t="s">
        <v>4354</v>
      </c>
      <c r="B30" t="s">
        <v>4045</v>
      </c>
      <c r="C30" s="3">
        <v>44990</v>
      </c>
      <c r="D30" s="3">
        <v>45020</v>
      </c>
      <c r="E30" s="1">
        <v>16365.21</v>
      </c>
      <c r="F30" t="s">
        <v>4037</v>
      </c>
      <c r="G30" t="str">
        <f>_xlfn.XLOOKUP(B30,tblVendors[VendorID],tblVendors[VendorName],"Unmapped")</f>
        <v>Office Supplies Co.</v>
      </c>
      <c r="H30">
        <f t="shared" si="0"/>
        <v>30</v>
      </c>
      <c r="I30" s="1">
        <f t="shared" si="1"/>
        <v>0</v>
      </c>
      <c r="J30" t="str">
        <f t="shared" ca="1" si="2"/>
        <v>Paid</v>
      </c>
    </row>
    <row r="31" spans="1:10" x14ac:dyDescent="0.25">
      <c r="A31" t="s">
        <v>4088</v>
      </c>
      <c r="B31" t="s">
        <v>4047</v>
      </c>
      <c r="C31" s="3">
        <v>44994</v>
      </c>
      <c r="D31" s="3">
        <v>45024</v>
      </c>
      <c r="E31" s="1">
        <v>2021.71</v>
      </c>
      <c r="F31" t="s">
        <v>4037</v>
      </c>
      <c r="G31" t="str">
        <f>_xlfn.XLOOKUP(B31,tblVendors[VendorID],tblVendors[VendorName],"Unmapped")</f>
        <v>Global Sweeteners</v>
      </c>
      <c r="H31">
        <f t="shared" si="0"/>
        <v>30</v>
      </c>
      <c r="I31" s="1">
        <f t="shared" si="1"/>
        <v>0</v>
      </c>
      <c r="J31" t="str">
        <f t="shared" ca="1" si="2"/>
        <v>Paid</v>
      </c>
    </row>
    <row r="32" spans="1:10" x14ac:dyDescent="0.25">
      <c r="A32" t="s">
        <v>4314</v>
      </c>
      <c r="B32" t="s">
        <v>4039</v>
      </c>
      <c r="C32" s="3">
        <v>44998</v>
      </c>
      <c r="D32" s="3">
        <v>45028</v>
      </c>
      <c r="E32" s="1">
        <v>12285.28</v>
      </c>
      <c r="F32" t="s">
        <v>4037</v>
      </c>
      <c r="G32" t="str">
        <f>_xlfn.XLOOKUP(B32,tblVendors[VendorID],tblVendors[VendorName],"Unmapped")</f>
        <v>Dairy Farms United</v>
      </c>
      <c r="H32">
        <f t="shared" si="0"/>
        <v>30</v>
      </c>
      <c r="I32" s="1">
        <f t="shared" si="1"/>
        <v>0</v>
      </c>
      <c r="J32" t="str">
        <f t="shared" ca="1" si="2"/>
        <v>Paid</v>
      </c>
    </row>
    <row r="33" spans="1:10" x14ac:dyDescent="0.25">
      <c r="A33" t="s">
        <v>4195</v>
      </c>
      <c r="B33" t="s">
        <v>4042</v>
      </c>
      <c r="C33" s="3">
        <v>45002</v>
      </c>
      <c r="D33" s="3">
        <v>45032</v>
      </c>
      <c r="E33" s="1">
        <v>18278.060000000001</v>
      </c>
      <c r="F33" t="s">
        <v>4037</v>
      </c>
      <c r="G33" t="str">
        <f>_xlfn.XLOOKUP(B33,tblVendors[VendorID],tblVendors[VendorName],"Unmapped")</f>
        <v>Cocoa World Inc.</v>
      </c>
      <c r="H33">
        <f t="shared" si="0"/>
        <v>30</v>
      </c>
      <c r="I33" s="1">
        <f t="shared" si="1"/>
        <v>0</v>
      </c>
      <c r="J33" t="str">
        <f t="shared" ca="1" si="2"/>
        <v>Paid</v>
      </c>
    </row>
    <row r="34" spans="1:10" x14ac:dyDescent="0.25">
      <c r="A34" t="s">
        <v>4339</v>
      </c>
      <c r="B34" t="s">
        <v>4036</v>
      </c>
      <c r="C34" s="3">
        <v>45009</v>
      </c>
      <c r="D34" s="3">
        <v>45039</v>
      </c>
      <c r="E34" s="1">
        <v>14014.98</v>
      </c>
      <c r="F34" t="s">
        <v>4037</v>
      </c>
      <c r="G34" t="str">
        <f>_xlfn.XLOOKUP(B34,tblVendors[VendorID],tblVendors[VendorName],"Unmapped")</f>
        <v>Cloud Services LLC</v>
      </c>
      <c r="H34">
        <f t="shared" si="0"/>
        <v>30</v>
      </c>
      <c r="I34" s="1">
        <f t="shared" si="1"/>
        <v>0</v>
      </c>
      <c r="J34" t="str">
        <f t="shared" ca="1" si="2"/>
        <v>Paid</v>
      </c>
    </row>
    <row r="35" spans="1:10" x14ac:dyDescent="0.25">
      <c r="A35" t="s">
        <v>4227</v>
      </c>
      <c r="B35" t="s">
        <v>4047</v>
      </c>
      <c r="C35" s="3">
        <v>45011</v>
      </c>
      <c r="D35" s="3">
        <v>45041</v>
      </c>
      <c r="E35" s="1">
        <v>10568.05</v>
      </c>
      <c r="F35" t="s">
        <v>4040</v>
      </c>
      <c r="G35" t="str">
        <f>_xlfn.XLOOKUP(B35,tblVendors[VendorID],tblVendors[VendorName],"Unmapped")</f>
        <v>Global Sweeteners</v>
      </c>
      <c r="H35">
        <f t="shared" si="0"/>
        <v>30</v>
      </c>
      <c r="I35" s="1">
        <f t="shared" si="1"/>
        <v>10568.05</v>
      </c>
      <c r="J35" t="str">
        <f t="shared" ca="1" si="2"/>
        <v>Overdue</v>
      </c>
    </row>
    <row r="36" spans="1:10" x14ac:dyDescent="0.25">
      <c r="A36" t="s">
        <v>4353</v>
      </c>
      <c r="B36" t="s">
        <v>4036</v>
      </c>
      <c r="C36" s="3">
        <v>45013</v>
      </c>
      <c r="D36" s="3">
        <v>45043</v>
      </c>
      <c r="E36" s="1">
        <v>4781.04</v>
      </c>
      <c r="F36" t="s">
        <v>4037</v>
      </c>
      <c r="G36" t="str">
        <f>_xlfn.XLOOKUP(B36,tblVendors[VendorID],tblVendors[VendorName],"Unmapped")</f>
        <v>Cloud Services LLC</v>
      </c>
      <c r="H36">
        <f t="shared" si="0"/>
        <v>30</v>
      </c>
      <c r="I36" s="1">
        <f t="shared" si="1"/>
        <v>0</v>
      </c>
      <c r="J36" t="str">
        <f t="shared" ca="1" si="2"/>
        <v>Paid</v>
      </c>
    </row>
    <row r="37" spans="1:10" x14ac:dyDescent="0.25">
      <c r="A37" t="s">
        <v>4072</v>
      </c>
      <c r="B37" t="s">
        <v>4045</v>
      </c>
      <c r="C37" s="3">
        <v>45027</v>
      </c>
      <c r="D37" s="3">
        <v>45057</v>
      </c>
      <c r="E37" s="1">
        <v>5871.32</v>
      </c>
      <c r="F37" t="s">
        <v>4040</v>
      </c>
      <c r="G37" t="str">
        <f>_xlfn.XLOOKUP(B37,tblVendors[VendorID],tblVendors[VendorName],"Unmapped")</f>
        <v>Office Supplies Co.</v>
      </c>
      <c r="H37">
        <f t="shared" si="0"/>
        <v>30</v>
      </c>
      <c r="I37" s="1">
        <f t="shared" si="1"/>
        <v>5871.32</v>
      </c>
      <c r="J37" t="str">
        <f t="shared" ca="1" si="2"/>
        <v>Overdue</v>
      </c>
    </row>
    <row r="38" spans="1:10" x14ac:dyDescent="0.25">
      <c r="A38" t="s">
        <v>4371</v>
      </c>
      <c r="B38" t="s">
        <v>4039</v>
      </c>
      <c r="C38" s="3">
        <v>45027</v>
      </c>
      <c r="D38" s="3">
        <v>45057</v>
      </c>
      <c r="E38" s="1">
        <v>16567.59</v>
      </c>
      <c r="F38" t="s">
        <v>4037</v>
      </c>
      <c r="G38" t="str">
        <f>_xlfn.XLOOKUP(B38,tblVendors[VendorID],tblVendors[VendorName],"Unmapped")</f>
        <v>Dairy Farms United</v>
      </c>
      <c r="H38">
        <f t="shared" si="0"/>
        <v>30</v>
      </c>
      <c r="I38" s="1">
        <f t="shared" si="1"/>
        <v>0</v>
      </c>
      <c r="J38" t="str">
        <f t="shared" ca="1" si="2"/>
        <v>Paid</v>
      </c>
    </row>
    <row r="39" spans="1:10" x14ac:dyDescent="0.25">
      <c r="A39" t="s">
        <v>4462</v>
      </c>
      <c r="B39" t="s">
        <v>4042</v>
      </c>
      <c r="C39" s="3">
        <v>45028</v>
      </c>
      <c r="D39" s="3">
        <v>45058</v>
      </c>
      <c r="E39" s="1">
        <v>18119.16</v>
      </c>
      <c r="F39" t="s">
        <v>4037</v>
      </c>
      <c r="G39" t="str">
        <f>_xlfn.XLOOKUP(B39,tblVendors[VendorID],tblVendors[VendorName],"Unmapped")</f>
        <v>Cocoa World Inc.</v>
      </c>
      <c r="H39">
        <f t="shared" si="0"/>
        <v>30</v>
      </c>
      <c r="I39" s="1">
        <f t="shared" si="1"/>
        <v>0</v>
      </c>
      <c r="J39" t="str">
        <f t="shared" ca="1" si="2"/>
        <v>Paid</v>
      </c>
    </row>
    <row r="40" spans="1:10" x14ac:dyDescent="0.25">
      <c r="A40" t="s">
        <v>4489</v>
      </c>
      <c r="B40" t="s">
        <v>4045</v>
      </c>
      <c r="C40" s="3">
        <v>45029</v>
      </c>
      <c r="D40" s="3">
        <v>45059</v>
      </c>
      <c r="E40" s="1">
        <v>11656.27</v>
      </c>
      <c r="F40" t="s">
        <v>4037</v>
      </c>
      <c r="G40" t="str">
        <f>_xlfn.XLOOKUP(B40,tblVendors[VendorID],tblVendors[VendorName],"Unmapped")</f>
        <v>Office Supplies Co.</v>
      </c>
      <c r="H40">
        <f t="shared" si="0"/>
        <v>30</v>
      </c>
      <c r="I40" s="1">
        <f t="shared" si="1"/>
        <v>0</v>
      </c>
      <c r="J40" t="str">
        <f t="shared" ca="1" si="2"/>
        <v>Paid</v>
      </c>
    </row>
    <row r="41" spans="1:10" x14ac:dyDescent="0.25">
      <c r="A41" t="s">
        <v>4065</v>
      </c>
      <c r="B41" t="s">
        <v>4036</v>
      </c>
      <c r="C41" s="3">
        <v>45030</v>
      </c>
      <c r="D41" s="3">
        <v>45060</v>
      </c>
      <c r="E41" s="1">
        <v>3953.04</v>
      </c>
      <c r="F41" t="s">
        <v>4037</v>
      </c>
      <c r="G41" t="str">
        <f>_xlfn.XLOOKUP(B41,tblVendors[VendorID],tblVendors[VendorName],"Unmapped")</f>
        <v>Cloud Services LLC</v>
      </c>
      <c r="H41">
        <f t="shared" si="0"/>
        <v>30</v>
      </c>
      <c r="I41" s="1">
        <f t="shared" si="1"/>
        <v>0</v>
      </c>
      <c r="J41" t="str">
        <f t="shared" ca="1" si="2"/>
        <v>Paid</v>
      </c>
    </row>
    <row r="42" spans="1:10" x14ac:dyDescent="0.25">
      <c r="A42" t="s">
        <v>4534</v>
      </c>
      <c r="B42" t="s">
        <v>4036</v>
      </c>
      <c r="C42" s="3">
        <v>45032</v>
      </c>
      <c r="D42" s="3">
        <v>45062</v>
      </c>
      <c r="E42" s="1">
        <v>13521.73</v>
      </c>
      <c r="F42" t="s">
        <v>4037</v>
      </c>
      <c r="G42" t="str">
        <f>_xlfn.XLOOKUP(B42,tblVendors[VendorID],tblVendors[VendorName],"Unmapped")</f>
        <v>Cloud Services LLC</v>
      </c>
      <c r="H42">
        <f t="shared" si="0"/>
        <v>30</v>
      </c>
      <c r="I42" s="1">
        <f t="shared" si="1"/>
        <v>0</v>
      </c>
      <c r="J42" t="str">
        <f t="shared" ca="1" si="2"/>
        <v>Paid</v>
      </c>
    </row>
    <row r="43" spans="1:10" x14ac:dyDescent="0.25">
      <c r="A43" t="s">
        <v>4089</v>
      </c>
      <c r="B43" t="s">
        <v>4036</v>
      </c>
      <c r="C43" s="3">
        <v>45038</v>
      </c>
      <c r="D43" s="3">
        <v>45068</v>
      </c>
      <c r="E43" s="1">
        <v>11330.47</v>
      </c>
      <c r="F43" t="s">
        <v>4037</v>
      </c>
      <c r="G43" t="str">
        <f>_xlfn.XLOOKUP(B43,tblVendors[VendorID],tblVendors[VendorName],"Unmapped")</f>
        <v>Cloud Services LLC</v>
      </c>
      <c r="H43">
        <f t="shared" si="0"/>
        <v>30</v>
      </c>
      <c r="I43" s="1">
        <f t="shared" si="1"/>
        <v>0</v>
      </c>
      <c r="J43" t="str">
        <f t="shared" ca="1" si="2"/>
        <v>Paid</v>
      </c>
    </row>
    <row r="44" spans="1:10" x14ac:dyDescent="0.25">
      <c r="A44" t="s">
        <v>4210</v>
      </c>
      <c r="B44" t="s">
        <v>4045</v>
      </c>
      <c r="C44" s="3">
        <v>45040</v>
      </c>
      <c r="D44" s="3">
        <v>45070</v>
      </c>
      <c r="E44" s="1">
        <v>14367.67</v>
      </c>
      <c r="F44" t="s">
        <v>4037</v>
      </c>
      <c r="G44" t="str">
        <f>_xlfn.XLOOKUP(B44,tblVendors[VendorID],tblVendors[VendorName],"Unmapped")</f>
        <v>Office Supplies Co.</v>
      </c>
      <c r="H44">
        <f t="shared" si="0"/>
        <v>30</v>
      </c>
      <c r="I44" s="1">
        <f t="shared" si="1"/>
        <v>0</v>
      </c>
      <c r="J44" t="str">
        <f t="shared" ca="1" si="2"/>
        <v>Paid</v>
      </c>
    </row>
    <row r="45" spans="1:10" x14ac:dyDescent="0.25">
      <c r="A45" t="s">
        <v>4282</v>
      </c>
      <c r="B45" t="s">
        <v>4042</v>
      </c>
      <c r="C45" s="3">
        <v>45040</v>
      </c>
      <c r="D45" s="3">
        <v>45070</v>
      </c>
      <c r="E45" s="1">
        <v>7954.67</v>
      </c>
      <c r="F45" t="s">
        <v>4037</v>
      </c>
      <c r="G45" t="str">
        <f>_xlfn.XLOOKUP(B45,tblVendors[VendorID],tblVendors[VendorName],"Unmapped")</f>
        <v>Cocoa World Inc.</v>
      </c>
      <c r="H45">
        <f t="shared" si="0"/>
        <v>30</v>
      </c>
      <c r="I45" s="1">
        <f t="shared" si="1"/>
        <v>0</v>
      </c>
      <c r="J45" t="str">
        <f t="shared" ca="1" si="2"/>
        <v>Paid</v>
      </c>
    </row>
    <row r="46" spans="1:10" x14ac:dyDescent="0.25">
      <c r="A46" t="s">
        <v>4247</v>
      </c>
      <c r="B46" t="s">
        <v>4047</v>
      </c>
      <c r="C46" s="3">
        <v>45050</v>
      </c>
      <c r="D46" s="3">
        <v>45080</v>
      </c>
      <c r="E46" s="1">
        <v>4390.21</v>
      </c>
      <c r="F46" t="s">
        <v>4037</v>
      </c>
      <c r="G46" t="str">
        <f>_xlfn.XLOOKUP(B46,tblVendors[VendorID],tblVendors[VendorName],"Unmapped")</f>
        <v>Global Sweeteners</v>
      </c>
      <c r="H46">
        <f t="shared" si="0"/>
        <v>30</v>
      </c>
      <c r="I46" s="1">
        <f t="shared" si="1"/>
        <v>0</v>
      </c>
      <c r="J46" t="str">
        <f t="shared" ca="1" si="2"/>
        <v>Paid</v>
      </c>
    </row>
    <row r="47" spans="1:10" x14ac:dyDescent="0.25">
      <c r="A47" t="s">
        <v>4254</v>
      </c>
      <c r="B47" t="s">
        <v>4062</v>
      </c>
      <c r="C47" s="3">
        <v>45058</v>
      </c>
      <c r="D47" s="3">
        <v>45088</v>
      </c>
      <c r="E47" s="1">
        <v>15491.55</v>
      </c>
      <c r="F47" t="s">
        <v>4037</v>
      </c>
      <c r="G47" t="str">
        <f>_xlfn.XLOOKUP(B47,tblVendors[VendorID],tblVendors[VendorName],"Unmapped")</f>
        <v>Packaging Pros</v>
      </c>
      <c r="H47">
        <f t="shared" si="0"/>
        <v>30</v>
      </c>
      <c r="I47" s="1">
        <f t="shared" si="1"/>
        <v>0</v>
      </c>
      <c r="J47" t="str">
        <f t="shared" ca="1" si="2"/>
        <v>Paid</v>
      </c>
    </row>
    <row r="48" spans="1:10" x14ac:dyDescent="0.25">
      <c r="A48" t="s">
        <v>4381</v>
      </c>
      <c r="B48" t="s">
        <v>4036</v>
      </c>
      <c r="C48" s="3">
        <v>45061</v>
      </c>
      <c r="D48" s="3">
        <v>45091</v>
      </c>
      <c r="E48" s="1">
        <v>2529.31</v>
      </c>
      <c r="F48" t="s">
        <v>4040</v>
      </c>
      <c r="G48" t="str">
        <f>_xlfn.XLOOKUP(B48,tblVendors[VendorID],tblVendors[VendorName],"Unmapped")</f>
        <v>Cloud Services LLC</v>
      </c>
      <c r="H48">
        <f t="shared" si="0"/>
        <v>30</v>
      </c>
      <c r="I48" s="1">
        <f t="shared" si="1"/>
        <v>2529.31</v>
      </c>
      <c r="J48" t="str">
        <f t="shared" ca="1" si="2"/>
        <v>Overdue</v>
      </c>
    </row>
    <row r="49" spans="1:10" x14ac:dyDescent="0.25">
      <c r="A49" t="s">
        <v>4066</v>
      </c>
      <c r="B49" t="s">
        <v>4036</v>
      </c>
      <c r="C49" s="3">
        <v>45062</v>
      </c>
      <c r="D49" s="3">
        <v>45092</v>
      </c>
      <c r="E49" s="1">
        <v>10464.27</v>
      </c>
      <c r="F49" t="s">
        <v>4037</v>
      </c>
      <c r="G49" t="str">
        <f>_xlfn.XLOOKUP(B49,tblVendors[VendorID],tblVendors[VendorName],"Unmapped")</f>
        <v>Cloud Services LLC</v>
      </c>
      <c r="H49">
        <f t="shared" si="0"/>
        <v>30</v>
      </c>
      <c r="I49" s="1">
        <f t="shared" si="1"/>
        <v>0</v>
      </c>
      <c r="J49" t="str">
        <f t="shared" ca="1" si="2"/>
        <v>Paid</v>
      </c>
    </row>
    <row r="50" spans="1:10" x14ac:dyDescent="0.25">
      <c r="A50" t="s">
        <v>4438</v>
      </c>
      <c r="B50" t="s">
        <v>4045</v>
      </c>
      <c r="C50" s="3">
        <v>45063</v>
      </c>
      <c r="D50" s="3">
        <v>45093</v>
      </c>
      <c r="E50" s="1">
        <v>12529.47</v>
      </c>
      <c r="F50" t="s">
        <v>4037</v>
      </c>
      <c r="G50" t="str">
        <f>_xlfn.XLOOKUP(B50,tblVendors[VendorID],tblVendors[VendorName],"Unmapped")</f>
        <v>Office Supplies Co.</v>
      </c>
      <c r="H50">
        <f t="shared" si="0"/>
        <v>30</v>
      </c>
      <c r="I50" s="1">
        <f t="shared" si="1"/>
        <v>0</v>
      </c>
      <c r="J50" t="str">
        <f t="shared" ca="1" si="2"/>
        <v>Paid</v>
      </c>
    </row>
    <row r="51" spans="1:10" x14ac:dyDescent="0.25">
      <c r="A51" t="s">
        <v>4329</v>
      </c>
      <c r="B51" t="s">
        <v>4039</v>
      </c>
      <c r="C51" s="3">
        <v>45065</v>
      </c>
      <c r="D51" s="3">
        <v>45095</v>
      </c>
      <c r="E51" s="1">
        <v>19283.080000000002</v>
      </c>
      <c r="F51" t="s">
        <v>4037</v>
      </c>
      <c r="G51" t="str">
        <f>_xlfn.XLOOKUP(B51,tblVendors[VendorID],tblVendors[VendorName],"Unmapped")</f>
        <v>Dairy Farms United</v>
      </c>
      <c r="H51">
        <f t="shared" si="0"/>
        <v>30</v>
      </c>
      <c r="I51" s="1">
        <f t="shared" si="1"/>
        <v>0</v>
      </c>
      <c r="J51" t="str">
        <f t="shared" ca="1" si="2"/>
        <v>Paid</v>
      </c>
    </row>
    <row r="52" spans="1:10" x14ac:dyDescent="0.25">
      <c r="A52" t="s">
        <v>4500</v>
      </c>
      <c r="B52" t="s">
        <v>4045</v>
      </c>
      <c r="C52" s="3">
        <v>45067</v>
      </c>
      <c r="D52" s="3">
        <v>45097</v>
      </c>
      <c r="E52" s="1">
        <v>7947.47</v>
      </c>
      <c r="F52" t="s">
        <v>4037</v>
      </c>
      <c r="G52" t="str">
        <f>_xlfn.XLOOKUP(B52,tblVendors[VendorID],tblVendors[VendorName],"Unmapped")</f>
        <v>Office Supplies Co.</v>
      </c>
      <c r="H52">
        <f t="shared" si="0"/>
        <v>30</v>
      </c>
      <c r="I52" s="1">
        <f t="shared" si="1"/>
        <v>0</v>
      </c>
      <c r="J52" t="str">
        <f t="shared" ca="1" si="2"/>
        <v>Paid</v>
      </c>
    </row>
    <row r="53" spans="1:10" x14ac:dyDescent="0.25">
      <c r="A53" t="s">
        <v>4389</v>
      </c>
      <c r="B53" t="s">
        <v>4039</v>
      </c>
      <c r="C53" s="3">
        <v>45079</v>
      </c>
      <c r="D53" s="3">
        <v>45109</v>
      </c>
      <c r="E53" s="1">
        <v>3760.66</v>
      </c>
      <c r="F53" t="s">
        <v>4037</v>
      </c>
      <c r="G53" t="str">
        <f>_xlfn.XLOOKUP(B53,tblVendors[VendorID],tblVendors[VendorName],"Unmapped")</f>
        <v>Dairy Farms United</v>
      </c>
      <c r="H53">
        <f t="shared" si="0"/>
        <v>30</v>
      </c>
      <c r="I53" s="1">
        <f t="shared" si="1"/>
        <v>0</v>
      </c>
      <c r="J53" t="str">
        <f t="shared" ca="1" si="2"/>
        <v>Paid</v>
      </c>
    </row>
    <row r="54" spans="1:10" x14ac:dyDescent="0.25">
      <c r="A54" t="s">
        <v>4481</v>
      </c>
      <c r="B54" t="s">
        <v>4039</v>
      </c>
      <c r="C54" s="3">
        <v>45081</v>
      </c>
      <c r="D54" s="3">
        <v>45111</v>
      </c>
      <c r="E54" s="1">
        <v>3065.58</v>
      </c>
      <c r="F54" t="s">
        <v>4037</v>
      </c>
      <c r="G54" t="str">
        <f>_xlfn.XLOOKUP(B54,tblVendors[VendorID],tblVendors[VendorName],"Unmapped")</f>
        <v>Dairy Farms United</v>
      </c>
      <c r="H54">
        <f t="shared" si="0"/>
        <v>30</v>
      </c>
      <c r="I54" s="1">
        <f t="shared" si="1"/>
        <v>0</v>
      </c>
      <c r="J54" t="str">
        <f t="shared" ca="1" si="2"/>
        <v>Paid</v>
      </c>
    </row>
    <row r="55" spans="1:10" x14ac:dyDescent="0.25">
      <c r="A55" t="s">
        <v>4290</v>
      </c>
      <c r="B55" t="s">
        <v>4047</v>
      </c>
      <c r="C55" s="3">
        <v>45082</v>
      </c>
      <c r="D55" s="3">
        <v>45112</v>
      </c>
      <c r="E55" s="1">
        <v>17233.37</v>
      </c>
      <c r="F55" t="s">
        <v>4037</v>
      </c>
      <c r="G55" t="str">
        <f>_xlfn.XLOOKUP(B55,tblVendors[VendorID],tblVendors[VendorName],"Unmapped")</f>
        <v>Global Sweeteners</v>
      </c>
      <c r="H55">
        <f t="shared" si="0"/>
        <v>30</v>
      </c>
      <c r="I55" s="1">
        <f t="shared" si="1"/>
        <v>0</v>
      </c>
      <c r="J55" t="str">
        <f t="shared" ca="1" si="2"/>
        <v>Paid</v>
      </c>
    </row>
    <row r="56" spans="1:10" x14ac:dyDescent="0.25">
      <c r="A56" t="s">
        <v>4372</v>
      </c>
      <c r="B56" t="s">
        <v>4047</v>
      </c>
      <c r="C56" s="3">
        <v>45087</v>
      </c>
      <c r="D56" s="3">
        <v>45117</v>
      </c>
      <c r="E56" s="1">
        <v>17474.580000000002</v>
      </c>
      <c r="F56" t="s">
        <v>4037</v>
      </c>
      <c r="G56" t="str">
        <f>_xlfn.XLOOKUP(B56,tblVendors[VendorID],tblVendors[VendorName],"Unmapped")</f>
        <v>Global Sweeteners</v>
      </c>
      <c r="H56">
        <f t="shared" si="0"/>
        <v>30</v>
      </c>
      <c r="I56" s="1">
        <f t="shared" si="1"/>
        <v>0</v>
      </c>
      <c r="J56" t="str">
        <f t="shared" ca="1" si="2"/>
        <v>Paid</v>
      </c>
    </row>
    <row r="57" spans="1:10" x14ac:dyDescent="0.25">
      <c r="A57" t="s">
        <v>4382</v>
      </c>
      <c r="B57" t="s">
        <v>4042</v>
      </c>
      <c r="C57" s="3">
        <v>45090</v>
      </c>
      <c r="D57" s="3">
        <v>45120</v>
      </c>
      <c r="E57" s="1">
        <v>723.05</v>
      </c>
      <c r="F57" t="s">
        <v>4037</v>
      </c>
      <c r="G57" t="str">
        <f>_xlfn.XLOOKUP(B57,tblVendors[VendorID],tblVendors[VendorName],"Unmapped")</f>
        <v>Cocoa World Inc.</v>
      </c>
      <c r="H57">
        <f t="shared" si="0"/>
        <v>30</v>
      </c>
      <c r="I57" s="1">
        <f t="shared" si="1"/>
        <v>0</v>
      </c>
      <c r="J57" t="str">
        <f t="shared" ca="1" si="2"/>
        <v>Paid</v>
      </c>
    </row>
    <row r="58" spans="1:10" x14ac:dyDescent="0.25">
      <c r="A58" t="s">
        <v>4174</v>
      </c>
      <c r="B58" t="s">
        <v>4062</v>
      </c>
      <c r="C58" s="3">
        <v>45092</v>
      </c>
      <c r="D58" s="3">
        <v>45122</v>
      </c>
      <c r="E58" s="1">
        <v>2799.76</v>
      </c>
      <c r="F58" t="s">
        <v>4040</v>
      </c>
      <c r="G58" t="str">
        <f>_xlfn.XLOOKUP(B58,tblVendors[VendorID],tblVendors[VendorName],"Unmapped")</f>
        <v>Packaging Pros</v>
      </c>
      <c r="H58">
        <f t="shared" si="0"/>
        <v>30</v>
      </c>
      <c r="I58" s="1">
        <f t="shared" si="1"/>
        <v>2799.76</v>
      </c>
      <c r="J58" t="str">
        <f t="shared" ca="1" si="2"/>
        <v>Overdue</v>
      </c>
    </row>
    <row r="59" spans="1:10" x14ac:dyDescent="0.25">
      <c r="A59" t="s">
        <v>4226</v>
      </c>
      <c r="B59" t="s">
        <v>4042</v>
      </c>
      <c r="C59" s="3">
        <v>45092</v>
      </c>
      <c r="D59" s="3">
        <v>45122</v>
      </c>
      <c r="E59" s="1">
        <v>3336.27</v>
      </c>
      <c r="F59" t="s">
        <v>4037</v>
      </c>
      <c r="G59" t="str">
        <f>_xlfn.XLOOKUP(B59,tblVendors[VendorID],tblVendors[VendorName],"Unmapped")</f>
        <v>Cocoa World Inc.</v>
      </c>
      <c r="H59">
        <f t="shared" si="0"/>
        <v>30</v>
      </c>
      <c r="I59" s="1">
        <f t="shared" si="1"/>
        <v>0</v>
      </c>
      <c r="J59" t="str">
        <f t="shared" ca="1" si="2"/>
        <v>Paid</v>
      </c>
    </row>
    <row r="60" spans="1:10" x14ac:dyDescent="0.25">
      <c r="A60" t="s">
        <v>4152</v>
      </c>
      <c r="B60" t="s">
        <v>4036</v>
      </c>
      <c r="C60" s="3">
        <v>45094</v>
      </c>
      <c r="D60" s="3">
        <v>45124</v>
      </c>
      <c r="E60" s="1">
        <v>18265.12</v>
      </c>
      <c r="F60" t="s">
        <v>4037</v>
      </c>
      <c r="G60" t="str">
        <f>_xlfn.XLOOKUP(B60,tblVendors[VendorID],tblVendors[VendorName],"Unmapped")</f>
        <v>Cloud Services LLC</v>
      </c>
      <c r="H60">
        <f t="shared" si="0"/>
        <v>30</v>
      </c>
      <c r="I60" s="1">
        <f t="shared" si="1"/>
        <v>0</v>
      </c>
      <c r="J60" t="str">
        <f t="shared" ca="1" si="2"/>
        <v>Paid</v>
      </c>
    </row>
    <row r="61" spans="1:10" x14ac:dyDescent="0.25">
      <c r="A61" t="s">
        <v>4511</v>
      </c>
      <c r="B61" t="s">
        <v>4047</v>
      </c>
      <c r="C61" s="3">
        <v>45097</v>
      </c>
      <c r="D61" s="3">
        <v>45127</v>
      </c>
      <c r="E61" s="1">
        <v>12861.7</v>
      </c>
      <c r="F61" t="s">
        <v>4037</v>
      </c>
      <c r="G61" t="str">
        <f>_xlfn.XLOOKUP(B61,tblVendors[VendorID],tblVendors[VendorName],"Unmapped")</f>
        <v>Global Sweeteners</v>
      </c>
      <c r="H61">
        <f t="shared" si="0"/>
        <v>30</v>
      </c>
      <c r="I61" s="1">
        <f t="shared" si="1"/>
        <v>0</v>
      </c>
      <c r="J61" t="str">
        <f t="shared" ca="1" si="2"/>
        <v>Paid</v>
      </c>
    </row>
    <row r="62" spans="1:10" x14ac:dyDescent="0.25">
      <c r="A62" t="s">
        <v>4261</v>
      </c>
      <c r="B62" t="s">
        <v>4042</v>
      </c>
      <c r="C62" s="3">
        <v>45101</v>
      </c>
      <c r="D62" s="3">
        <v>45131</v>
      </c>
      <c r="E62" s="1">
        <v>13206.63</v>
      </c>
      <c r="F62" t="s">
        <v>4037</v>
      </c>
      <c r="G62" t="str">
        <f>_xlfn.XLOOKUP(B62,tblVendors[VendorID],tblVendors[VendorName],"Unmapped")</f>
        <v>Cocoa World Inc.</v>
      </c>
      <c r="H62">
        <f t="shared" si="0"/>
        <v>30</v>
      </c>
      <c r="I62" s="1">
        <f t="shared" si="1"/>
        <v>0</v>
      </c>
      <c r="J62" t="str">
        <f t="shared" ca="1" si="2"/>
        <v>Paid</v>
      </c>
    </row>
    <row r="63" spans="1:10" x14ac:dyDescent="0.25">
      <c r="A63" t="s">
        <v>4467</v>
      </c>
      <c r="B63" t="s">
        <v>4042</v>
      </c>
      <c r="C63" s="3">
        <v>45101</v>
      </c>
      <c r="D63" s="3">
        <v>45131</v>
      </c>
      <c r="E63" s="1">
        <v>10762.73</v>
      </c>
      <c r="F63" t="s">
        <v>4040</v>
      </c>
      <c r="G63" t="str">
        <f>_xlfn.XLOOKUP(B63,tblVendors[VendorID],tblVendors[VendorName],"Unmapped")</f>
        <v>Cocoa World Inc.</v>
      </c>
      <c r="H63">
        <f t="shared" si="0"/>
        <v>30</v>
      </c>
      <c r="I63" s="1">
        <f t="shared" si="1"/>
        <v>10762.73</v>
      </c>
      <c r="J63" t="str">
        <f t="shared" ca="1" si="2"/>
        <v>Overdue</v>
      </c>
    </row>
    <row r="64" spans="1:10" x14ac:dyDescent="0.25">
      <c r="A64" t="s">
        <v>4279</v>
      </c>
      <c r="B64" t="s">
        <v>4047</v>
      </c>
      <c r="C64" s="3">
        <v>45104</v>
      </c>
      <c r="D64" s="3">
        <v>45134</v>
      </c>
      <c r="E64" s="1">
        <v>2639.7</v>
      </c>
      <c r="F64" t="s">
        <v>4037</v>
      </c>
      <c r="G64" t="str">
        <f>_xlfn.XLOOKUP(B64,tblVendors[VendorID],tblVendors[VendorName],"Unmapped")</f>
        <v>Global Sweeteners</v>
      </c>
      <c r="H64">
        <f t="shared" si="0"/>
        <v>30</v>
      </c>
      <c r="I64" s="1">
        <f t="shared" si="1"/>
        <v>0</v>
      </c>
      <c r="J64" t="str">
        <f t="shared" ca="1" si="2"/>
        <v>Paid</v>
      </c>
    </row>
    <row r="65" spans="1:10" x14ac:dyDescent="0.25">
      <c r="A65" t="s">
        <v>4318</v>
      </c>
      <c r="B65" t="s">
        <v>4042</v>
      </c>
      <c r="C65" s="3">
        <v>45107</v>
      </c>
      <c r="D65" s="3">
        <v>45137</v>
      </c>
      <c r="E65" s="1">
        <v>7527.18</v>
      </c>
      <c r="F65" t="s">
        <v>4037</v>
      </c>
      <c r="G65" t="str">
        <f>_xlfn.XLOOKUP(B65,tblVendors[VendorID],tblVendors[VendorName],"Unmapped")</f>
        <v>Cocoa World Inc.</v>
      </c>
      <c r="H65">
        <f t="shared" si="0"/>
        <v>30</v>
      </c>
      <c r="I65" s="1">
        <f t="shared" si="1"/>
        <v>0</v>
      </c>
      <c r="J65" t="str">
        <f t="shared" ca="1" si="2"/>
        <v>Paid</v>
      </c>
    </row>
    <row r="66" spans="1:10" x14ac:dyDescent="0.25">
      <c r="A66" t="s">
        <v>4407</v>
      </c>
      <c r="B66" t="s">
        <v>4036</v>
      </c>
      <c r="C66" s="3">
        <v>45107</v>
      </c>
      <c r="D66" s="3">
        <v>45137</v>
      </c>
      <c r="E66" s="1">
        <v>4977.2700000000004</v>
      </c>
      <c r="F66" t="s">
        <v>4037</v>
      </c>
      <c r="G66" t="str">
        <f>_xlfn.XLOOKUP(B66,tblVendors[VendorID],tblVendors[VendorName],"Unmapped")</f>
        <v>Cloud Services LLC</v>
      </c>
      <c r="H66">
        <f t="shared" ref="H66:H129" si="3">D66-C66</f>
        <v>30</v>
      </c>
      <c r="I66" s="1">
        <f t="shared" ref="I66:I129" si="4">IF(F66="Unpaid",E66,0)</f>
        <v>0</v>
      </c>
      <c r="J66" t="str">
        <f t="shared" ref="J66:J129" ca="1" si="5">IF(F66="Paid","Paid",IF(D66&lt;TODAY(),"Overdue","Open"))</f>
        <v>Paid</v>
      </c>
    </row>
    <row r="67" spans="1:10" x14ac:dyDescent="0.25">
      <c r="A67" t="s">
        <v>4422</v>
      </c>
      <c r="B67" t="s">
        <v>4045</v>
      </c>
      <c r="C67" s="3">
        <v>45111</v>
      </c>
      <c r="D67" s="3">
        <v>45141</v>
      </c>
      <c r="E67" s="1">
        <v>14249.1</v>
      </c>
      <c r="F67" t="s">
        <v>4040</v>
      </c>
      <c r="G67" t="str">
        <f>_xlfn.XLOOKUP(B67,tblVendors[VendorID],tblVendors[VendorName],"Unmapped")</f>
        <v>Office Supplies Co.</v>
      </c>
      <c r="H67">
        <f t="shared" si="3"/>
        <v>30</v>
      </c>
      <c r="I67" s="1">
        <f t="shared" si="4"/>
        <v>14249.1</v>
      </c>
      <c r="J67" t="str">
        <f t="shared" ca="1" si="5"/>
        <v>Overdue</v>
      </c>
    </row>
    <row r="68" spans="1:10" x14ac:dyDescent="0.25">
      <c r="A68" t="s">
        <v>4519</v>
      </c>
      <c r="B68" t="s">
        <v>4036</v>
      </c>
      <c r="C68" s="3">
        <v>45111</v>
      </c>
      <c r="D68" s="3">
        <v>45141</v>
      </c>
      <c r="E68" s="1">
        <v>17612.78</v>
      </c>
      <c r="F68" t="s">
        <v>4037</v>
      </c>
      <c r="G68" t="str">
        <f>_xlfn.XLOOKUP(B68,tblVendors[VendorID],tblVendors[VendorName],"Unmapped")</f>
        <v>Cloud Services LLC</v>
      </c>
      <c r="H68">
        <f t="shared" si="3"/>
        <v>30</v>
      </c>
      <c r="I68" s="1">
        <f t="shared" si="4"/>
        <v>0</v>
      </c>
      <c r="J68" t="str">
        <f t="shared" ca="1" si="5"/>
        <v>Paid</v>
      </c>
    </row>
    <row r="69" spans="1:10" x14ac:dyDescent="0.25">
      <c r="A69" t="s">
        <v>4201</v>
      </c>
      <c r="B69" t="s">
        <v>4036</v>
      </c>
      <c r="C69" s="3">
        <v>45113</v>
      </c>
      <c r="D69" s="3">
        <v>45143</v>
      </c>
      <c r="E69" s="1">
        <v>1592.79</v>
      </c>
      <c r="F69" t="s">
        <v>4040</v>
      </c>
      <c r="G69" t="str">
        <f>_xlfn.XLOOKUP(B69,tblVendors[VendorID],tblVendors[VendorName],"Unmapped")</f>
        <v>Cloud Services LLC</v>
      </c>
      <c r="H69">
        <f t="shared" si="3"/>
        <v>30</v>
      </c>
      <c r="I69" s="1">
        <f t="shared" si="4"/>
        <v>1592.79</v>
      </c>
      <c r="J69" t="str">
        <f t="shared" ca="1" si="5"/>
        <v>Overdue</v>
      </c>
    </row>
    <row r="70" spans="1:10" x14ac:dyDescent="0.25">
      <c r="A70" t="s">
        <v>4330</v>
      </c>
      <c r="B70" t="s">
        <v>4045</v>
      </c>
      <c r="C70" s="3">
        <v>45114</v>
      </c>
      <c r="D70" s="3">
        <v>45144</v>
      </c>
      <c r="E70" s="1">
        <v>6772.35</v>
      </c>
      <c r="F70" t="s">
        <v>4037</v>
      </c>
      <c r="G70" t="str">
        <f>_xlfn.XLOOKUP(B70,tblVendors[VendorID],tblVendors[VendorName],"Unmapped")</f>
        <v>Office Supplies Co.</v>
      </c>
      <c r="H70">
        <f t="shared" si="3"/>
        <v>30</v>
      </c>
      <c r="I70" s="1">
        <f t="shared" si="4"/>
        <v>0</v>
      </c>
      <c r="J70" t="str">
        <f t="shared" ca="1" si="5"/>
        <v>Paid</v>
      </c>
    </row>
    <row r="71" spans="1:10" x14ac:dyDescent="0.25">
      <c r="A71" t="s">
        <v>4409</v>
      </c>
      <c r="B71" t="s">
        <v>4042</v>
      </c>
      <c r="C71" s="3">
        <v>45114</v>
      </c>
      <c r="D71" s="3">
        <v>45144</v>
      </c>
      <c r="E71" s="1">
        <v>6858.2</v>
      </c>
      <c r="F71" t="s">
        <v>4040</v>
      </c>
      <c r="G71" t="str">
        <f>_xlfn.XLOOKUP(B71,tblVendors[VendorID],tblVendors[VendorName],"Unmapped")</f>
        <v>Cocoa World Inc.</v>
      </c>
      <c r="H71">
        <f t="shared" si="3"/>
        <v>30</v>
      </c>
      <c r="I71" s="1">
        <f t="shared" si="4"/>
        <v>6858.2</v>
      </c>
      <c r="J71" t="str">
        <f t="shared" ca="1" si="5"/>
        <v>Overdue</v>
      </c>
    </row>
    <row r="72" spans="1:10" x14ac:dyDescent="0.25">
      <c r="A72" t="s">
        <v>4451</v>
      </c>
      <c r="B72" t="s">
        <v>4042</v>
      </c>
      <c r="C72" s="3">
        <v>45118</v>
      </c>
      <c r="D72" s="3">
        <v>45148</v>
      </c>
      <c r="E72" s="1">
        <v>15091.69</v>
      </c>
      <c r="F72" t="s">
        <v>4037</v>
      </c>
      <c r="G72" t="str">
        <f>_xlfn.XLOOKUP(B72,tblVendors[VendorID],tblVendors[VendorName],"Unmapped")</f>
        <v>Cocoa World Inc.</v>
      </c>
      <c r="H72">
        <f t="shared" si="3"/>
        <v>30</v>
      </c>
      <c r="I72" s="1">
        <f t="shared" si="4"/>
        <v>0</v>
      </c>
      <c r="J72" t="str">
        <f t="shared" ca="1" si="5"/>
        <v>Paid</v>
      </c>
    </row>
    <row r="73" spans="1:10" x14ac:dyDescent="0.25">
      <c r="A73" t="s">
        <v>4268</v>
      </c>
      <c r="B73" t="s">
        <v>4042</v>
      </c>
      <c r="C73" s="3">
        <v>45121</v>
      </c>
      <c r="D73" s="3">
        <v>45151</v>
      </c>
      <c r="E73" s="1">
        <v>11113.3</v>
      </c>
      <c r="F73" t="s">
        <v>4040</v>
      </c>
      <c r="G73" t="str">
        <f>_xlfn.XLOOKUP(B73,tblVendors[VendorID],tblVendors[VendorName],"Unmapped")</f>
        <v>Cocoa World Inc.</v>
      </c>
      <c r="H73">
        <f t="shared" si="3"/>
        <v>30</v>
      </c>
      <c r="I73" s="1">
        <f t="shared" si="4"/>
        <v>11113.3</v>
      </c>
      <c r="J73" t="str">
        <f t="shared" ca="1" si="5"/>
        <v>Overdue</v>
      </c>
    </row>
    <row r="74" spans="1:10" x14ac:dyDescent="0.25">
      <c r="A74" t="s">
        <v>4140</v>
      </c>
      <c r="B74" t="s">
        <v>4036</v>
      </c>
      <c r="C74" s="3">
        <v>45131</v>
      </c>
      <c r="D74" s="3">
        <v>45161</v>
      </c>
      <c r="E74" s="1">
        <v>19527</v>
      </c>
      <c r="F74" t="s">
        <v>4037</v>
      </c>
      <c r="G74" t="str">
        <f>_xlfn.XLOOKUP(B74,tblVendors[VendorID],tblVendors[VendorName],"Unmapped")</f>
        <v>Cloud Services LLC</v>
      </c>
      <c r="H74">
        <f t="shared" si="3"/>
        <v>30</v>
      </c>
      <c r="I74" s="1">
        <f t="shared" si="4"/>
        <v>0</v>
      </c>
      <c r="J74" t="str">
        <f t="shared" ca="1" si="5"/>
        <v>Paid</v>
      </c>
    </row>
    <row r="75" spans="1:10" x14ac:dyDescent="0.25">
      <c r="A75" t="s">
        <v>4107</v>
      </c>
      <c r="B75" t="s">
        <v>4042</v>
      </c>
      <c r="C75" s="3">
        <v>45135</v>
      </c>
      <c r="D75" s="3">
        <v>45165</v>
      </c>
      <c r="E75" s="1">
        <v>12266.21</v>
      </c>
      <c r="F75" t="s">
        <v>4037</v>
      </c>
      <c r="G75" t="str">
        <f>_xlfn.XLOOKUP(B75,tblVendors[VendorID],tblVendors[VendorName],"Unmapped")</f>
        <v>Cocoa World Inc.</v>
      </c>
      <c r="H75">
        <f t="shared" si="3"/>
        <v>30</v>
      </c>
      <c r="I75" s="1">
        <f t="shared" si="4"/>
        <v>0</v>
      </c>
      <c r="J75" t="str">
        <f t="shared" ca="1" si="5"/>
        <v>Paid</v>
      </c>
    </row>
    <row r="76" spans="1:10" x14ac:dyDescent="0.25">
      <c r="A76" t="s">
        <v>4214</v>
      </c>
      <c r="B76" t="s">
        <v>4047</v>
      </c>
      <c r="C76" s="3">
        <v>45137</v>
      </c>
      <c r="D76" s="3">
        <v>45167</v>
      </c>
      <c r="E76" s="1">
        <v>8485.15</v>
      </c>
      <c r="F76" t="s">
        <v>4040</v>
      </c>
      <c r="G76" t="str">
        <f>_xlfn.XLOOKUP(B76,tblVendors[VendorID],tblVendors[VendorName],"Unmapped")</f>
        <v>Global Sweeteners</v>
      </c>
      <c r="H76">
        <f t="shared" si="3"/>
        <v>30</v>
      </c>
      <c r="I76" s="1">
        <f t="shared" si="4"/>
        <v>8485.15</v>
      </c>
      <c r="J76" t="str">
        <f t="shared" ca="1" si="5"/>
        <v>Overdue</v>
      </c>
    </row>
    <row r="77" spans="1:10" x14ac:dyDescent="0.25">
      <c r="A77" t="s">
        <v>4265</v>
      </c>
      <c r="B77" t="s">
        <v>4042</v>
      </c>
      <c r="C77" s="3">
        <v>45141</v>
      </c>
      <c r="D77" s="3">
        <v>45171</v>
      </c>
      <c r="E77" s="1">
        <v>2033.85</v>
      </c>
      <c r="F77" t="s">
        <v>4040</v>
      </c>
      <c r="G77" t="str">
        <f>_xlfn.XLOOKUP(B77,tblVendors[VendorID],tblVendors[VendorName],"Unmapped")</f>
        <v>Cocoa World Inc.</v>
      </c>
      <c r="H77">
        <f t="shared" si="3"/>
        <v>30</v>
      </c>
      <c r="I77" s="1">
        <f t="shared" si="4"/>
        <v>2033.85</v>
      </c>
      <c r="J77" t="str">
        <f t="shared" ca="1" si="5"/>
        <v>Overdue</v>
      </c>
    </row>
    <row r="78" spans="1:10" x14ac:dyDescent="0.25">
      <c r="A78" t="s">
        <v>4191</v>
      </c>
      <c r="B78" t="s">
        <v>4047</v>
      </c>
      <c r="C78" s="3">
        <v>45142</v>
      </c>
      <c r="D78" s="3">
        <v>45172</v>
      </c>
      <c r="E78" s="1">
        <v>10917.55</v>
      </c>
      <c r="F78" t="s">
        <v>4037</v>
      </c>
      <c r="G78" t="str">
        <f>_xlfn.XLOOKUP(B78,tblVendors[VendorID],tblVendors[VendorName],"Unmapped")</f>
        <v>Global Sweeteners</v>
      </c>
      <c r="H78">
        <f t="shared" si="3"/>
        <v>30</v>
      </c>
      <c r="I78" s="1">
        <f t="shared" si="4"/>
        <v>0</v>
      </c>
      <c r="J78" t="str">
        <f t="shared" ca="1" si="5"/>
        <v>Paid</v>
      </c>
    </row>
    <row r="79" spans="1:10" x14ac:dyDescent="0.25">
      <c r="A79" t="s">
        <v>4223</v>
      </c>
      <c r="B79" t="s">
        <v>4045</v>
      </c>
      <c r="C79" s="3">
        <v>45142</v>
      </c>
      <c r="D79" s="3">
        <v>45172</v>
      </c>
      <c r="E79" s="1">
        <v>12208.37</v>
      </c>
      <c r="F79" t="s">
        <v>4037</v>
      </c>
      <c r="G79" t="str">
        <f>_xlfn.XLOOKUP(B79,tblVendors[VendorID],tblVendors[VendorName],"Unmapped")</f>
        <v>Office Supplies Co.</v>
      </c>
      <c r="H79">
        <f t="shared" si="3"/>
        <v>30</v>
      </c>
      <c r="I79" s="1">
        <f t="shared" si="4"/>
        <v>0</v>
      </c>
      <c r="J79" t="str">
        <f t="shared" ca="1" si="5"/>
        <v>Paid</v>
      </c>
    </row>
    <row r="80" spans="1:10" x14ac:dyDescent="0.25">
      <c r="A80" t="s">
        <v>4413</v>
      </c>
      <c r="B80" t="s">
        <v>4047</v>
      </c>
      <c r="C80" s="3">
        <v>45142</v>
      </c>
      <c r="D80" s="3">
        <v>45172</v>
      </c>
      <c r="E80" s="1">
        <v>14573.65</v>
      </c>
      <c r="F80" t="s">
        <v>4040</v>
      </c>
      <c r="G80" t="str">
        <f>_xlfn.XLOOKUP(B80,tblVendors[VendorID],tblVendors[VendorName],"Unmapped")</f>
        <v>Global Sweeteners</v>
      </c>
      <c r="H80">
        <f t="shared" si="3"/>
        <v>30</v>
      </c>
      <c r="I80" s="1">
        <f t="shared" si="4"/>
        <v>14573.65</v>
      </c>
      <c r="J80" t="str">
        <f t="shared" ca="1" si="5"/>
        <v>Overdue</v>
      </c>
    </row>
    <row r="81" spans="1:10" x14ac:dyDescent="0.25">
      <c r="A81" t="s">
        <v>4069</v>
      </c>
      <c r="B81" t="s">
        <v>4039</v>
      </c>
      <c r="C81" s="3">
        <v>45146</v>
      </c>
      <c r="D81" s="3">
        <v>45176</v>
      </c>
      <c r="E81" s="1">
        <v>11811.63</v>
      </c>
      <c r="F81" t="s">
        <v>4037</v>
      </c>
      <c r="G81" t="str">
        <f>_xlfn.XLOOKUP(B81,tblVendors[VendorID],tblVendors[VendorName],"Unmapped")</f>
        <v>Dairy Farms United</v>
      </c>
      <c r="H81">
        <f t="shared" si="3"/>
        <v>30</v>
      </c>
      <c r="I81" s="1">
        <f t="shared" si="4"/>
        <v>0</v>
      </c>
      <c r="J81" t="str">
        <f t="shared" ca="1" si="5"/>
        <v>Paid</v>
      </c>
    </row>
    <row r="82" spans="1:10" x14ac:dyDescent="0.25">
      <c r="A82" t="s">
        <v>4120</v>
      </c>
      <c r="B82" t="s">
        <v>4062</v>
      </c>
      <c r="C82" s="3">
        <v>45168</v>
      </c>
      <c r="D82" s="3">
        <v>45198</v>
      </c>
      <c r="E82" s="1">
        <v>18649.12</v>
      </c>
      <c r="F82" t="s">
        <v>4037</v>
      </c>
      <c r="G82" t="str">
        <f>_xlfn.XLOOKUP(B82,tblVendors[VendorID],tblVendors[VendorName],"Unmapped")</f>
        <v>Packaging Pros</v>
      </c>
      <c r="H82">
        <f t="shared" si="3"/>
        <v>30</v>
      </c>
      <c r="I82" s="1">
        <f t="shared" si="4"/>
        <v>0</v>
      </c>
      <c r="J82" t="str">
        <f t="shared" ca="1" si="5"/>
        <v>Paid</v>
      </c>
    </row>
    <row r="83" spans="1:10" x14ac:dyDescent="0.25">
      <c r="A83" t="s">
        <v>4262</v>
      </c>
      <c r="B83" t="s">
        <v>4047</v>
      </c>
      <c r="C83" s="3">
        <v>45169</v>
      </c>
      <c r="D83" s="3">
        <v>45199</v>
      </c>
      <c r="E83" s="1">
        <v>9568.48</v>
      </c>
      <c r="F83" t="s">
        <v>4040</v>
      </c>
      <c r="G83" t="str">
        <f>_xlfn.XLOOKUP(B83,tblVendors[VendorID],tblVendors[VendorName],"Unmapped")</f>
        <v>Global Sweeteners</v>
      </c>
      <c r="H83">
        <f t="shared" si="3"/>
        <v>30</v>
      </c>
      <c r="I83" s="1">
        <f t="shared" si="4"/>
        <v>9568.48</v>
      </c>
      <c r="J83" t="str">
        <f t="shared" ca="1" si="5"/>
        <v>Overdue</v>
      </c>
    </row>
    <row r="84" spans="1:10" x14ac:dyDescent="0.25">
      <c r="A84" t="s">
        <v>4182</v>
      </c>
      <c r="B84" t="s">
        <v>4042</v>
      </c>
      <c r="C84" s="3">
        <v>45178</v>
      </c>
      <c r="D84" s="3">
        <v>45208</v>
      </c>
      <c r="E84" s="1">
        <v>1974.41</v>
      </c>
      <c r="F84" t="s">
        <v>4037</v>
      </c>
      <c r="G84" t="str">
        <f>_xlfn.XLOOKUP(B84,tblVendors[VendorID],tblVendors[VendorName],"Unmapped")</f>
        <v>Cocoa World Inc.</v>
      </c>
      <c r="H84">
        <f t="shared" si="3"/>
        <v>30</v>
      </c>
      <c r="I84" s="1">
        <f t="shared" si="4"/>
        <v>0</v>
      </c>
      <c r="J84" t="str">
        <f t="shared" ca="1" si="5"/>
        <v>Paid</v>
      </c>
    </row>
    <row r="85" spans="1:10" x14ac:dyDescent="0.25">
      <c r="A85" t="s">
        <v>4356</v>
      </c>
      <c r="B85" t="s">
        <v>4036</v>
      </c>
      <c r="C85" s="3">
        <v>45178</v>
      </c>
      <c r="D85" s="3">
        <v>45208</v>
      </c>
      <c r="E85" s="1">
        <v>3999.7</v>
      </c>
      <c r="F85" t="s">
        <v>4037</v>
      </c>
      <c r="G85" t="str">
        <f>_xlfn.XLOOKUP(B85,tblVendors[VendorID],tblVendors[VendorName],"Unmapped")</f>
        <v>Cloud Services LLC</v>
      </c>
      <c r="H85">
        <f t="shared" si="3"/>
        <v>30</v>
      </c>
      <c r="I85" s="1">
        <f t="shared" si="4"/>
        <v>0</v>
      </c>
      <c r="J85" t="str">
        <f t="shared" ca="1" si="5"/>
        <v>Paid</v>
      </c>
    </row>
    <row r="86" spans="1:10" x14ac:dyDescent="0.25">
      <c r="A86" t="s">
        <v>4243</v>
      </c>
      <c r="B86" t="s">
        <v>4042</v>
      </c>
      <c r="C86" s="3">
        <v>45180</v>
      </c>
      <c r="D86" s="3">
        <v>45210</v>
      </c>
      <c r="E86" s="1">
        <v>1071.75</v>
      </c>
      <c r="F86" t="s">
        <v>4037</v>
      </c>
      <c r="G86" t="str">
        <f>_xlfn.XLOOKUP(B86,tblVendors[VendorID],tblVendors[VendorName],"Unmapped")</f>
        <v>Cocoa World Inc.</v>
      </c>
      <c r="H86">
        <f t="shared" si="3"/>
        <v>30</v>
      </c>
      <c r="I86" s="1">
        <f t="shared" si="4"/>
        <v>0</v>
      </c>
      <c r="J86" t="str">
        <f t="shared" ca="1" si="5"/>
        <v>Paid</v>
      </c>
    </row>
    <row r="87" spans="1:10" x14ac:dyDescent="0.25">
      <c r="A87" t="s">
        <v>4143</v>
      </c>
      <c r="B87" t="s">
        <v>4036</v>
      </c>
      <c r="C87" s="3">
        <v>45182</v>
      </c>
      <c r="D87" s="3">
        <v>45212</v>
      </c>
      <c r="E87" s="1">
        <v>19524.79</v>
      </c>
      <c r="F87" t="s">
        <v>4037</v>
      </c>
      <c r="G87" t="str">
        <f>_xlfn.XLOOKUP(B87,tblVendors[VendorID],tblVendors[VendorName],"Unmapped")</f>
        <v>Cloud Services LLC</v>
      </c>
      <c r="H87">
        <f t="shared" si="3"/>
        <v>30</v>
      </c>
      <c r="I87" s="1">
        <f t="shared" si="4"/>
        <v>0</v>
      </c>
      <c r="J87" t="str">
        <f t="shared" ca="1" si="5"/>
        <v>Paid</v>
      </c>
    </row>
    <row r="88" spans="1:10" x14ac:dyDescent="0.25">
      <c r="A88" t="s">
        <v>4274</v>
      </c>
      <c r="B88" t="s">
        <v>4039</v>
      </c>
      <c r="C88" s="3">
        <v>45182</v>
      </c>
      <c r="D88" s="3">
        <v>45212</v>
      </c>
      <c r="E88" s="1">
        <v>8476.07</v>
      </c>
      <c r="F88" t="s">
        <v>4037</v>
      </c>
      <c r="G88" t="str">
        <f>_xlfn.XLOOKUP(B88,tblVendors[VendorID],tblVendors[VendorName],"Unmapped")</f>
        <v>Dairy Farms United</v>
      </c>
      <c r="H88">
        <f t="shared" si="3"/>
        <v>30</v>
      </c>
      <c r="I88" s="1">
        <f t="shared" si="4"/>
        <v>0</v>
      </c>
      <c r="J88" t="str">
        <f t="shared" ca="1" si="5"/>
        <v>Paid</v>
      </c>
    </row>
    <row r="89" spans="1:10" x14ac:dyDescent="0.25">
      <c r="A89" t="s">
        <v>4094</v>
      </c>
      <c r="B89" t="s">
        <v>4045</v>
      </c>
      <c r="C89" s="3">
        <v>45185</v>
      </c>
      <c r="D89" s="3">
        <v>45215</v>
      </c>
      <c r="E89" s="1">
        <v>11482.88</v>
      </c>
      <c r="F89" t="s">
        <v>4037</v>
      </c>
      <c r="G89" t="str">
        <f>_xlfn.XLOOKUP(B89,tblVendors[VendorID],tblVendors[VendorName],"Unmapped")</f>
        <v>Office Supplies Co.</v>
      </c>
      <c r="H89">
        <f t="shared" si="3"/>
        <v>30</v>
      </c>
      <c r="I89" s="1">
        <f t="shared" si="4"/>
        <v>0</v>
      </c>
      <c r="J89" t="str">
        <f t="shared" ca="1" si="5"/>
        <v>Paid</v>
      </c>
    </row>
    <row r="90" spans="1:10" x14ac:dyDescent="0.25">
      <c r="A90" t="s">
        <v>4178</v>
      </c>
      <c r="B90" t="s">
        <v>4062</v>
      </c>
      <c r="C90" s="3">
        <v>45189</v>
      </c>
      <c r="D90" s="3">
        <v>45219</v>
      </c>
      <c r="E90" s="1">
        <v>8293.23</v>
      </c>
      <c r="F90" t="s">
        <v>4037</v>
      </c>
      <c r="G90" t="str">
        <f>_xlfn.XLOOKUP(B90,tblVendors[VendorID],tblVendors[VendorName],"Unmapped")</f>
        <v>Packaging Pros</v>
      </c>
      <c r="H90">
        <f t="shared" si="3"/>
        <v>30</v>
      </c>
      <c r="I90" s="1">
        <f t="shared" si="4"/>
        <v>0</v>
      </c>
      <c r="J90" t="str">
        <f t="shared" ca="1" si="5"/>
        <v>Paid</v>
      </c>
    </row>
    <row r="91" spans="1:10" x14ac:dyDescent="0.25">
      <c r="A91" t="s">
        <v>4455</v>
      </c>
      <c r="B91" t="s">
        <v>4045</v>
      </c>
      <c r="C91" s="3">
        <v>45192</v>
      </c>
      <c r="D91" s="3">
        <v>45222</v>
      </c>
      <c r="E91" s="1">
        <v>9172.83</v>
      </c>
      <c r="F91" t="s">
        <v>4037</v>
      </c>
      <c r="G91" t="str">
        <f>_xlfn.XLOOKUP(B91,tblVendors[VendorID],tblVendors[VendorName],"Unmapped")</f>
        <v>Office Supplies Co.</v>
      </c>
      <c r="H91">
        <f t="shared" si="3"/>
        <v>30</v>
      </c>
      <c r="I91" s="1">
        <f t="shared" si="4"/>
        <v>0</v>
      </c>
      <c r="J91" t="str">
        <f t="shared" ca="1" si="5"/>
        <v>Paid</v>
      </c>
    </row>
    <row r="92" spans="1:10" x14ac:dyDescent="0.25">
      <c r="A92" t="s">
        <v>4070</v>
      </c>
      <c r="B92" t="s">
        <v>4047</v>
      </c>
      <c r="C92" s="3">
        <v>45196</v>
      </c>
      <c r="D92" s="3">
        <v>45226</v>
      </c>
      <c r="E92" s="1">
        <v>19890.509999999998</v>
      </c>
      <c r="F92" t="s">
        <v>4037</v>
      </c>
      <c r="G92" t="str">
        <f>_xlfn.XLOOKUP(B92,tblVendors[VendorID],tblVendors[VendorName],"Unmapped")</f>
        <v>Global Sweeteners</v>
      </c>
      <c r="H92">
        <f t="shared" si="3"/>
        <v>30</v>
      </c>
      <c r="I92" s="1">
        <f t="shared" si="4"/>
        <v>0</v>
      </c>
      <c r="J92" t="str">
        <f t="shared" ca="1" si="5"/>
        <v>Paid</v>
      </c>
    </row>
    <row r="93" spans="1:10" x14ac:dyDescent="0.25">
      <c r="A93" t="s">
        <v>4423</v>
      </c>
      <c r="B93" t="s">
        <v>4036</v>
      </c>
      <c r="C93" s="3">
        <v>45198</v>
      </c>
      <c r="D93" s="3">
        <v>45228</v>
      </c>
      <c r="E93" s="1">
        <v>5123.4399999999996</v>
      </c>
      <c r="F93" t="s">
        <v>4037</v>
      </c>
      <c r="G93" t="str">
        <f>_xlfn.XLOOKUP(B93,tblVendors[VendorID],tblVendors[VendorName],"Unmapped")</f>
        <v>Cloud Services LLC</v>
      </c>
      <c r="H93">
        <f t="shared" si="3"/>
        <v>30</v>
      </c>
      <c r="I93" s="1">
        <f t="shared" si="4"/>
        <v>0</v>
      </c>
      <c r="J93" t="str">
        <f t="shared" ca="1" si="5"/>
        <v>Paid</v>
      </c>
    </row>
    <row r="94" spans="1:10" x14ac:dyDescent="0.25">
      <c r="A94" t="s">
        <v>4498</v>
      </c>
      <c r="B94" t="s">
        <v>4036</v>
      </c>
      <c r="C94" s="3">
        <v>45198</v>
      </c>
      <c r="D94" s="3">
        <v>45228</v>
      </c>
      <c r="E94" s="1">
        <v>2608.0100000000002</v>
      </c>
      <c r="F94" t="s">
        <v>4037</v>
      </c>
      <c r="G94" t="str">
        <f>_xlfn.XLOOKUP(B94,tblVendors[VendorID],tblVendors[VendorName],"Unmapped")</f>
        <v>Cloud Services LLC</v>
      </c>
      <c r="H94">
        <f t="shared" si="3"/>
        <v>30</v>
      </c>
      <c r="I94" s="1">
        <f t="shared" si="4"/>
        <v>0</v>
      </c>
      <c r="J94" t="str">
        <f t="shared" ca="1" si="5"/>
        <v>Paid</v>
      </c>
    </row>
    <row r="95" spans="1:10" x14ac:dyDescent="0.25">
      <c r="A95" t="s">
        <v>4057</v>
      </c>
      <c r="B95" t="s">
        <v>4042</v>
      </c>
      <c r="C95" s="3">
        <v>45200</v>
      </c>
      <c r="D95" s="3">
        <v>45230</v>
      </c>
      <c r="E95" s="1">
        <v>1566.19</v>
      </c>
      <c r="F95" t="s">
        <v>4037</v>
      </c>
      <c r="G95" t="str">
        <f>_xlfn.XLOOKUP(B95,tblVendors[VendorID],tblVendors[VendorName],"Unmapped")</f>
        <v>Cocoa World Inc.</v>
      </c>
      <c r="H95">
        <f t="shared" si="3"/>
        <v>30</v>
      </c>
      <c r="I95" s="1">
        <f t="shared" si="4"/>
        <v>0</v>
      </c>
      <c r="J95" t="str">
        <f t="shared" ca="1" si="5"/>
        <v>Paid</v>
      </c>
    </row>
    <row r="96" spans="1:10" x14ac:dyDescent="0.25">
      <c r="A96" t="s">
        <v>4427</v>
      </c>
      <c r="B96" t="s">
        <v>4047</v>
      </c>
      <c r="C96" s="3">
        <v>45200</v>
      </c>
      <c r="D96" s="3">
        <v>45230</v>
      </c>
      <c r="E96" s="1">
        <v>19938.39</v>
      </c>
      <c r="F96" t="s">
        <v>4037</v>
      </c>
      <c r="G96" t="str">
        <f>_xlfn.XLOOKUP(B96,tblVendors[VendorID],tblVendors[VendorName],"Unmapped")</f>
        <v>Global Sweeteners</v>
      </c>
      <c r="H96">
        <f t="shared" si="3"/>
        <v>30</v>
      </c>
      <c r="I96" s="1">
        <f t="shared" si="4"/>
        <v>0</v>
      </c>
      <c r="J96" t="str">
        <f t="shared" ca="1" si="5"/>
        <v>Paid</v>
      </c>
    </row>
    <row r="97" spans="1:10" x14ac:dyDescent="0.25">
      <c r="A97" t="s">
        <v>4387</v>
      </c>
      <c r="B97" t="s">
        <v>4047</v>
      </c>
      <c r="C97" s="3">
        <v>45201</v>
      </c>
      <c r="D97" s="3">
        <v>45231</v>
      </c>
      <c r="E97" s="1">
        <v>3190.38</v>
      </c>
      <c r="F97" t="s">
        <v>4037</v>
      </c>
      <c r="G97" t="str">
        <f>_xlfn.XLOOKUP(B97,tblVendors[VendorID],tblVendors[VendorName],"Unmapped")</f>
        <v>Global Sweeteners</v>
      </c>
      <c r="H97">
        <f t="shared" si="3"/>
        <v>30</v>
      </c>
      <c r="I97" s="1">
        <f t="shared" si="4"/>
        <v>0</v>
      </c>
      <c r="J97" t="str">
        <f t="shared" ca="1" si="5"/>
        <v>Paid</v>
      </c>
    </row>
    <row r="98" spans="1:10" x14ac:dyDescent="0.25">
      <c r="A98" t="s">
        <v>4183</v>
      </c>
      <c r="B98" t="s">
        <v>4036</v>
      </c>
      <c r="C98" s="3">
        <v>45204</v>
      </c>
      <c r="D98" s="3">
        <v>45234</v>
      </c>
      <c r="E98" s="1">
        <v>15638.18</v>
      </c>
      <c r="F98" t="s">
        <v>4037</v>
      </c>
      <c r="G98" t="str">
        <f>_xlfn.XLOOKUP(B98,tblVendors[VendorID],tblVendors[VendorName],"Unmapped")</f>
        <v>Cloud Services LLC</v>
      </c>
      <c r="H98">
        <f t="shared" si="3"/>
        <v>30</v>
      </c>
      <c r="I98" s="1">
        <f t="shared" si="4"/>
        <v>0</v>
      </c>
      <c r="J98" t="str">
        <f t="shared" ca="1" si="5"/>
        <v>Paid</v>
      </c>
    </row>
    <row r="99" spans="1:10" x14ac:dyDescent="0.25">
      <c r="A99" t="s">
        <v>4361</v>
      </c>
      <c r="B99" t="s">
        <v>4039</v>
      </c>
      <c r="C99" s="3">
        <v>45205</v>
      </c>
      <c r="D99" s="3">
        <v>45235</v>
      </c>
      <c r="E99" s="1">
        <v>4100.7700000000004</v>
      </c>
      <c r="F99" t="s">
        <v>4037</v>
      </c>
      <c r="G99" t="str">
        <f>_xlfn.XLOOKUP(B99,tblVendors[VendorID],tblVendors[VendorName],"Unmapped")</f>
        <v>Dairy Farms United</v>
      </c>
      <c r="H99">
        <f t="shared" si="3"/>
        <v>30</v>
      </c>
      <c r="I99" s="1">
        <f t="shared" si="4"/>
        <v>0</v>
      </c>
      <c r="J99" t="str">
        <f t="shared" ca="1" si="5"/>
        <v>Paid</v>
      </c>
    </row>
    <row r="100" spans="1:10" x14ac:dyDescent="0.25">
      <c r="A100" t="s">
        <v>4212</v>
      </c>
      <c r="B100" t="s">
        <v>4039</v>
      </c>
      <c r="C100" s="3">
        <v>45207</v>
      </c>
      <c r="D100" s="3">
        <v>45237</v>
      </c>
      <c r="E100" s="1">
        <v>2866.02</v>
      </c>
      <c r="F100" t="s">
        <v>4037</v>
      </c>
      <c r="G100" t="str">
        <f>_xlfn.XLOOKUP(B100,tblVendors[VendorID],tblVendors[VendorName],"Unmapped")</f>
        <v>Dairy Farms United</v>
      </c>
      <c r="H100">
        <f t="shared" si="3"/>
        <v>30</v>
      </c>
      <c r="I100" s="1">
        <f t="shared" si="4"/>
        <v>0</v>
      </c>
      <c r="J100" t="str">
        <f t="shared" ca="1" si="5"/>
        <v>Paid</v>
      </c>
    </row>
    <row r="101" spans="1:10" x14ac:dyDescent="0.25">
      <c r="A101" t="s">
        <v>4091</v>
      </c>
      <c r="B101" t="s">
        <v>4047</v>
      </c>
      <c r="C101" s="3">
        <v>45210</v>
      </c>
      <c r="D101" s="3">
        <v>45240</v>
      </c>
      <c r="E101" s="1">
        <v>10728.64</v>
      </c>
      <c r="F101" t="s">
        <v>4037</v>
      </c>
      <c r="G101" t="str">
        <f>_xlfn.XLOOKUP(B101,tblVendors[VendorID],tblVendors[VendorName],"Unmapped")</f>
        <v>Global Sweeteners</v>
      </c>
      <c r="H101">
        <f t="shared" si="3"/>
        <v>30</v>
      </c>
      <c r="I101" s="1">
        <f t="shared" si="4"/>
        <v>0</v>
      </c>
      <c r="J101" t="str">
        <f t="shared" ca="1" si="5"/>
        <v>Paid</v>
      </c>
    </row>
    <row r="102" spans="1:10" x14ac:dyDescent="0.25">
      <c r="A102" t="s">
        <v>4041</v>
      </c>
      <c r="B102" t="s">
        <v>4042</v>
      </c>
      <c r="C102" s="3">
        <v>45213</v>
      </c>
      <c r="D102" s="3">
        <v>45243</v>
      </c>
      <c r="E102" s="1">
        <v>13478.55</v>
      </c>
      <c r="F102" t="s">
        <v>4037</v>
      </c>
      <c r="G102" t="str">
        <f>_xlfn.XLOOKUP(B102,tblVendors[VendorID],tblVendors[VendorName],"Unmapped")</f>
        <v>Cocoa World Inc.</v>
      </c>
      <c r="H102">
        <f t="shared" si="3"/>
        <v>30</v>
      </c>
      <c r="I102" s="1">
        <f t="shared" si="4"/>
        <v>0</v>
      </c>
      <c r="J102" t="str">
        <f t="shared" ca="1" si="5"/>
        <v>Paid</v>
      </c>
    </row>
    <row r="103" spans="1:10" x14ac:dyDescent="0.25">
      <c r="A103" t="s">
        <v>4513</v>
      </c>
      <c r="B103" t="s">
        <v>4062</v>
      </c>
      <c r="C103" s="3">
        <v>45214</v>
      </c>
      <c r="D103" s="3">
        <v>45244</v>
      </c>
      <c r="E103" s="1">
        <v>16142.71</v>
      </c>
      <c r="F103" t="s">
        <v>4037</v>
      </c>
      <c r="G103" t="str">
        <f>_xlfn.XLOOKUP(B103,tblVendors[VendorID],tblVendors[VendorName],"Unmapped")</f>
        <v>Packaging Pros</v>
      </c>
      <c r="H103">
        <f t="shared" si="3"/>
        <v>30</v>
      </c>
      <c r="I103" s="1">
        <f t="shared" si="4"/>
        <v>0</v>
      </c>
      <c r="J103" t="str">
        <f t="shared" ca="1" si="5"/>
        <v>Paid</v>
      </c>
    </row>
    <row r="104" spans="1:10" x14ac:dyDescent="0.25">
      <c r="A104" t="s">
        <v>4350</v>
      </c>
      <c r="B104" t="s">
        <v>4042</v>
      </c>
      <c r="C104" s="3">
        <v>45215</v>
      </c>
      <c r="D104" s="3">
        <v>45245</v>
      </c>
      <c r="E104" s="1">
        <v>19101.41</v>
      </c>
      <c r="F104" t="s">
        <v>4037</v>
      </c>
      <c r="G104" t="str">
        <f>_xlfn.XLOOKUP(B104,tblVendors[VendorID],tblVendors[VendorName],"Unmapped")</f>
        <v>Cocoa World Inc.</v>
      </c>
      <c r="H104">
        <f t="shared" si="3"/>
        <v>30</v>
      </c>
      <c r="I104" s="1">
        <f t="shared" si="4"/>
        <v>0</v>
      </c>
      <c r="J104" t="str">
        <f t="shared" ca="1" si="5"/>
        <v>Paid</v>
      </c>
    </row>
    <row r="105" spans="1:10" x14ac:dyDescent="0.25">
      <c r="A105" t="s">
        <v>4193</v>
      </c>
      <c r="B105" t="s">
        <v>4042</v>
      </c>
      <c r="C105" s="3">
        <v>45220</v>
      </c>
      <c r="D105" s="3">
        <v>45250</v>
      </c>
      <c r="E105" s="1">
        <v>11805.38</v>
      </c>
      <c r="F105" t="s">
        <v>4037</v>
      </c>
      <c r="G105" t="str">
        <f>_xlfn.XLOOKUP(B105,tblVendors[VendorID],tblVendors[VendorName],"Unmapped")</f>
        <v>Cocoa World Inc.</v>
      </c>
      <c r="H105">
        <f t="shared" si="3"/>
        <v>30</v>
      </c>
      <c r="I105" s="1">
        <f t="shared" si="4"/>
        <v>0</v>
      </c>
      <c r="J105" t="str">
        <f t="shared" ca="1" si="5"/>
        <v>Paid</v>
      </c>
    </row>
    <row r="106" spans="1:10" x14ac:dyDescent="0.25">
      <c r="A106" t="s">
        <v>4208</v>
      </c>
      <c r="B106" t="s">
        <v>4045</v>
      </c>
      <c r="C106" s="3">
        <v>45221</v>
      </c>
      <c r="D106" s="3">
        <v>45251</v>
      </c>
      <c r="E106" s="1">
        <v>15368.38</v>
      </c>
      <c r="F106" t="s">
        <v>4037</v>
      </c>
      <c r="G106" t="str">
        <f>_xlfn.XLOOKUP(B106,tblVendors[VendorID],tblVendors[VendorName],"Unmapped")</f>
        <v>Office Supplies Co.</v>
      </c>
      <c r="H106">
        <f t="shared" si="3"/>
        <v>30</v>
      </c>
      <c r="I106" s="1">
        <f t="shared" si="4"/>
        <v>0</v>
      </c>
      <c r="J106" t="str">
        <f t="shared" ca="1" si="5"/>
        <v>Paid</v>
      </c>
    </row>
    <row r="107" spans="1:10" x14ac:dyDescent="0.25">
      <c r="A107" t="s">
        <v>4280</v>
      </c>
      <c r="B107" t="s">
        <v>4036</v>
      </c>
      <c r="C107" s="3">
        <v>45222</v>
      </c>
      <c r="D107" s="3">
        <v>45252</v>
      </c>
      <c r="E107" s="1">
        <v>14493.45</v>
      </c>
      <c r="F107" t="s">
        <v>4037</v>
      </c>
      <c r="G107" t="str">
        <f>_xlfn.XLOOKUP(B107,tblVendors[VendorID],tblVendors[VendorName],"Unmapped")</f>
        <v>Cloud Services LLC</v>
      </c>
      <c r="H107">
        <f t="shared" si="3"/>
        <v>30</v>
      </c>
      <c r="I107" s="1">
        <f t="shared" si="4"/>
        <v>0</v>
      </c>
      <c r="J107" t="str">
        <f t="shared" ca="1" si="5"/>
        <v>Paid</v>
      </c>
    </row>
    <row r="108" spans="1:10" x14ac:dyDescent="0.25">
      <c r="A108" t="s">
        <v>4307</v>
      </c>
      <c r="B108" t="s">
        <v>4039</v>
      </c>
      <c r="C108" s="3">
        <v>45226</v>
      </c>
      <c r="D108" s="3">
        <v>45256</v>
      </c>
      <c r="E108" s="1">
        <v>4522.32</v>
      </c>
      <c r="F108" t="s">
        <v>4037</v>
      </c>
      <c r="G108" t="str">
        <f>_xlfn.XLOOKUP(B108,tblVendors[VendorID],tblVendors[VendorName],"Unmapped")</f>
        <v>Dairy Farms United</v>
      </c>
      <c r="H108">
        <f t="shared" si="3"/>
        <v>30</v>
      </c>
      <c r="I108" s="1">
        <f t="shared" si="4"/>
        <v>0</v>
      </c>
      <c r="J108" t="str">
        <f t="shared" ca="1" si="5"/>
        <v>Paid</v>
      </c>
    </row>
    <row r="109" spans="1:10" x14ac:dyDescent="0.25">
      <c r="A109" t="s">
        <v>4539</v>
      </c>
      <c r="B109" t="s">
        <v>4045</v>
      </c>
      <c r="C109" s="3">
        <v>45226</v>
      </c>
      <c r="D109" s="3">
        <v>45256</v>
      </c>
      <c r="E109" s="1">
        <v>3351.43</v>
      </c>
      <c r="F109" t="s">
        <v>4037</v>
      </c>
      <c r="G109" t="str">
        <f>_xlfn.XLOOKUP(B109,tblVendors[VendorID],tblVendors[VendorName],"Unmapped")</f>
        <v>Office Supplies Co.</v>
      </c>
      <c r="H109">
        <f t="shared" si="3"/>
        <v>30</v>
      </c>
      <c r="I109" s="1">
        <f t="shared" si="4"/>
        <v>0</v>
      </c>
      <c r="J109" t="str">
        <f t="shared" ca="1" si="5"/>
        <v>Paid</v>
      </c>
    </row>
    <row r="110" spans="1:10" x14ac:dyDescent="0.25">
      <c r="A110" t="s">
        <v>4113</v>
      </c>
      <c r="B110" t="s">
        <v>4039</v>
      </c>
      <c r="C110" s="3">
        <v>45227</v>
      </c>
      <c r="D110" s="3">
        <v>45257</v>
      </c>
      <c r="E110" s="1">
        <v>1941.47</v>
      </c>
      <c r="F110" t="s">
        <v>4037</v>
      </c>
      <c r="G110" t="str">
        <f>_xlfn.XLOOKUP(B110,tblVendors[VendorID],tblVendors[VendorName],"Unmapped")</f>
        <v>Dairy Farms United</v>
      </c>
      <c r="H110">
        <f t="shared" si="3"/>
        <v>30</v>
      </c>
      <c r="I110" s="1">
        <f t="shared" si="4"/>
        <v>0</v>
      </c>
      <c r="J110" t="str">
        <f t="shared" ca="1" si="5"/>
        <v>Paid</v>
      </c>
    </row>
    <row r="111" spans="1:10" x14ac:dyDescent="0.25">
      <c r="A111" t="s">
        <v>4301</v>
      </c>
      <c r="B111" t="s">
        <v>4062</v>
      </c>
      <c r="C111" s="3">
        <v>45233</v>
      </c>
      <c r="D111" s="3">
        <v>45263</v>
      </c>
      <c r="E111" s="1">
        <v>1327.74</v>
      </c>
      <c r="F111" t="s">
        <v>4037</v>
      </c>
      <c r="G111" t="str">
        <f>_xlfn.XLOOKUP(B111,tblVendors[VendorID],tblVendors[VendorName],"Unmapped")</f>
        <v>Packaging Pros</v>
      </c>
      <c r="H111">
        <f t="shared" si="3"/>
        <v>30</v>
      </c>
      <c r="I111" s="1">
        <f t="shared" si="4"/>
        <v>0</v>
      </c>
      <c r="J111" t="str">
        <f t="shared" ca="1" si="5"/>
        <v>Paid</v>
      </c>
    </row>
    <row r="112" spans="1:10" x14ac:dyDescent="0.25">
      <c r="A112" t="s">
        <v>4204</v>
      </c>
      <c r="B112" t="s">
        <v>4047</v>
      </c>
      <c r="C112" s="3">
        <v>45236</v>
      </c>
      <c r="D112" s="3">
        <v>45266</v>
      </c>
      <c r="E112" s="1">
        <v>17497.599999999999</v>
      </c>
      <c r="F112" t="s">
        <v>4037</v>
      </c>
      <c r="G112" t="str">
        <f>_xlfn.XLOOKUP(B112,tblVendors[VendorID],tblVendors[VendorName],"Unmapped")</f>
        <v>Global Sweeteners</v>
      </c>
      <c r="H112">
        <f t="shared" si="3"/>
        <v>30</v>
      </c>
      <c r="I112" s="1">
        <f t="shared" si="4"/>
        <v>0</v>
      </c>
      <c r="J112" t="str">
        <f t="shared" ca="1" si="5"/>
        <v>Paid</v>
      </c>
    </row>
    <row r="113" spans="1:10" x14ac:dyDescent="0.25">
      <c r="A113" t="s">
        <v>4444</v>
      </c>
      <c r="B113" t="s">
        <v>4036</v>
      </c>
      <c r="C113" s="3">
        <v>45236</v>
      </c>
      <c r="D113" s="3">
        <v>45266</v>
      </c>
      <c r="E113" s="1">
        <v>9767.2099999999991</v>
      </c>
      <c r="F113" t="s">
        <v>4037</v>
      </c>
      <c r="G113" t="str">
        <f>_xlfn.XLOOKUP(B113,tblVendors[VendorID],tblVendors[VendorName],"Unmapped")</f>
        <v>Cloud Services LLC</v>
      </c>
      <c r="H113">
        <f t="shared" si="3"/>
        <v>30</v>
      </c>
      <c r="I113" s="1">
        <f t="shared" si="4"/>
        <v>0</v>
      </c>
      <c r="J113" t="str">
        <f t="shared" ca="1" si="5"/>
        <v>Paid</v>
      </c>
    </row>
    <row r="114" spans="1:10" x14ac:dyDescent="0.25">
      <c r="A114" t="s">
        <v>4488</v>
      </c>
      <c r="B114" t="s">
        <v>4039</v>
      </c>
      <c r="C114" s="3">
        <v>45238</v>
      </c>
      <c r="D114" s="3">
        <v>45268</v>
      </c>
      <c r="E114" s="1">
        <v>1910.16</v>
      </c>
      <c r="F114" t="s">
        <v>4037</v>
      </c>
      <c r="G114" t="str">
        <f>_xlfn.XLOOKUP(B114,tblVendors[VendorID],tblVendors[VendorName],"Unmapped")</f>
        <v>Dairy Farms United</v>
      </c>
      <c r="H114">
        <f t="shared" si="3"/>
        <v>30</v>
      </c>
      <c r="I114" s="1">
        <f t="shared" si="4"/>
        <v>0</v>
      </c>
      <c r="J114" t="str">
        <f t="shared" ca="1" si="5"/>
        <v>Paid</v>
      </c>
    </row>
    <row r="115" spans="1:10" x14ac:dyDescent="0.25">
      <c r="A115" t="s">
        <v>4253</v>
      </c>
      <c r="B115" t="s">
        <v>4045</v>
      </c>
      <c r="C115" s="3">
        <v>45239</v>
      </c>
      <c r="D115" s="3">
        <v>45269</v>
      </c>
      <c r="E115" s="1">
        <v>1872.82</v>
      </c>
      <c r="F115" t="s">
        <v>4037</v>
      </c>
      <c r="G115" t="str">
        <f>_xlfn.XLOOKUP(B115,tblVendors[VendorID],tblVendors[VendorName],"Unmapped")</f>
        <v>Office Supplies Co.</v>
      </c>
      <c r="H115">
        <f t="shared" si="3"/>
        <v>30</v>
      </c>
      <c r="I115" s="1">
        <f t="shared" si="4"/>
        <v>0</v>
      </c>
      <c r="J115" t="str">
        <f t="shared" ca="1" si="5"/>
        <v>Paid</v>
      </c>
    </row>
    <row r="116" spans="1:10" x14ac:dyDescent="0.25">
      <c r="A116" t="s">
        <v>4522</v>
      </c>
      <c r="B116" t="s">
        <v>4039</v>
      </c>
      <c r="C116" s="3">
        <v>45251</v>
      </c>
      <c r="D116" s="3">
        <v>45281</v>
      </c>
      <c r="E116" s="1">
        <v>12176.66</v>
      </c>
      <c r="F116" t="s">
        <v>4037</v>
      </c>
      <c r="G116" t="str">
        <f>_xlfn.XLOOKUP(B116,tblVendors[VendorID],tblVendors[VendorName],"Unmapped")</f>
        <v>Dairy Farms United</v>
      </c>
      <c r="H116">
        <f t="shared" si="3"/>
        <v>30</v>
      </c>
      <c r="I116" s="1">
        <f t="shared" si="4"/>
        <v>0</v>
      </c>
      <c r="J116" t="str">
        <f t="shared" ca="1" si="5"/>
        <v>Paid</v>
      </c>
    </row>
    <row r="117" spans="1:10" x14ac:dyDescent="0.25">
      <c r="A117" t="s">
        <v>4296</v>
      </c>
      <c r="B117" t="s">
        <v>4039</v>
      </c>
      <c r="C117" s="3">
        <v>45252</v>
      </c>
      <c r="D117" s="3">
        <v>45282</v>
      </c>
      <c r="E117" s="1">
        <v>3631.16</v>
      </c>
      <c r="F117" t="s">
        <v>4037</v>
      </c>
      <c r="G117" t="str">
        <f>_xlfn.XLOOKUP(B117,tblVendors[VendorID],tblVendors[VendorName],"Unmapped")</f>
        <v>Dairy Farms United</v>
      </c>
      <c r="H117">
        <f t="shared" si="3"/>
        <v>30</v>
      </c>
      <c r="I117" s="1">
        <f t="shared" si="4"/>
        <v>0</v>
      </c>
      <c r="J117" t="str">
        <f t="shared" ca="1" si="5"/>
        <v>Paid</v>
      </c>
    </row>
    <row r="118" spans="1:10" x14ac:dyDescent="0.25">
      <c r="A118" t="s">
        <v>4437</v>
      </c>
      <c r="B118" t="s">
        <v>4042</v>
      </c>
      <c r="C118" s="3">
        <v>45258</v>
      </c>
      <c r="D118" s="3">
        <v>45288</v>
      </c>
      <c r="E118" s="1">
        <v>10596.16</v>
      </c>
      <c r="F118" t="s">
        <v>4037</v>
      </c>
      <c r="G118" t="str">
        <f>_xlfn.XLOOKUP(B118,tblVendors[VendorID],tblVendors[VendorName],"Unmapped")</f>
        <v>Cocoa World Inc.</v>
      </c>
      <c r="H118">
        <f t="shared" si="3"/>
        <v>30</v>
      </c>
      <c r="I118" s="1">
        <f t="shared" si="4"/>
        <v>0</v>
      </c>
      <c r="J118" t="str">
        <f t="shared" ca="1" si="5"/>
        <v>Paid</v>
      </c>
    </row>
    <row r="119" spans="1:10" x14ac:dyDescent="0.25">
      <c r="A119" t="s">
        <v>4185</v>
      </c>
      <c r="B119" t="s">
        <v>4062</v>
      </c>
      <c r="C119" s="3">
        <v>45263</v>
      </c>
      <c r="D119" s="3">
        <v>45293</v>
      </c>
      <c r="E119" s="1">
        <v>6404.73</v>
      </c>
      <c r="F119" t="s">
        <v>4037</v>
      </c>
      <c r="G119" t="str">
        <f>_xlfn.XLOOKUP(B119,tblVendors[VendorID],tblVendors[VendorName],"Unmapped")</f>
        <v>Packaging Pros</v>
      </c>
      <c r="H119">
        <f t="shared" si="3"/>
        <v>30</v>
      </c>
      <c r="I119" s="1">
        <f t="shared" si="4"/>
        <v>0</v>
      </c>
      <c r="J119" t="str">
        <f t="shared" ca="1" si="5"/>
        <v>Paid</v>
      </c>
    </row>
    <row r="120" spans="1:10" x14ac:dyDescent="0.25">
      <c r="A120" t="s">
        <v>4347</v>
      </c>
      <c r="B120" t="s">
        <v>4062</v>
      </c>
      <c r="C120" s="3">
        <v>45263</v>
      </c>
      <c r="D120" s="3">
        <v>45293</v>
      </c>
      <c r="E120" s="1">
        <v>4410.1099999999997</v>
      </c>
      <c r="F120" t="s">
        <v>4037</v>
      </c>
      <c r="G120" t="str">
        <f>_xlfn.XLOOKUP(B120,tblVendors[VendorID],tblVendors[VendorName],"Unmapped")</f>
        <v>Packaging Pros</v>
      </c>
      <c r="H120">
        <f t="shared" si="3"/>
        <v>30</v>
      </c>
      <c r="I120" s="1">
        <f t="shared" si="4"/>
        <v>0</v>
      </c>
      <c r="J120" t="str">
        <f t="shared" ca="1" si="5"/>
        <v>Paid</v>
      </c>
    </row>
    <row r="121" spans="1:10" x14ac:dyDescent="0.25">
      <c r="A121" t="s">
        <v>4200</v>
      </c>
      <c r="B121" t="s">
        <v>4039</v>
      </c>
      <c r="C121" s="3">
        <v>45265</v>
      </c>
      <c r="D121" s="3">
        <v>45295</v>
      </c>
      <c r="E121" s="1">
        <v>8779.08</v>
      </c>
      <c r="F121" t="s">
        <v>4037</v>
      </c>
      <c r="G121" t="str">
        <f>_xlfn.XLOOKUP(B121,tblVendors[VendorID],tblVendors[VendorName],"Unmapped")</f>
        <v>Dairy Farms United</v>
      </c>
      <c r="H121">
        <f t="shared" si="3"/>
        <v>30</v>
      </c>
      <c r="I121" s="1">
        <f t="shared" si="4"/>
        <v>0</v>
      </c>
      <c r="J121" t="str">
        <f t="shared" ca="1" si="5"/>
        <v>Paid</v>
      </c>
    </row>
    <row r="122" spans="1:10" x14ac:dyDescent="0.25">
      <c r="A122" t="s">
        <v>4090</v>
      </c>
      <c r="B122" t="s">
        <v>4042</v>
      </c>
      <c r="C122" s="3">
        <v>45266</v>
      </c>
      <c r="D122" s="3">
        <v>45296</v>
      </c>
      <c r="E122" s="1">
        <v>14249.48</v>
      </c>
      <c r="F122" t="s">
        <v>4037</v>
      </c>
      <c r="G122" t="str">
        <f>_xlfn.XLOOKUP(B122,tblVendors[VendorID],tblVendors[VendorName],"Unmapped")</f>
        <v>Cocoa World Inc.</v>
      </c>
      <c r="H122">
        <f t="shared" si="3"/>
        <v>30</v>
      </c>
      <c r="I122" s="1">
        <f t="shared" si="4"/>
        <v>0</v>
      </c>
      <c r="J122" t="str">
        <f t="shared" ca="1" si="5"/>
        <v>Paid</v>
      </c>
    </row>
    <row r="123" spans="1:10" x14ac:dyDescent="0.25">
      <c r="A123" t="s">
        <v>4273</v>
      </c>
      <c r="B123" t="s">
        <v>4036</v>
      </c>
      <c r="C123" s="3">
        <v>45267</v>
      </c>
      <c r="D123" s="3">
        <v>45297</v>
      </c>
      <c r="E123" s="1">
        <v>19032.080000000002</v>
      </c>
      <c r="F123" t="s">
        <v>4037</v>
      </c>
      <c r="G123" t="str">
        <f>_xlfn.XLOOKUP(B123,tblVendors[VendorID],tblVendors[VendorName],"Unmapped")</f>
        <v>Cloud Services LLC</v>
      </c>
      <c r="H123">
        <f t="shared" si="3"/>
        <v>30</v>
      </c>
      <c r="I123" s="1">
        <f t="shared" si="4"/>
        <v>0</v>
      </c>
      <c r="J123" t="str">
        <f t="shared" ca="1" si="5"/>
        <v>Paid</v>
      </c>
    </row>
    <row r="124" spans="1:10" x14ac:dyDescent="0.25">
      <c r="A124" t="s">
        <v>4323</v>
      </c>
      <c r="B124" t="s">
        <v>4045</v>
      </c>
      <c r="C124" s="3">
        <v>45270</v>
      </c>
      <c r="D124" s="3">
        <v>45300</v>
      </c>
      <c r="E124" s="1">
        <v>8836.8700000000008</v>
      </c>
      <c r="F124" t="s">
        <v>4037</v>
      </c>
      <c r="G124" t="str">
        <f>_xlfn.XLOOKUP(B124,tblVendors[VendorID],tblVendors[VendorName],"Unmapped")</f>
        <v>Office Supplies Co.</v>
      </c>
      <c r="H124">
        <f t="shared" si="3"/>
        <v>30</v>
      </c>
      <c r="I124" s="1">
        <f t="shared" si="4"/>
        <v>0</v>
      </c>
      <c r="J124" t="str">
        <f t="shared" ca="1" si="5"/>
        <v>Paid</v>
      </c>
    </row>
    <row r="125" spans="1:10" x14ac:dyDescent="0.25">
      <c r="A125" t="s">
        <v>4400</v>
      </c>
      <c r="B125" t="s">
        <v>4047</v>
      </c>
      <c r="C125" s="3">
        <v>45271</v>
      </c>
      <c r="D125" s="3">
        <v>45301</v>
      </c>
      <c r="E125" s="1">
        <v>10388.76</v>
      </c>
      <c r="F125" t="s">
        <v>4037</v>
      </c>
      <c r="G125" t="str">
        <f>_xlfn.XLOOKUP(B125,tblVendors[VendorID],tblVendors[VendorName],"Unmapped")</f>
        <v>Global Sweeteners</v>
      </c>
      <c r="H125">
        <f t="shared" si="3"/>
        <v>30</v>
      </c>
      <c r="I125" s="1">
        <f t="shared" si="4"/>
        <v>0</v>
      </c>
      <c r="J125" t="str">
        <f t="shared" ca="1" si="5"/>
        <v>Paid</v>
      </c>
    </row>
    <row r="126" spans="1:10" x14ac:dyDescent="0.25">
      <c r="A126" t="s">
        <v>4310</v>
      </c>
      <c r="B126" t="s">
        <v>4062</v>
      </c>
      <c r="C126" s="3">
        <v>45279</v>
      </c>
      <c r="D126" s="3">
        <v>45309</v>
      </c>
      <c r="E126" s="1">
        <v>17530.439999999999</v>
      </c>
      <c r="F126" t="s">
        <v>4037</v>
      </c>
      <c r="G126" t="str">
        <f>_xlfn.XLOOKUP(B126,tblVendors[VendorID],tblVendors[VendorName],"Unmapped")</f>
        <v>Packaging Pros</v>
      </c>
      <c r="H126">
        <f t="shared" si="3"/>
        <v>30</v>
      </c>
      <c r="I126" s="1">
        <f t="shared" si="4"/>
        <v>0</v>
      </c>
      <c r="J126" t="str">
        <f t="shared" ca="1" si="5"/>
        <v>Paid</v>
      </c>
    </row>
    <row r="127" spans="1:10" x14ac:dyDescent="0.25">
      <c r="A127" t="s">
        <v>4512</v>
      </c>
      <c r="B127" t="s">
        <v>4062</v>
      </c>
      <c r="C127" s="3">
        <v>45279</v>
      </c>
      <c r="D127" s="3">
        <v>45309</v>
      </c>
      <c r="E127" s="1">
        <v>14299.06</v>
      </c>
      <c r="F127" t="s">
        <v>4037</v>
      </c>
      <c r="G127" t="str">
        <f>_xlfn.XLOOKUP(B127,tblVendors[VendorID],tblVendors[VendorName],"Unmapped")</f>
        <v>Packaging Pros</v>
      </c>
      <c r="H127">
        <f t="shared" si="3"/>
        <v>30</v>
      </c>
      <c r="I127" s="1">
        <f t="shared" si="4"/>
        <v>0</v>
      </c>
      <c r="J127" t="str">
        <f t="shared" ca="1" si="5"/>
        <v>Paid</v>
      </c>
    </row>
    <row r="128" spans="1:10" x14ac:dyDescent="0.25">
      <c r="A128" t="s">
        <v>4442</v>
      </c>
      <c r="B128" t="s">
        <v>4062</v>
      </c>
      <c r="C128" s="3">
        <v>45280</v>
      </c>
      <c r="D128" s="3">
        <v>45310</v>
      </c>
      <c r="E128" s="1">
        <v>7126.71</v>
      </c>
      <c r="F128" t="s">
        <v>4037</v>
      </c>
      <c r="G128" t="str">
        <f>_xlfn.XLOOKUP(B128,tblVendors[VendorID],tblVendors[VendorName],"Unmapped")</f>
        <v>Packaging Pros</v>
      </c>
      <c r="H128">
        <f t="shared" si="3"/>
        <v>30</v>
      </c>
      <c r="I128" s="1">
        <f t="shared" si="4"/>
        <v>0</v>
      </c>
      <c r="J128" t="str">
        <f t="shared" ca="1" si="5"/>
        <v>Paid</v>
      </c>
    </row>
    <row r="129" spans="1:10" x14ac:dyDescent="0.25">
      <c r="A129" t="s">
        <v>4157</v>
      </c>
      <c r="B129" t="s">
        <v>4045</v>
      </c>
      <c r="C129" s="3">
        <v>45283</v>
      </c>
      <c r="D129" s="3">
        <v>45313</v>
      </c>
      <c r="E129" s="1">
        <v>6154.54</v>
      </c>
      <c r="F129" t="s">
        <v>4037</v>
      </c>
      <c r="G129" t="str">
        <f>_xlfn.XLOOKUP(B129,tblVendors[VendorID],tblVendors[VendorName],"Unmapped")</f>
        <v>Office Supplies Co.</v>
      </c>
      <c r="H129">
        <f t="shared" si="3"/>
        <v>30</v>
      </c>
      <c r="I129" s="1">
        <f t="shared" si="4"/>
        <v>0</v>
      </c>
      <c r="J129" t="str">
        <f t="shared" ca="1" si="5"/>
        <v>Paid</v>
      </c>
    </row>
    <row r="130" spans="1:10" x14ac:dyDescent="0.25">
      <c r="A130" t="s">
        <v>4162</v>
      </c>
      <c r="B130" t="s">
        <v>4062</v>
      </c>
      <c r="C130" s="3">
        <v>45303</v>
      </c>
      <c r="D130" s="3">
        <v>45333</v>
      </c>
      <c r="E130" s="1">
        <v>7621.71</v>
      </c>
      <c r="F130" t="s">
        <v>4037</v>
      </c>
      <c r="G130" t="str">
        <f>_xlfn.XLOOKUP(B130,tblVendors[VendorID],tblVendors[VendorName],"Unmapped")</f>
        <v>Packaging Pros</v>
      </c>
      <c r="H130">
        <f t="shared" ref="H130:H193" si="6">D130-C130</f>
        <v>30</v>
      </c>
      <c r="I130" s="1">
        <f t="shared" ref="I130:I193" si="7">IF(F130="Unpaid",E130,0)</f>
        <v>0</v>
      </c>
      <c r="J130" t="str">
        <f t="shared" ref="J130:J193" ca="1" si="8">IF(F130="Paid","Paid",IF(D130&lt;TODAY(),"Overdue","Open"))</f>
        <v>Paid</v>
      </c>
    </row>
    <row r="131" spans="1:10" x14ac:dyDescent="0.25">
      <c r="A131" t="s">
        <v>4264</v>
      </c>
      <c r="B131" t="s">
        <v>4062</v>
      </c>
      <c r="C131" s="3">
        <v>45304</v>
      </c>
      <c r="D131" s="3">
        <v>45334</v>
      </c>
      <c r="E131" s="1">
        <v>16484.599999999999</v>
      </c>
      <c r="F131" t="s">
        <v>4040</v>
      </c>
      <c r="G131" t="str">
        <f>_xlfn.XLOOKUP(B131,tblVendors[VendorID],tblVendors[VendorName],"Unmapped")</f>
        <v>Packaging Pros</v>
      </c>
      <c r="H131">
        <f t="shared" si="6"/>
        <v>30</v>
      </c>
      <c r="I131" s="1">
        <f t="shared" si="7"/>
        <v>16484.599999999999</v>
      </c>
      <c r="J131" t="str">
        <f t="shared" ca="1" si="8"/>
        <v>Overdue</v>
      </c>
    </row>
    <row r="132" spans="1:10" x14ac:dyDescent="0.25">
      <c r="A132" t="s">
        <v>4497</v>
      </c>
      <c r="B132" t="s">
        <v>4047</v>
      </c>
      <c r="C132" s="3">
        <v>45304</v>
      </c>
      <c r="D132" s="3">
        <v>45334</v>
      </c>
      <c r="E132" s="1">
        <v>12682.88</v>
      </c>
      <c r="F132" t="s">
        <v>4037</v>
      </c>
      <c r="G132" t="str">
        <f>_xlfn.XLOOKUP(B132,tblVendors[VendorID],tblVendors[VendorName],"Unmapped")</f>
        <v>Global Sweeteners</v>
      </c>
      <c r="H132">
        <f t="shared" si="6"/>
        <v>30</v>
      </c>
      <c r="I132" s="1">
        <f t="shared" si="7"/>
        <v>0</v>
      </c>
      <c r="J132" t="str">
        <f t="shared" ca="1" si="8"/>
        <v>Paid</v>
      </c>
    </row>
    <row r="133" spans="1:10" x14ac:dyDescent="0.25">
      <c r="A133" t="s">
        <v>4368</v>
      </c>
      <c r="B133" t="s">
        <v>4062</v>
      </c>
      <c r="C133" s="3">
        <v>45306</v>
      </c>
      <c r="D133" s="3">
        <v>45336</v>
      </c>
      <c r="E133" s="1">
        <v>13738.91</v>
      </c>
      <c r="F133" t="s">
        <v>4037</v>
      </c>
      <c r="G133" t="str">
        <f>_xlfn.XLOOKUP(B133,tblVendors[VendorID],tblVendors[VendorName],"Unmapped")</f>
        <v>Packaging Pros</v>
      </c>
      <c r="H133">
        <f t="shared" si="6"/>
        <v>30</v>
      </c>
      <c r="I133" s="1">
        <f t="shared" si="7"/>
        <v>0</v>
      </c>
      <c r="J133" t="str">
        <f t="shared" ca="1" si="8"/>
        <v>Paid</v>
      </c>
    </row>
    <row r="134" spans="1:10" x14ac:dyDescent="0.25">
      <c r="A134" t="s">
        <v>4315</v>
      </c>
      <c r="B134" t="s">
        <v>4062</v>
      </c>
      <c r="C134" s="3">
        <v>45308</v>
      </c>
      <c r="D134" s="3">
        <v>45338</v>
      </c>
      <c r="E134" s="1">
        <v>7861.04</v>
      </c>
      <c r="F134" t="s">
        <v>4037</v>
      </c>
      <c r="G134" t="str">
        <f>_xlfn.XLOOKUP(B134,tblVendors[VendorID],tblVendors[VendorName],"Unmapped")</f>
        <v>Packaging Pros</v>
      </c>
      <c r="H134">
        <f t="shared" si="6"/>
        <v>30</v>
      </c>
      <c r="I134" s="1">
        <f t="shared" si="7"/>
        <v>0</v>
      </c>
      <c r="J134" t="str">
        <f t="shared" ca="1" si="8"/>
        <v>Paid</v>
      </c>
    </row>
    <row r="135" spans="1:10" x14ac:dyDescent="0.25">
      <c r="A135" t="s">
        <v>4533</v>
      </c>
      <c r="B135" t="s">
        <v>4036</v>
      </c>
      <c r="C135" s="3">
        <v>45308</v>
      </c>
      <c r="D135" s="3">
        <v>45338</v>
      </c>
      <c r="E135" s="1">
        <v>18118.3</v>
      </c>
      <c r="F135" t="s">
        <v>4037</v>
      </c>
      <c r="G135" t="str">
        <f>_xlfn.XLOOKUP(B135,tblVendors[VendorID],tblVendors[VendorName],"Unmapped")</f>
        <v>Cloud Services LLC</v>
      </c>
      <c r="H135">
        <f t="shared" si="6"/>
        <v>30</v>
      </c>
      <c r="I135" s="1">
        <f t="shared" si="7"/>
        <v>0</v>
      </c>
      <c r="J135" t="str">
        <f t="shared" ca="1" si="8"/>
        <v>Paid</v>
      </c>
    </row>
    <row r="136" spans="1:10" x14ac:dyDescent="0.25">
      <c r="A136" t="s">
        <v>4465</v>
      </c>
      <c r="B136" t="s">
        <v>4045</v>
      </c>
      <c r="C136" s="3">
        <v>45309</v>
      </c>
      <c r="D136" s="3">
        <v>45339</v>
      </c>
      <c r="E136" s="1">
        <v>17546.169999999998</v>
      </c>
      <c r="F136" t="s">
        <v>4040</v>
      </c>
      <c r="G136" t="str">
        <f>_xlfn.XLOOKUP(B136,tblVendors[VendorID],tblVendors[VendorName],"Unmapped")</f>
        <v>Office Supplies Co.</v>
      </c>
      <c r="H136">
        <f t="shared" si="6"/>
        <v>30</v>
      </c>
      <c r="I136" s="1">
        <f t="shared" si="7"/>
        <v>17546.169999999998</v>
      </c>
      <c r="J136" t="str">
        <f t="shared" ca="1" si="8"/>
        <v>Overdue</v>
      </c>
    </row>
    <row r="137" spans="1:10" x14ac:dyDescent="0.25">
      <c r="A137" t="s">
        <v>4375</v>
      </c>
      <c r="B137" t="s">
        <v>4042</v>
      </c>
      <c r="C137" s="3">
        <v>45311</v>
      </c>
      <c r="D137" s="3">
        <v>45341</v>
      </c>
      <c r="E137" s="1">
        <v>8901.84</v>
      </c>
      <c r="F137" t="s">
        <v>4037</v>
      </c>
      <c r="G137" t="str">
        <f>_xlfn.XLOOKUP(B137,tblVendors[VendorID],tblVendors[VendorName],"Unmapped")</f>
        <v>Cocoa World Inc.</v>
      </c>
      <c r="H137">
        <f t="shared" si="6"/>
        <v>30</v>
      </c>
      <c r="I137" s="1">
        <f t="shared" si="7"/>
        <v>0</v>
      </c>
      <c r="J137" t="str">
        <f t="shared" ca="1" si="8"/>
        <v>Paid</v>
      </c>
    </row>
    <row r="138" spans="1:10" x14ac:dyDescent="0.25">
      <c r="A138" t="s">
        <v>4425</v>
      </c>
      <c r="B138" t="s">
        <v>4042</v>
      </c>
      <c r="C138" s="3">
        <v>45312</v>
      </c>
      <c r="D138" s="3">
        <v>45342</v>
      </c>
      <c r="E138" s="1">
        <v>18736.13</v>
      </c>
      <c r="F138" t="s">
        <v>4037</v>
      </c>
      <c r="G138" t="str">
        <f>_xlfn.XLOOKUP(B138,tblVendors[VendorID],tblVendors[VendorName],"Unmapped")</f>
        <v>Cocoa World Inc.</v>
      </c>
      <c r="H138">
        <f t="shared" si="6"/>
        <v>30</v>
      </c>
      <c r="I138" s="1">
        <f t="shared" si="7"/>
        <v>0</v>
      </c>
      <c r="J138" t="str">
        <f t="shared" ca="1" si="8"/>
        <v>Paid</v>
      </c>
    </row>
    <row r="139" spans="1:10" x14ac:dyDescent="0.25">
      <c r="A139" t="s">
        <v>4257</v>
      </c>
      <c r="B139" t="s">
        <v>4047</v>
      </c>
      <c r="C139" s="3">
        <v>45318</v>
      </c>
      <c r="D139" s="3">
        <v>45348</v>
      </c>
      <c r="E139" s="1">
        <v>15031.37</v>
      </c>
      <c r="F139" t="s">
        <v>4037</v>
      </c>
      <c r="G139" t="str">
        <f>_xlfn.XLOOKUP(B139,tblVendors[VendorID],tblVendors[VendorName],"Unmapped")</f>
        <v>Global Sweeteners</v>
      </c>
      <c r="H139">
        <f t="shared" si="6"/>
        <v>30</v>
      </c>
      <c r="I139" s="1">
        <f t="shared" si="7"/>
        <v>0</v>
      </c>
      <c r="J139" t="str">
        <f t="shared" ca="1" si="8"/>
        <v>Paid</v>
      </c>
    </row>
    <row r="140" spans="1:10" x14ac:dyDescent="0.25">
      <c r="A140" t="s">
        <v>4335</v>
      </c>
      <c r="B140" t="s">
        <v>4042</v>
      </c>
      <c r="C140" s="3">
        <v>45321</v>
      </c>
      <c r="D140" s="3">
        <v>45351</v>
      </c>
      <c r="E140" s="1">
        <v>8745.84</v>
      </c>
      <c r="F140" t="s">
        <v>4037</v>
      </c>
      <c r="G140" t="str">
        <f>_xlfn.XLOOKUP(B140,tblVendors[VendorID],tblVendors[VendorName],"Unmapped")</f>
        <v>Cocoa World Inc.</v>
      </c>
      <c r="H140">
        <f t="shared" si="6"/>
        <v>30</v>
      </c>
      <c r="I140" s="1">
        <f t="shared" si="7"/>
        <v>0</v>
      </c>
      <c r="J140" t="str">
        <f t="shared" ca="1" si="8"/>
        <v>Paid</v>
      </c>
    </row>
    <row r="141" spans="1:10" x14ac:dyDescent="0.25">
      <c r="A141" t="s">
        <v>4516</v>
      </c>
      <c r="B141" t="s">
        <v>4062</v>
      </c>
      <c r="C141" s="3">
        <v>45324</v>
      </c>
      <c r="D141" s="3">
        <v>45354</v>
      </c>
      <c r="E141" s="1">
        <v>17812.68</v>
      </c>
      <c r="F141" t="s">
        <v>4037</v>
      </c>
      <c r="G141" t="str">
        <f>_xlfn.XLOOKUP(B141,tblVendors[VendorID],tblVendors[VendorName],"Unmapped")</f>
        <v>Packaging Pros</v>
      </c>
      <c r="H141">
        <f t="shared" si="6"/>
        <v>30</v>
      </c>
      <c r="I141" s="1">
        <f t="shared" si="7"/>
        <v>0</v>
      </c>
      <c r="J141" t="str">
        <f t="shared" ca="1" si="8"/>
        <v>Paid</v>
      </c>
    </row>
    <row r="142" spans="1:10" x14ac:dyDescent="0.25">
      <c r="A142" t="s">
        <v>4074</v>
      </c>
      <c r="B142" t="s">
        <v>4047</v>
      </c>
      <c r="C142" s="3">
        <v>45331</v>
      </c>
      <c r="D142" s="3">
        <v>45361</v>
      </c>
      <c r="E142" s="1">
        <v>11743.68</v>
      </c>
      <c r="F142" t="s">
        <v>4037</v>
      </c>
      <c r="G142" t="str">
        <f>_xlfn.XLOOKUP(B142,tblVendors[VendorID],tblVendors[VendorName],"Unmapped")</f>
        <v>Global Sweeteners</v>
      </c>
      <c r="H142">
        <f t="shared" si="6"/>
        <v>30</v>
      </c>
      <c r="I142" s="1">
        <f t="shared" si="7"/>
        <v>0</v>
      </c>
      <c r="J142" t="str">
        <f t="shared" ca="1" si="8"/>
        <v>Paid</v>
      </c>
    </row>
    <row r="143" spans="1:10" x14ac:dyDescent="0.25">
      <c r="A143" t="s">
        <v>4378</v>
      </c>
      <c r="B143" t="s">
        <v>4047</v>
      </c>
      <c r="C143" s="3">
        <v>45335</v>
      </c>
      <c r="D143" s="3">
        <v>45365</v>
      </c>
      <c r="E143" s="1">
        <v>13352.71</v>
      </c>
      <c r="F143" t="s">
        <v>4037</v>
      </c>
      <c r="G143" t="str">
        <f>_xlfn.XLOOKUP(B143,tblVendors[VendorID],tblVendors[VendorName],"Unmapped")</f>
        <v>Global Sweeteners</v>
      </c>
      <c r="H143">
        <f t="shared" si="6"/>
        <v>30</v>
      </c>
      <c r="I143" s="1">
        <f t="shared" si="7"/>
        <v>0</v>
      </c>
      <c r="J143" t="str">
        <f t="shared" ca="1" si="8"/>
        <v>Paid</v>
      </c>
    </row>
    <row r="144" spans="1:10" x14ac:dyDescent="0.25">
      <c r="A144" t="s">
        <v>4180</v>
      </c>
      <c r="B144" t="s">
        <v>4045</v>
      </c>
      <c r="C144" s="3">
        <v>45336</v>
      </c>
      <c r="D144" s="3">
        <v>45366</v>
      </c>
      <c r="E144" s="1">
        <v>4887.0600000000004</v>
      </c>
      <c r="F144" t="s">
        <v>4037</v>
      </c>
      <c r="G144" t="str">
        <f>_xlfn.XLOOKUP(B144,tblVendors[VendorID],tblVendors[VendorName],"Unmapped")</f>
        <v>Office Supplies Co.</v>
      </c>
      <c r="H144">
        <f t="shared" si="6"/>
        <v>30</v>
      </c>
      <c r="I144" s="1">
        <f t="shared" si="7"/>
        <v>0</v>
      </c>
      <c r="J144" t="str">
        <f t="shared" ca="1" si="8"/>
        <v>Paid</v>
      </c>
    </row>
    <row r="145" spans="1:10" x14ac:dyDescent="0.25">
      <c r="A145" t="s">
        <v>4251</v>
      </c>
      <c r="B145" t="s">
        <v>4036</v>
      </c>
      <c r="C145" s="3">
        <v>45340</v>
      </c>
      <c r="D145" s="3">
        <v>45370</v>
      </c>
      <c r="E145" s="1">
        <v>1911.64</v>
      </c>
      <c r="F145" t="s">
        <v>4037</v>
      </c>
      <c r="G145" t="str">
        <f>_xlfn.XLOOKUP(B145,tblVendors[VendorID],tblVendors[VendorName],"Unmapped")</f>
        <v>Cloud Services LLC</v>
      </c>
      <c r="H145">
        <f t="shared" si="6"/>
        <v>30</v>
      </c>
      <c r="I145" s="1">
        <f t="shared" si="7"/>
        <v>0</v>
      </c>
      <c r="J145" t="str">
        <f t="shared" ca="1" si="8"/>
        <v>Paid</v>
      </c>
    </row>
    <row r="146" spans="1:10" x14ac:dyDescent="0.25">
      <c r="A146" t="s">
        <v>4308</v>
      </c>
      <c r="B146" t="s">
        <v>4039</v>
      </c>
      <c r="C146" s="3">
        <v>45340</v>
      </c>
      <c r="D146" s="3">
        <v>45370</v>
      </c>
      <c r="E146" s="1">
        <v>14160.12</v>
      </c>
      <c r="F146" t="s">
        <v>4037</v>
      </c>
      <c r="G146" t="str">
        <f>_xlfn.XLOOKUP(B146,tblVendors[VendorID],tblVendors[VendorName],"Unmapped")</f>
        <v>Dairy Farms United</v>
      </c>
      <c r="H146">
        <f t="shared" si="6"/>
        <v>30</v>
      </c>
      <c r="I146" s="1">
        <f t="shared" si="7"/>
        <v>0</v>
      </c>
      <c r="J146" t="str">
        <f t="shared" ca="1" si="8"/>
        <v>Paid</v>
      </c>
    </row>
    <row r="147" spans="1:10" x14ac:dyDescent="0.25">
      <c r="A147" t="s">
        <v>4237</v>
      </c>
      <c r="B147" t="s">
        <v>4039</v>
      </c>
      <c r="C147" s="3">
        <v>45341</v>
      </c>
      <c r="D147" s="3">
        <v>45371</v>
      </c>
      <c r="E147" s="1">
        <v>16778</v>
      </c>
      <c r="F147" t="s">
        <v>4037</v>
      </c>
      <c r="G147" t="str">
        <f>_xlfn.XLOOKUP(B147,tblVendors[VendorID],tblVendors[VendorName],"Unmapped")</f>
        <v>Dairy Farms United</v>
      </c>
      <c r="H147">
        <f t="shared" si="6"/>
        <v>30</v>
      </c>
      <c r="I147" s="1">
        <f t="shared" si="7"/>
        <v>0</v>
      </c>
      <c r="J147" t="str">
        <f t="shared" ca="1" si="8"/>
        <v>Paid</v>
      </c>
    </row>
    <row r="148" spans="1:10" x14ac:dyDescent="0.25">
      <c r="A148" t="s">
        <v>4517</v>
      </c>
      <c r="B148" t="s">
        <v>4062</v>
      </c>
      <c r="C148" s="3">
        <v>45342</v>
      </c>
      <c r="D148" s="3">
        <v>45372</v>
      </c>
      <c r="E148" s="1">
        <v>18726.98</v>
      </c>
      <c r="F148" t="s">
        <v>4037</v>
      </c>
      <c r="G148" t="str">
        <f>_xlfn.XLOOKUP(B148,tblVendors[VendorID],tblVendors[VendorName],"Unmapped")</f>
        <v>Packaging Pros</v>
      </c>
      <c r="H148">
        <f t="shared" si="6"/>
        <v>30</v>
      </c>
      <c r="I148" s="1">
        <f t="shared" si="7"/>
        <v>0</v>
      </c>
      <c r="J148" t="str">
        <f t="shared" ca="1" si="8"/>
        <v>Paid</v>
      </c>
    </row>
    <row r="149" spans="1:10" x14ac:dyDescent="0.25">
      <c r="A149" t="s">
        <v>4431</v>
      </c>
      <c r="B149" t="s">
        <v>4047</v>
      </c>
      <c r="C149" s="3">
        <v>45348</v>
      </c>
      <c r="D149" s="3">
        <v>45378</v>
      </c>
      <c r="E149" s="1">
        <v>10569.26</v>
      </c>
      <c r="F149" t="s">
        <v>4037</v>
      </c>
      <c r="G149" t="str">
        <f>_xlfn.XLOOKUP(B149,tblVendors[VendorID],tblVendors[VendorName],"Unmapped")</f>
        <v>Global Sweeteners</v>
      </c>
      <c r="H149">
        <f t="shared" si="6"/>
        <v>30</v>
      </c>
      <c r="I149" s="1">
        <f t="shared" si="7"/>
        <v>0</v>
      </c>
      <c r="J149" t="str">
        <f t="shared" ca="1" si="8"/>
        <v>Paid</v>
      </c>
    </row>
    <row r="150" spans="1:10" x14ac:dyDescent="0.25">
      <c r="A150" t="s">
        <v>4172</v>
      </c>
      <c r="B150" t="s">
        <v>4062</v>
      </c>
      <c r="C150" s="3">
        <v>45349</v>
      </c>
      <c r="D150" s="3">
        <v>45379</v>
      </c>
      <c r="E150" s="1">
        <v>11079.64</v>
      </c>
      <c r="F150" t="s">
        <v>4037</v>
      </c>
      <c r="G150" t="str">
        <f>_xlfn.XLOOKUP(B150,tblVendors[VendorID],tblVendors[VendorName],"Unmapped")</f>
        <v>Packaging Pros</v>
      </c>
      <c r="H150">
        <f t="shared" si="6"/>
        <v>30</v>
      </c>
      <c r="I150" s="1">
        <f t="shared" si="7"/>
        <v>0</v>
      </c>
      <c r="J150" t="str">
        <f t="shared" ca="1" si="8"/>
        <v>Paid</v>
      </c>
    </row>
    <row r="151" spans="1:10" x14ac:dyDescent="0.25">
      <c r="A151" t="s">
        <v>4129</v>
      </c>
      <c r="B151" t="s">
        <v>4062</v>
      </c>
      <c r="C151" s="3">
        <v>45356</v>
      </c>
      <c r="D151" s="3">
        <v>45386</v>
      </c>
      <c r="E151" s="1">
        <v>19531.830000000002</v>
      </c>
      <c r="F151" t="s">
        <v>4037</v>
      </c>
      <c r="G151" t="str">
        <f>_xlfn.XLOOKUP(B151,tblVendors[VendorID],tblVendors[VendorName],"Unmapped")</f>
        <v>Packaging Pros</v>
      </c>
      <c r="H151">
        <f t="shared" si="6"/>
        <v>30</v>
      </c>
      <c r="I151" s="1">
        <f t="shared" si="7"/>
        <v>0</v>
      </c>
      <c r="J151" t="str">
        <f t="shared" ca="1" si="8"/>
        <v>Paid</v>
      </c>
    </row>
    <row r="152" spans="1:10" x14ac:dyDescent="0.25">
      <c r="A152" t="s">
        <v>4373</v>
      </c>
      <c r="B152" t="s">
        <v>4036</v>
      </c>
      <c r="C152" s="3">
        <v>45356</v>
      </c>
      <c r="D152" s="3">
        <v>45386</v>
      </c>
      <c r="E152" s="1">
        <v>18911.63</v>
      </c>
      <c r="F152" t="s">
        <v>4037</v>
      </c>
      <c r="G152" t="str">
        <f>_xlfn.XLOOKUP(B152,tblVendors[VendorID],tblVendors[VendorName],"Unmapped")</f>
        <v>Cloud Services LLC</v>
      </c>
      <c r="H152">
        <f t="shared" si="6"/>
        <v>30</v>
      </c>
      <c r="I152" s="1">
        <f t="shared" si="7"/>
        <v>0</v>
      </c>
      <c r="J152" t="str">
        <f t="shared" ca="1" si="8"/>
        <v>Paid</v>
      </c>
    </row>
    <row r="153" spans="1:10" x14ac:dyDescent="0.25">
      <c r="A153" t="s">
        <v>4317</v>
      </c>
      <c r="B153" t="s">
        <v>4047</v>
      </c>
      <c r="C153" s="3">
        <v>45358</v>
      </c>
      <c r="D153" s="3">
        <v>45388</v>
      </c>
      <c r="E153" s="1">
        <v>2711.96</v>
      </c>
      <c r="F153" t="s">
        <v>4037</v>
      </c>
      <c r="G153" t="str">
        <f>_xlfn.XLOOKUP(B153,tblVendors[VendorID],tblVendors[VendorName],"Unmapped")</f>
        <v>Global Sweeteners</v>
      </c>
      <c r="H153">
        <f t="shared" si="6"/>
        <v>30</v>
      </c>
      <c r="I153" s="1">
        <f t="shared" si="7"/>
        <v>0</v>
      </c>
      <c r="J153" t="str">
        <f t="shared" ca="1" si="8"/>
        <v>Paid</v>
      </c>
    </row>
    <row r="154" spans="1:10" x14ac:dyDescent="0.25">
      <c r="A154" t="s">
        <v>4419</v>
      </c>
      <c r="B154" t="s">
        <v>4047</v>
      </c>
      <c r="C154" s="3">
        <v>45361</v>
      </c>
      <c r="D154" s="3">
        <v>45391</v>
      </c>
      <c r="E154" s="1">
        <v>18010.759999999998</v>
      </c>
      <c r="F154" t="s">
        <v>4040</v>
      </c>
      <c r="G154" t="str">
        <f>_xlfn.XLOOKUP(B154,tblVendors[VendorID],tblVendors[VendorName],"Unmapped")</f>
        <v>Global Sweeteners</v>
      </c>
      <c r="H154">
        <f t="shared" si="6"/>
        <v>30</v>
      </c>
      <c r="I154" s="1">
        <f t="shared" si="7"/>
        <v>18010.759999999998</v>
      </c>
      <c r="J154" t="str">
        <f t="shared" ca="1" si="8"/>
        <v>Overdue</v>
      </c>
    </row>
    <row r="155" spans="1:10" x14ac:dyDescent="0.25">
      <c r="A155" t="s">
        <v>4351</v>
      </c>
      <c r="B155" t="s">
        <v>4047</v>
      </c>
      <c r="C155" s="3">
        <v>45366</v>
      </c>
      <c r="D155" s="3">
        <v>45396</v>
      </c>
      <c r="E155" s="1">
        <v>7871.58</v>
      </c>
      <c r="F155" t="s">
        <v>4040</v>
      </c>
      <c r="G155" t="str">
        <f>_xlfn.XLOOKUP(B155,tblVendors[VendorID],tblVendors[VendorName],"Unmapped")</f>
        <v>Global Sweeteners</v>
      </c>
      <c r="H155">
        <f t="shared" si="6"/>
        <v>30</v>
      </c>
      <c r="I155" s="1">
        <f t="shared" si="7"/>
        <v>7871.58</v>
      </c>
      <c r="J155" t="str">
        <f t="shared" ca="1" si="8"/>
        <v>Overdue</v>
      </c>
    </row>
    <row r="156" spans="1:10" x14ac:dyDescent="0.25">
      <c r="A156" t="s">
        <v>4259</v>
      </c>
      <c r="B156" t="s">
        <v>4042</v>
      </c>
      <c r="C156" s="3">
        <v>45373</v>
      </c>
      <c r="D156" s="3">
        <v>45403</v>
      </c>
      <c r="E156" s="1">
        <v>16997.650000000001</v>
      </c>
      <c r="F156" t="s">
        <v>4037</v>
      </c>
      <c r="G156" t="str">
        <f>_xlfn.XLOOKUP(B156,tblVendors[VendorID],tblVendors[VendorName],"Unmapped")</f>
        <v>Cocoa World Inc.</v>
      </c>
      <c r="H156">
        <f t="shared" si="6"/>
        <v>30</v>
      </c>
      <c r="I156" s="1">
        <f t="shared" si="7"/>
        <v>0</v>
      </c>
      <c r="J156" t="str">
        <f t="shared" ca="1" si="8"/>
        <v>Paid</v>
      </c>
    </row>
    <row r="157" spans="1:10" x14ac:dyDescent="0.25">
      <c r="A157" t="s">
        <v>4038</v>
      </c>
      <c r="B157" t="s">
        <v>4039</v>
      </c>
      <c r="C157" s="3">
        <v>45376</v>
      </c>
      <c r="D157" s="3">
        <v>45406</v>
      </c>
      <c r="E157" s="1">
        <v>2076.71</v>
      </c>
      <c r="F157" t="s">
        <v>4040</v>
      </c>
      <c r="G157" t="str">
        <f>_xlfn.XLOOKUP(B157,tblVendors[VendorID],tblVendors[VendorName],"Unmapped")</f>
        <v>Dairy Farms United</v>
      </c>
      <c r="H157">
        <f t="shared" si="6"/>
        <v>30</v>
      </c>
      <c r="I157" s="1">
        <f t="shared" si="7"/>
        <v>2076.71</v>
      </c>
      <c r="J157" t="str">
        <f t="shared" ca="1" si="8"/>
        <v>Overdue</v>
      </c>
    </row>
    <row r="158" spans="1:10" x14ac:dyDescent="0.25">
      <c r="A158" t="s">
        <v>4359</v>
      </c>
      <c r="B158" t="s">
        <v>4042</v>
      </c>
      <c r="C158" s="3">
        <v>45377</v>
      </c>
      <c r="D158" s="3">
        <v>45407</v>
      </c>
      <c r="E158" s="1">
        <v>15909.09</v>
      </c>
      <c r="F158" t="s">
        <v>4037</v>
      </c>
      <c r="G158" t="str">
        <f>_xlfn.XLOOKUP(B158,tblVendors[VendorID],tblVendors[VendorName],"Unmapped")</f>
        <v>Cocoa World Inc.</v>
      </c>
      <c r="H158">
        <f t="shared" si="6"/>
        <v>30</v>
      </c>
      <c r="I158" s="1">
        <f t="shared" si="7"/>
        <v>0</v>
      </c>
      <c r="J158" t="str">
        <f t="shared" ca="1" si="8"/>
        <v>Paid</v>
      </c>
    </row>
    <row r="159" spans="1:10" x14ac:dyDescent="0.25">
      <c r="A159" t="s">
        <v>4067</v>
      </c>
      <c r="B159" t="s">
        <v>4039</v>
      </c>
      <c r="C159" s="3">
        <v>45380</v>
      </c>
      <c r="D159" s="3">
        <v>45410</v>
      </c>
      <c r="E159" s="1">
        <v>19321.37</v>
      </c>
      <c r="F159" t="s">
        <v>4037</v>
      </c>
      <c r="G159" t="str">
        <f>_xlfn.XLOOKUP(B159,tblVendors[VendorID],tblVendors[VendorName],"Unmapped")</f>
        <v>Dairy Farms United</v>
      </c>
      <c r="H159">
        <f t="shared" si="6"/>
        <v>30</v>
      </c>
      <c r="I159" s="1">
        <f t="shared" si="7"/>
        <v>0</v>
      </c>
      <c r="J159" t="str">
        <f t="shared" ca="1" si="8"/>
        <v>Paid</v>
      </c>
    </row>
    <row r="160" spans="1:10" x14ac:dyDescent="0.25">
      <c r="A160" t="s">
        <v>4420</v>
      </c>
      <c r="B160" t="s">
        <v>4039</v>
      </c>
      <c r="C160" s="3">
        <v>45384</v>
      </c>
      <c r="D160" s="3">
        <v>45414</v>
      </c>
      <c r="E160" s="1">
        <v>4811.3100000000004</v>
      </c>
      <c r="F160" t="s">
        <v>4037</v>
      </c>
      <c r="G160" t="str">
        <f>_xlfn.XLOOKUP(B160,tblVendors[VendorID],tblVendors[VendorName],"Unmapped")</f>
        <v>Dairy Farms United</v>
      </c>
      <c r="H160">
        <f t="shared" si="6"/>
        <v>30</v>
      </c>
      <c r="I160" s="1">
        <f t="shared" si="7"/>
        <v>0</v>
      </c>
      <c r="J160" t="str">
        <f t="shared" ca="1" si="8"/>
        <v>Paid</v>
      </c>
    </row>
    <row r="161" spans="1:10" x14ac:dyDescent="0.25">
      <c r="A161" t="s">
        <v>4471</v>
      </c>
      <c r="B161" t="s">
        <v>4045</v>
      </c>
      <c r="C161" s="3">
        <v>45389</v>
      </c>
      <c r="D161" s="3">
        <v>45419</v>
      </c>
      <c r="E161" s="1">
        <v>13416.37</v>
      </c>
      <c r="F161" t="s">
        <v>4040</v>
      </c>
      <c r="G161" t="str">
        <f>_xlfn.XLOOKUP(B161,tblVendors[VendorID],tblVendors[VendorName],"Unmapped")</f>
        <v>Office Supplies Co.</v>
      </c>
      <c r="H161">
        <f t="shared" si="6"/>
        <v>30</v>
      </c>
      <c r="I161" s="1">
        <f t="shared" si="7"/>
        <v>13416.37</v>
      </c>
      <c r="J161" t="str">
        <f t="shared" ca="1" si="8"/>
        <v>Overdue</v>
      </c>
    </row>
    <row r="162" spans="1:10" x14ac:dyDescent="0.25">
      <c r="A162" t="s">
        <v>4048</v>
      </c>
      <c r="B162" t="s">
        <v>4045</v>
      </c>
      <c r="C162" s="3">
        <v>45393</v>
      </c>
      <c r="D162" s="3">
        <v>45423</v>
      </c>
      <c r="E162" s="1">
        <v>9641.1200000000008</v>
      </c>
      <c r="F162" t="s">
        <v>4037</v>
      </c>
      <c r="G162" t="str">
        <f>_xlfn.XLOOKUP(B162,tblVendors[VendorID],tblVendors[VendorName],"Unmapped")</f>
        <v>Office Supplies Co.</v>
      </c>
      <c r="H162">
        <f t="shared" si="6"/>
        <v>30</v>
      </c>
      <c r="I162" s="1">
        <f t="shared" si="7"/>
        <v>0</v>
      </c>
      <c r="J162" t="str">
        <f t="shared" ca="1" si="8"/>
        <v>Paid</v>
      </c>
    </row>
    <row r="163" spans="1:10" x14ac:dyDescent="0.25">
      <c r="A163" t="s">
        <v>4528</v>
      </c>
      <c r="B163" t="s">
        <v>4039</v>
      </c>
      <c r="C163" s="3">
        <v>45396</v>
      </c>
      <c r="D163" s="3">
        <v>45426</v>
      </c>
      <c r="E163" s="1">
        <v>16256.74</v>
      </c>
      <c r="F163" t="s">
        <v>4037</v>
      </c>
      <c r="G163" t="str">
        <f>_xlfn.XLOOKUP(B163,tblVendors[VendorID],tblVendors[VendorName],"Unmapped")</f>
        <v>Dairy Farms United</v>
      </c>
      <c r="H163">
        <f t="shared" si="6"/>
        <v>30</v>
      </c>
      <c r="I163" s="1">
        <f t="shared" si="7"/>
        <v>0</v>
      </c>
      <c r="J163" t="str">
        <f t="shared" ca="1" si="8"/>
        <v>Paid</v>
      </c>
    </row>
    <row r="164" spans="1:10" x14ac:dyDescent="0.25">
      <c r="A164" t="s">
        <v>4520</v>
      </c>
      <c r="B164" t="s">
        <v>4047</v>
      </c>
      <c r="C164" s="3">
        <v>45397</v>
      </c>
      <c r="D164" s="3">
        <v>45427</v>
      </c>
      <c r="E164" s="1">
        <v>18439</v>
      </c>
      <c r="F164" t="s">
        <v>4037</v>
      </c>
      <c r="G164" t="str">
        <f>_xlfn.XLOOKUP(B164,tblVendors[VendorID],tblVendors[VendorName],"Unmapped")</f>
        <v>Global Sweeteners</v>
      </c>
      <c r="H164">
        <f t="shared" si="6"/>
        <v>30</v>
      </c>
      <c r="I164" s="1">
        <f t="shared" si="7"/>
        <v>0</v>
      </c>
      <c r="J164" t="str">
        <f t="shared" ca="1" si="8"/>
        <v>Paid</v>
      </c>
    </row>
    <row r="165" spans="1:10" x14ac:dyDescent="0.25">
      <c r="A165" t="s">
        <v>4101</v>
      </c>
      <c r="B165" t="s">
        <v>4036</v>
      </c>
      <c r="C165" s="3">
        <v>45409</v>
      </c>
      <c r="D165" s="3">
        <v>45439</v>
      </c>
      <c r="E165" s="1">
        <v>5516.67</v>
      </c>
      <c r="F165" t="s">
        <v>4037</v>
      </c>
      <c r="G165" t="str">
        <f>_xlfn.XLOOKUP(B165,tblVendors[VendorID],tblVendors[VendorName],"Unmapped")</f>
        <v>Cloud Services LLC</v>
      </c>
      <c r="H165">
        <f t="shared" si="6"/>
        <v>30</v>
      </c>
      <c r="I165" s="1">
        <f t="shared" si="7"/>
        <v>0</v>
      </c>
      <c r="J165" t="str">
        <f t="shared" ca="1" si="8"/>
        <v>Paid</v>
      </c>
    </row>
    <row r="166" spans="1:10" x14ac:dyDescent="0.25">
      <c r="A166" t="s">
        <v>4116</v>
      </c>
      <c r="B166" t="s">
        <v>4045</v>
      </c>
      <c r="C166" s="3">
        <v>45411</v>
      </c>
      <c r="D166" s="3">
        <v>45441</v>
      </c>
      <c r="E166" s="1">
        <v>16230.9</v>
      </c>
      <c r="F166" t="s">
        <v>4040</v>
      </c>
      <c r="G166" t="str">
        <f>_xlfn.XLOOKUP(B166,tblVendors[VendorID],tblVendors[VendorName],"Unmapped")</f>
        <v>Office Supplies Co.</v>
      </c>
      <c r="H166">
        <f t="shared" si="6"/>
        <v>30</v>
      </c>
      <c r="I166" s="1">
        <f t="shared" si="7"/>
        <v>16230.9</v>
      </c>
      <c r="J166" t="str">
        <f t="shared" ca="1" si="8"/>
        <v>Overdue</v>
      </c>
    </row>
    <row r="167" spans="1:10" x14ac:dyDescent="0.25">
      <c r="A167" t="s">
        <v>4341</v>
      </c>
      <c r="B167" t="s">
        <v>4039</v>
      </c>
      <c r="C167" s="3">
        <v>45411</v>
      </c>
      <c r="D167" s="3">
        <v>45441</v>
      </c>
      <c r="E167" s="1">
        <v>9319.1200000000008</v>
      </c>
      <c r="F167" t="s">
        <v>4037</v>
      </c>
      <c r="G167" t="str">
        <f>_xlfn.XLOOKUP(B167,tblVendors[VendorID],tblVendors[VendorName],"Unmapped")</f>
        <v>Dairy Farms United</v>
      </c>
      <c r="H167">
        <f t="shared" si="6"/>
        <v>30</v>
      </c>
      <c r="I167" s="1">
        <f t="shared" si="7"/>
        <v>0</v>
      </c>
      <c r="J167" t="str">
        <f t="shared" ca="1" si="8"/>
        <v>Paid</v>
      </c>
    </row>
    <row r="168" spans="1:10" x14ac:dyDescent="0.25">
      <c r="A168" t="s">
        <v>4430</v>
      </c>
      <c r="B168" t="s">
        <v>4042</v>
      </c>
      <c r="C168" s="3">
        <v>45413</v>
      </c>
      <c r="D168" s="3">
        <v>45443</v>
      </c>
      <c r="E168" s="1">
        <v>18609.900000000001</v>
      </c>
      <c r="F168" t="s">
        <v>4037</v>
      </c>
      <c r="G168" t="str">
        <f>_xlfn.XLOOKUP(B168,tblVendors[VendorID],tblVendors[VendorName],"Unmapped")</f>
        <v>Cocoa World Inc.</v>
      </c>
      <c r="H168">
        <f t="shared" si="6"/>
        <v>30</v>
      </c>
      <c r="I168" s="1">
        <f t="shared" si="7"/>
        <v>0</v>
      </c>
      <c r="J168" t="str">
        <f t="shared" ca="1" si="8"/>
        <v>Paid</v>
      </c>
    </row>
    <row r="169" spans="1:10" x14ac:dyDescent="0.25">
      <c r="A169" t="s">
        <v>4325</v>
      </c>
      <c r="B169" t="s">
        <v>4039</v>
      </c>
      <c r="C169" s="3">
        <v>45415</v>
      </c>
      <c r="D169" s="3">
        <v>45445</v>
      </c>
      <c r="E169" s="1">
        <v>13970.51</v>
      </c>
      <c r="F169" t="s">
        <v>4037</v>
      </c>
      <c r="G169" t="str">
        <f>_xlfn.XLOOKUP(B169,tblVendors[VendorID],tblVendors[VendorName],"Unmapped")</f>
        <v>Dairy Farms United</v>
      </c>
      <c r="H169">
        <f t="shared" si="6"/>
        <v>30</v>
      </c>
      <c r="I169" s="1">
        <f t="shared" si="7"/>
        <v>0</v>
      </c>
      <c r="J169" t="str">
        <f t="shared" ca="1" si="8"/>
        <v>Paid</v>
      </c>
    </row>
    <row r="170" spans="1:10" x14ac:dyDescent="0.25">
      <c r="A170" t="s">
        <v>4443</v>
      </c>
      <c r="B170" t="s">
        <v>4039</v>
      </c>
      <c r="C170" s="3">
        <v>45417</v>
      </c>
      <c r="D170" s="3">
        <v>45447</v>
      </c>
      <c r="E170" s="1">
        <v>9816.26</v>
      </c>
      <c r="F170" t="s">
        <v>4040</v>
      </c>
      <c r="G170" t="str">
        <f>_xlfn.XLOOKUP(B170,tblVendors[VendorID],tblVendors[VendorName],"Unmapped")</f>
        <v>Dairy Farms United</v>
      </c>
      <c r="H170">
        <f t="shared" si="6"/>
        <v>30</v>
      </c>
      <c r="I170" s="1">
        <f t="shared" si="7"/>
        <v>9816.26</v>
      </c>
      <c r="J170" t="str">
        <f t="shared" ca="1" si="8"/>
        <v>Overdue</v>
      </c>
    </row>
    <row r="171" spans="1:10" x14ac:dyDescent="0.25">
      <c r="A171" t="s">
        <v>4337</v>
      </c>
      <c r="B171" t="s">
        <v>4045</v>
      </c>
      <c r="C171" s="3">
        <v>45420</v>
      </c>
      <c r="D171" s="3">
        <v>45450</v>
      </c>
      <c r="E171" s="1">
        <v>9787.5300000000007</v>
      </c>
      <c r="F171" t="s">
        <v>4037</v>
      </c>
      <c r="G171" t="str">
        <f>_xlfn.XLOOKUP(B171,tblVendors[VendorID],tblVendors[VendorName],"Unmapped")</f>
        <v>Office Supplies Co.</v>
      </c>
      <c r="H171">
        <f t="shared" si="6"/>
        <v>30</v>
      </c>
      <c r="I171" s="1">
        <f t="shared" si="7"/>
        <v>0</v>
      </c>
      <c r="J171" t="str">
        <f t="shared" ca="1" si="8"/>
        <v>Paid</v>
      </c>
    </row>
    <row r="172" spans="1:10" x14ac:dyDescent="0.25">
      <c r="A172" t="s">
        <v>4236</v>
      </c>
      <c r="B172" t="s">
        <v>4045</v>
      </c>
      <c r="C172" s="3">
        <v>45422</v>
      </c>
      <c r="D172" s="3">
        <v>45452</v>
      </c>
      <c r="E172" s="1">
        <v>10357.9</v>
      </c>
      <c r="F172" t="s">
        <v>4037</v>
      </c>
      <c r="G172" t="str">
        <f>_xlfn.XLOOKUP(B172,tblVendors[VendorID],tblVendors[VendorName],"Unmapped")</f>
        <v>Office Supplies Co.</v>
      </c>
      <c r="H172">
        <f t="shared" si="6"/>
        <v>30</v>
      </c>
      <c r="I172" s="1">
        <f t="shared" si="7"/>
        <v>0</v>
      </c>
      <c r="J172" t="str">
        <f t="shared" ca="1" si="8"/>
        <v>Paid</v>
      </c>
    </row>
    <row r="173" spans="1:10" x14ac:dyDescent="0.25">
      <c r="A173" t="s">
        <v>4197</v>
      </c>
      <c r="B173" t="s">
        <v>4062</v>
      </c>
      <c r="C173" s="3">
        <v>45423</v>
      </c>
      <c r="D173" s="3">
        <v>45453</v>
      </c>
      <c r="E173" s="1">
        <v>6989.7</v>
      </c>
      <c r="F173" t="s">
        <v>4037</v>
      </c>
      <c r="G173" t="str">
        <f>_xlfn.XLOOKUP(B173,tblVendors[VendorID],tblVendors[VendorName],"Unmapped")</f>
        <v>Packaging Pros</v>
      </c>
      <c r="H173">
        <f t="shared" si="6"/>
        <v>30</v>
      </c>
      <c r="I173" s="1">
        <f t="shared" si="7"/>
        <v>0</v>
      </c>
      <c r="J173" t="str">
        <f t="shared" ca="1" si="8"/>
        <v>Paid</v>
      </c>
    </row>
    <row r="174" spans="1:10" x14ac:dyDescent="0.25">
      <c r="A174" t="s">
        <v>4486</v>
      </c>
      <c r="B174" t="s">
        <v>4047</v>
      </c>
      <c r="C174" s="3">
        <v>45429</v>
      </c>
      <c r="D174" s="3">
        <v>45459</v>
      </c>
      <c r="E174" s="1">
        <v>5972.28</v>
      </c>
      <c r="F174" t="s">
        <v>4037</v>
      </c>
      <c r="G174" t="str">
        <f>_xlfn.XLOOKUP(B174,tblVendors[VendorID],tblVendors[VendorName],"Unmapped")</f>
        <v>Global Sweeteners</v>
      </c>
      <c r="H174">
        <f t="shared" si="6"/>
        <v>30</v>
      </c>
      <c r="I174" s="1">
        <f t="shared" si="7"/>
        <v>0</v>
      </c>
      <c r="J174" t="str">
        <f t="shared" ca="1" si="8"/>
        <v>Paid</v>
      </c>
    </row>
    <row r="175" spans="1:10" x14ac:dyDescent="0.25">
      <c r="A175" t="s">
        <v>4058</v>
      </c>
      <c r="B175" t="s">
        <v>4042</v>
      </c>
      <c r="C175" s="3">
        <v>45439</v>
      </c>
      <c r="D175" s="3">
        <v>45469</v>
      </c>
      <c r="E175" s="1">
        <v>1829.34</v>
      </c>
      <c r="F175" t="s">
        <v>4037</v>
      </c>
      <c r="G175" t="str">
        <f>_xlfn.XLOOKUP(B175,tblVendors[VendorID],tblVendors[VendorName],"Unmapped")</f>
        <v>Cocoa World Inc.</v>
      </c>
      <c r="H175">
        <f t="shared" si="6"/>
        <v>30</v>
      </c>
      <c r="I175" s="1">
        <f t="shared" si="7"/>
        <v>0</v>
      </c>
      <c r="J175" t="str">
        <f t="shared" ca="1" si="8"/>
        <v>Paid</v>
      </c>
    </row>
    <row r="176" spans="1:10" x14ac:dyDescent="0.25">
      <c r="A176" t="s">
        <v>4267</v>
      </c>
      <c r="B176" t="s">
        <v>4039</v>
      </c>
      <c r="C176" s="3">
        <v>45439</v>
      </c>
      <c r="D176" s="3">
        <v>45469</v>
      </c>
      <c r="E176" s="1">
        <v>18284.060000000001</v>
      </c>
      <c r="F176" t="s">
        <v>4037</v>
      </c>
      <c r="G176" t="str">
        <f>_xlfn.XLOOKUP(B176,tblVendors[VendorID],tblVendors[VendorName],"Unmapped")</f>
        <v>Dairy Farms United</v>
      </c>
      <c r="H176">
        <f t="shared" si="6"/>
        <v>30</v>
      </c>
      <c r="I176" s="1">
        <f t="shared" si="7"/>
        <v>0</v>
      </c>
      <c r="J176" t="str">
        <f t="shared" ca="1" si="8"/>
        <v>Paid</v>
      </c>
    </row>
    <row r="177" spans="1:10" x14ac:dyDescent="0.25">
      <c r="A177" t="s">
        <v>4458</v>
      </c>
      <c r="B177" t="s">
        <v>4062</v>
      </c>
      <c r="C177" s="3">
        <v>45439</v>
      </c>
      <c r="D177" s="3">
        <v>45469</v>
      </c>
      <c r="E177" s="1">
        <v>19898.34</v>
      </c>
      <c r="F177" t="s">
        <v>4037</v>
      </c>
      <c r="G177" t="str">
        <f>_xlfn.XLOOKUP(B177,tblVendors[VendorID],tblVendors[VendorName],"Unmapped")</f>
        <v>Packaging Pros</v>
      </c>
      <c r="H177">
        <f t="shared" si="6"/>
        <v>30</v>
      </c>
      <c r="I177" s="1">
        <f t="shared" si="7"/>
        <v>0</v>
      </c>
      <c r="J177" t="str">
        <f t="shared" ca="1" si="8"/>
        <v>Paid</v>
      </c>
    </row>
    <row r="178" spans="1:10" x14ac:dyDescent="0.25">
      <c r="A178" t="s">
        <v>4205</v>
      </c>
      <c r="B178" t="s">
        <v>4062</v>
      </c>
      <c r="C178" s="3">
        <v>45441</v>
      </c>
      <c r="D178" s="3">
        <v>45471</v>
      </c>
      <c r="E178" s="1">
        <v>5593.5</v>
      </c>
      <c r="F178" t="s">
        <v>4037</v>
      </c>
      <c r="G178" t="str">
        <f>_xlfn.XLOOKUP(B178,tblVendors[VendorID],tblVendors[VendorName],"Unmapped")</f>
        <v>Packaging Pros</v>
      </c>
      <c r="H178">
        <f t="shared" si="6"/>
        <v>30</v>
      </c>
      <c r="I178" s="1">
        <f t="shared" si="7"/>
        <v>0</v>
      </c>
      <c r="J178" t="str">
        <f t="shared" ca="1" si="8"/>
        <v>Paid</v>
      </c>
    </row>
    <row r="179" spans="1:10" x14ac:dyDescent="0.25">
      <c r="A179" t="s">
        <v>4218</v>
      </c>
      <c r="B179" t="s">
        <v>4036</v>
      </c>
      <c r="C179" s="3">
        <v>45442</v>
      </c>
      <c r="D179" s="3">
        <v>45472</v>
      </c>
      <c r="E179" s="1">
        <v>13669.91</v>
      </c>
      <c r="F179" t="s">
        <v>4040</v>
      </c>
      <c r="G179" t="str">
        <f>_xlfn.XLOOKUP(B179,tblVendors[VendorID],tblVendors[VendorName],"Unmapped")</f>
        <v>Cloud Services LLC</v>
      </c>
      <c r="H179">
        <f t="shared" si="6"/>
        <v>30</v>
      </c>
      <c r="I179" s="1">
        <f t="shared" si="7"/>
        <v>13669.91</v>
      </c>
      <c r="J179" t="str">
        <f t="shared" ca="1" si="8"/>
        <v>Overdue</v>
      </c>
    </row>
    <row r="180" spans="1:10" x14ac:dyDescent="0.25">
      <c r="A180" t="s">
        <v>4170</v>
      </c>
      <c r="B180" t="s">
        <v>4042</v>
      </c>
      <c r="C180" s="3">
        <v>45443</v>
      </c>
      <c r="D180" s="3">
        <v>45473</v>
      </c>
      <c r="E180" s="1">
        <v>16698.43</v>
      </c>
      <c r="F180" t="s">
        <v>4037</v>
      </c>
      <c r="G180" t="str">
        <f>_xlfn.XLOOKUP(B180,tblVendors[VendorID],tblVendors[VendorName],"Unmapped")</f>
        <v>Cocoa World Inc.</v>
      </c>
      <c r="H180">
        <f t="shared" si="6"/>
        <v>30</v>
      </c>
      <c r="I180" s="1">
        <f t="shared" si="7"/>
        <v>0</v>
      </c>
      <c r="J180" t="str">
        <f t="shared" ca="1" si="8"/>
        <v>Paid</v>
      </c>
    </row>
    <row r="181" spans="1:10" x14ac:dyDescent="0.25">
      <c r="A181" t="s">
        <v>4202</v>
      </c>
      <c r="B181" t="s">
        <v>4036</v>
      </c>
      <c r="C181" s="3">
        <v>45445</v>
      </c>
      <c r="D181" s="3">
        <v>45475</v>
      </c>
      <c r="E181" s="1">
        <v>18598.37</v>
      </c>
      <c r="F181" t="s">
        <v>4037</v>
      </c>
      <c r="G181" t="str">
        <f>_xlfn.XLOOKUP(B181,tblVendors[VendorID],tblVendors[VendorName],"Unmapped")</f>
        <v>Cloud Services LLC</v>
      </c>
      <c r="H181">
        <f t="shared" si="6"/>
        <v>30</v>
      </c>
      <c r="I181" s="1">
        <f t="shared" si="7"/>
        <v>0</v>
      </c>
      <c r="J181" t="str">
        <f t="shared" ca="1" si="8"/>
        <v>Paid</v>
      </c>
    </row>
    <row r="182" spans="1:10" x14ac:dyDescent="0.25">
      <c r="A182" t="s">
        <v>4111</v>
      </c>
      <c r="B182" t="s">
        <v>4036</v>
      </c>
      <c r="C182" s="3">
        <v>45446</v>
      </c>
      <c r="D182" s="3">
        <v>45476</v>
      </c>
      <c r="E182" s="1">
        <v>12465.05</v>
      </c>
      <c r="F182" t="s">
        <v>4037</v>
      </c>
      <c r="G182" t="str">
        <f>_xlfn.XLOOKUP(B182,tblVendors[VendorID],tblVendors[VendorName],"Unmapped")</f>
        <v>Cloud Services LLC</v>
      </c>
      <c r="H182">
        <f t="shared" si="6"/>
        <v>30</v>
      </c>
      <c r="I182" s="1">
        <f t="shared" si="7"/>
        <v>0</v>
      </c>
      <c r="J182" t="str">
        <f t="shared" ca="1" si="8"/>
        <v>Paid</v>
      </c>
    </row>
    <row r="183" spans="1:10" x14ac:dyDescent="0.25">
      <c r="A183" t="s">
        <v>4454</v>
      </c>
      <c r="B183" t="s">
        <v>4047</v>
      </c>
      <c r="C183" s="3">
        <v>45449</v>
      </c>
      <c r="D183" s="3">
        <v>45479</v>
      </c>
      <c r="E183" s="1">
        <v>5762.77</v>
      </c>
      <c r="F183" t="s">
        <v>4037</v>
      </c>
      <c r="G183" t="str">
        <f>_xlfn.XLOOKUP(B183,tblVendors[VendorID],tblVendors[VendorName],"Unmapped")</f>
        <v>Global Sweeteners</v>
      </c>
      <c r="H183">
        <f t="shared" si="6"/>
        <v>30</v>
      </c>
      <c r="I183" s="1">
        <f t="shared" si="7"/>
        <v>0</v>
      </c>
      <c r="J183" t="str">
        <f t="shared" ca="1" si="8"/>
        <v>Paid</v>
      </c>
    </row>
    <row r="184" spans="1:10" x14ac:dyDescent="0.25">
      <c r="A184" t="s">
        <v>4411</v>
      </c>
      <c r="B184" t="s">
        <v>4039</v>
      </c>
      <c r="C184" s="3">
        <v>45451</v>
      </c>
      <c r="D184" s="3">
        <v>45481</v>
      </c>
      <c r="E184" s="1">
        <v>13011.75</v>
      </c>
      <c r="F184" t="s">
        <v>4040</v>
      </c>
      <c r="G184" t="str">
        <f>_xlfn.XLOOKUP(B184,tblVendors[VendorID],tblVendors[VendorName],"Unmapped")</f>
        <v>Dairy Farms United</v>
      </c>
      <c r="H184">
        <f t="shared" si="6"/>
        <v>30</v>
      </c>
      <c r="I184" s="1">
        <f t="shared" si="7"/>
        <v>13011.75</v>
      </c>
      <c r="J184" t="str">
        <f t="shared" ca="1" si="8"/>
        <v>Overdue</v>
      </c>
    </row>
    <row r="185" spans="1:10" x14ac:dyDescent="0.25">
      <c r="A185" t="s">
        <v>4080</v>
      </c>
      <c r="B185" t="s">
        <v>4045</v>
      </c>
      <c r="C185" s="3">
        <v>45452</v>
      </c>
      <c r="D185" s="3">
        <v>45482</v>
      </c>
      <c r="E185" s="1">
        <v>9565.9</v>
      </c>
      <c r="F185" t="s">
        <v>4037</v>
      </c>
      <c r="G185" t="str">
        <f>_xlfn.XLOOKUP(B185,tblVendors[VendorID],tblVendors[VendorName],"Unmapped")</f>
        <v>Office Supplies Co.</v>
      </c>
      <c r="H185">
        <f t="shared" si="6"/>
        <v>30</v>
      </c>
      <c r="I185" s="1">
        <f t="shared" si="7"/>
        <v>0</v>
      </c>
      <c r="J185" t="str">
        <f t="shared" ca="1" si="8"/>
        <v>Paid</v>
      </c>
    </row>
    <row r="186" spans="1:10" x14ac:dyDescent="0.25">
      <c r="A186" t="s">
        <v>4506</v>
      </c>
      <c r="B186" t="s">
        <v>4036</v>
      </c>
      <c r="C186" s="3">
        <v>45453</v>
      </c>
      <c r="D186" s="3">
        <v>45483</v>
      </c>
      <c r="E186" s="1">
        <v>15725.98</v>
      </c>
      <c r="F186" t="s">
        <v>4037</v>
      </c>
      <c r="G186" t="str">
        <f>_xlfn.XLOOKUP(B186,tblVendors[VendorID],tblVendors[VendorName],"Unmapped")</f>
        <v>Cloud Services LLC</v>
      </c>
      <c r="H186">
        <f t="shared" si="6"/>
        <v>30</v>
      </c>
      <c r="I186" s="1">
        <f t="shared" si="7"/>
        <v>0</v>
      </c>
      <c r="J186" t="str">
        <f t="shared" ca="1" si="8"/>
        <v>Paid</v>
      </c>
    </row>
    <row r="187" spans="1:10" x14ac:dyDescent="0.25">
      <c r="A187" t="s">
        <v>4286</v>
      </c>
      <c r="B187" t="s">
        <v>4047</v>
      </c>
      <c r="C187" s="3">
        <v>45455</v>
      </c>
      <c r="D187" s="3">
        <v>45485</v>
      </c>
      <c r="E187" s="1">
        <v>5997.45</v>
      </c>
      <c r="F187" t="s">
        <v>4037</v>
      </c>
      <c r="G187" t="str">
        <f>_xlfn.XLOOKUP(B187,tblVendors[VendorID],tblVendors[VendorName],"Unmapped")</f>
        <v>Global Sweeteners</v>
      </c>
      <c r="H187">
        <f t="shared" si="6"/>
        <v>30</v>
      </c>
      <c r="I187" s="1">
        <f t="shared" si="7"/>
        <v>0</v>
      </c>
      <c r="J187" t="str">
        <f t="shared" ca="1" si="8"/>
        <v>Paid</v>
      </c>
    </row>
    <row r="188" spans="1:10" x14ac:dyDescent="0.25">
      <c r="A188" t="s">
        <v>4358</v>
      </c>
      <c r="B188" t="s">
        <v>4062</v>
      </c>
      <c r="C188" s="3">
        <v>45455</v>
      </c>
      <c r="D188" s="3">
        <v>45485</v>
      </c>
      <c r="E188" s="1">
        <v>11781.53</v>
      </c>
      <c r="F188" t="s">
        <v>4037</v>
      </c>
      <c r="G188" t="str">
        <f>_xlfn.XLOOKUP(B188,tblVendors[VendorID],tblVendors[VendorName],"Unmapped")</f>
        <v>Packaging Pros</v>
      </c>
      <c r="H188">
        <f t="shared" si="6"/>
        <v>30</v>
      </c>
      <c r="I188" s="1">
        <f t="shared" si="7"/>
        <v>0</v>
      </c>
      <c r="J188" t="str">
        <f t="shared" ca="1" si="8"/>
        <v>Paid</v>
      </c>
    </row>
    <row r="189" spans="1:10" x14ac:dyDescent="0.25">
      <c r="A189" t="s">
        <v>4461</v>
      </c>
      <c r="B189" t="s">
        <v>4047</v>
      </c>
      <c r="C189" s="3">
        <v>45455</v>
      </c>
      <c r="D189" s="3">
        <v>45485</v>
      </c>
      <c r="E189" s="1">
        <v>7997.98</v>
      </c>
      <c r="F189" t="s">
        <v>4037</v>
      </c>
      <c r="G189" t="str">
        <f>_xlfn.XLOOKUP(B189,tblVendors[VendorID],tblVendors[VendorName],"Unmapped")</f>
        <v>Global Sweeteners</v>
      </c>
      <c r="H189">
        <f t="shared" si="6"/>
        <v>30</v>
      </c>
      <c r="I189" s="1">
        <f t="shared" si="7"/>
        <v>0</v>
      </c>
      <c r="J189" t="str">
        <f t="shared" ca="1" si="8"/>
        <v>Paid</v>
      </c>
    </row>
    <row r="190" spans="1:10" x14ac:dyDescent="0.25">
      <c r="A190" t="s">
        <v>4105</v>
      </c>
      <c r="B190" t="s">
        <v>4047</v>
      </c>
      <c r="C190" s="3">
        <v>45458</v>
      </c>
      <c r="D190" s="3">
        <v>45488</v>
      </c>
      <c r="E190" s="1">
        <v>15881.73</v>
      </c>
      <c r="F190" t="s">
        <v>4037</v>
      </c>
      <c r="G190" t="str">
        <f>_xlfn.XLOOKUP(B190,tblVendors[VendorID],tblVendors[VendorName],"Unmapped")</f>
        <v>Global Sweeteners</v>
      </c>
      <c r="H190">
        <f t="shared" si="6"/>
        <v>30</v>
      </c>
      <c r="I190" s="1">
        <f t="shared" si="7"/>
        <v>0</v>
      </c>
      <c r="J190" t="str">
        <f t="shared" ca="1" si="8"/>
        <v>Paid</v>
      </c>
    </row>
    <row r="191" spans="1:10" x14ac:dyDescent="0.25">
      <c r="A191" t="s">
        <v>4133</v>
      </c>
      <c r="B191" t="s">
        <v>4036</v>
      </c>
      <c r="C191" s="3">
        <v>45458</v>
      </c>
      <c r="D191" s="3">
        <v>45488</v>
      </c>
      <c r="E191" s="1">
        <v>6125.56</v>
      </c>
      <c r="F191" t="s">
        <v>4037</v>
      </c>
      <c r="G191" t="str">
        <f>_xlfn.XLOOKUP(B191,tblVendors[VendorID],tblVendors[VendorName],"Unmapped")</f>
        <v>Cloud Services LLC</v>
      </c>
      <c r="H191">
        <f t="shared" si="6"/>
        <v>30</v>
      </c>
      <c r="I191" s="1">
        <f t="shared" si="7"/>
        <v>0</v>
      </c>
      <c r="J191" t="str">
        <f t="shared" ca="1" si="8"/>
        <v>Paid</v>
      </c>
    </row>
    <row r="192" spans="1:10" x14ac:dyDescent="0.25">
      <c r="A192" t="s">
        <v>4035</v>
      </c>
      <c r="B192" t="s">
        <v>4036</v>
      </c>
      <c r="C192" s="3">
        <v>45459</v>
      </c>
      <c r="D192" s="3">
        <v>45489</v>
      </c>
      <c r="E192" s="1">
        <v>9671.7999999999993</v>
      </c>
      <c r="F192" t="s">
        <v>4037</v>
      </c>
      <c r="G192" t="str">
        <f>_xlfn.XLOOKUP(B192,tblVendors[VendorID],tblVendors[VendorName],"Unmapped")</f>
        <v>Cloud Services LLC</v>
      </c>
      <c r="H192">
        <f t="shared" si="6"/>
        <v>30</v>
      </c>
      <c r="I192" s="1">
        <f t="shared" si="7"/>
        <v>0</v>
      </c>
      <c r="J192" t="str">
        <f t="shared" ca="1" si="8"/>
        <v>Paid</v>
      </c>
    </row>
    <row r="193" spans="1:10" x14ac:dyDescent="0.25">
      <c r="A193" t="s">
        <v>4123</v>
      </c>
      <c r="B193" t="s">
        <v>4036</v>
      </c>
      <c r="C193" s="3">
        <v>45462</v>
      </c>
      <c r="D193" s="3">
        <v>45492</v>
      </c>
      <c r="E193" s="1">
        <v>6596.32</v>
      </c>
      <c r="F193" t="s">
        <v>4037</v>
      </c>
      <c r="G193" t="str">
        <f>_xlfn.XLOOKUP(B193,tblVendors[VendorID],tblVendors[VendorName],"Unmapped")</f>
        <v>Cloud Services LLC</v>
      </c>
      <c r="H193">
        <f t="shared" si="6"/>
        <v>30</v>
      </c>
      <c r="I193" s="1">
        <f t="shared" si="7"/>
        <v>0</v>
      </c>
      <c r="J193" t="str">
        <f t="shared" ca="1" si="8"/>
        <v>Paid</v>
      </c>
    </row>
    <row r="194" spans="1:10" x14ac:dyDescent="0.25">
      <c r="A194" t="s">
        <v>4344</v>
      </c>
      <c r="B194" t="s">
        <v>4042</v>
      </c>
      <c r="C194" s="3">
        <v>45462</v>
      </c>
      <c r="D194" s="3">
        <v>45492</v>
      </c>
      <c r="E194" s="1">
        <v>18359.57</v>
      </c>
      <c r="F194" t="s">
        <v>4037</v>
      </c>
      <c r="G194" t="str">
        <f>_xlfn.XLOOKUP(B194,tblVendors[VendorID],tblVendors[VendorName],"Unmapped")</f>
        <v>Cocoa World Inc.</v>
      </c>
      <c r="H194">
        <f t="shared" ref="H194:H257" si="9">D194-C194</f>
        <v>30</v>
      </c>
      <c r="I194" s="1">
        <f t="shared" ref="I194:I257" si="10">IF(F194="Unpaid",E194,0)</f>
        <v>0</v>
      </c>
      <c r="J194" t="str">
        <f t="shared" ref="J194:J257" ca="1" si="11">IF(F194="Paid","Paid",IF(D194&lt;TODAY(),"Overdue","Open"))</f>
        <v>Paid</v>
      </c>
    </row>
    <row r="195" spans="1:10" x14ac:dyDescent="0.25">
      <c r="A195" t="s">
        <v>4459</v>
      </c>
      <c r="B195" t="s">
        <v>4042</v>
      </c>
      <c r="C195" s="3">
        <v>45463</v>
      </c>
      <c r="D195" s="3">
        <v>45493</v>
      </c>
      <c r="E195" s="1">
        <v>9295.27</v>
      </c>
      <c r="F195" t="s">
        <v>4037</v>
      </c>
      <c r="G195" t="str">
        <f>_xlfn.XLOOKUP(B195,tblVendors[VendorID],tblVendors[VendorName],"Unmapped")</f>
        <v>Cocoa World Inc.</v>
      </c>
      <c r="H195">
        <f t="shared" si="9"/>
        <v>30</v>
      </c>
      <c r="I195" s="1">
        <f t="shared" si="10"/>
        <v>0</v>
      </c>
      <c r="J195" t="str">
        <f t="shared" ca="1" si="11"/>
        <v>Paid</v>
      </c>
    </row>
    <row r="196" spans="1:10" x14ac:dyDescent="0.25">
      <c r="A196" t="s">
        <v>4394</v>
      </c>
      <c r="B196" t="s">
        <v>4042</v>
      </c>
      <c r="C196" s="3">
        <v>45465</v>
      </c>
      <c r="D196" s="3">
        <v>45495</v>
      </c>
      <c r="E196" s="1">
        <v>19249.41</v>
      </c>
      <c r="F196" t="s">
        <v>4037</v>
      </c>
      <c r="G196" t="str">
        <f>_xlfn.XLOOKUP(B196,tblVendors[VendorID],tblVendors[VendorName],"Unmapped")</f>
        <v>Cocoa World Inc.</v>
      </c>
      <c r="H196">
        <f t="shared" si="9"/>
        <v>30</v>
      </c>
      <c r="I196" s="1">
        <f t="shared" si="10"/>
        <v>0</v>
      </c>
      <c r="J196" t="str">
        <f t="shared" ca="1" si="11"/>
        <v>Paid</v>
      </c>
    </row>
    <row r="197" spans="1:10" x14ac:dyDescent="0.25">
      <c r="A197" t="s">
        <v>4370</v>
      </c>
      <c r="B197" t="s">
        <v>4039</v>
      </c>
      <c r="C197" s="3">
        <v>45466</v>
      </c>
      <c r="D197" s="3">
        <v>45496</v>
      </c>
      <c r="E197" s="1">
        <v>15122.55</v>
      </c>
      <c r="F197" t="s">
        <v>4037</v>
      </c>
      <c r="G197" t="str">
        <f>_xlfn.XLOOKUP(B197,tblVendors[VendorID],tblVendors[VendorName],"Unmapped")</f>
        <v>Dairy Farms United</v>
      </c>
      <c r="H197">
        <f t="shared" si="9"/>
        <v>30</v>
      </c>
      <c r="I197" s="1">
        <f t="shared" si="10"/>
        <v>0</v>
      </c>
      <c r="J197" t="str">
        <f t="shared" ca="1" si="11"/>
        <v>Paid</v>
      </c>
    </row>
    <row r="198" spans="1:10" x14ac:dyDescent="0.25">
      <c r="A198" t="s">
        <v>4299</v>
      </c>
      <c r="B198" t="s">
        <v>4039</v>
      </c>
      <c r="C198" s="3">
        <v>45468</v>
      </c>
      <c r="D198" s="3">
        <v>45498</v>
      </c>
      <c r="E198" s="1">
        <v>17045.73</v>
      </c>
      <c r="F198" t="s">
        <v>4037</v>
      </c>
      <c r="G198" t="str">
        <f>_xlfn.XLOOKUP(B198,tblVendors[VendorID],tblVendors[VendorName],"Unmapped")</f>
        <v>Dairy Farms United</v>
      </c>
      <c r="H198">
        <f t="shared" si="9"/>
        <v>30</v>
      </c>
      <c r="I198" s="1">
        <f t="shared" si="10"/>
        <v>0</v>
      </c>
      <c r="J198" t="str">
        <f t="shared" ca="1" si="11"/>
        <v>Paid</v>
      </c>
    </row>
    <row r="199" spans="1:10" x14ac:dyDescent="0.25">
      <c r="A199" t="s">
        <v>4542</v>
      </c>
      <c r="B199" t="s">
        <v>4042</v>
      </c>
      <c r="C199" s="3">
        <v>45472</v>
      </c>
      <c r="D199" s="3">
        <v>45502</v>
      </c>
      <c r="E199" s="1">
        <v>2861.37</v>
      </c>
      <c r="F199" t="s">
        <v>4037</v>
      </c>
      <c r="G199" t="str">
        <f>_xlfn.XLOOKUP(B199,tblVendors[VendorID],tblVendors[VendorName],"Unmapped")</f>
        <v>Cocoa World Inc.</v>
      </c>
      <c r="H199">
        <f t="shared" si="9"/>
        <v>30</v>
      </c>
      <c r="I199" s="1">
        <f t="shared" si="10"/>
        <v>0</v>
      </c>
      <c r="J199" t="str">
        <f t="shared" ca="1" si="11"/>
        <v>Paid</v>
      </c>
    </row>
    <row r="200" spans="1:10" x14ac:dyDescent="0.25">
      <c r="A200" t="s">
        <v>4297</v>
      </c>
      <c r="B200" t="s">
        <v>4036</v>
      </c>
      <c r="C200" s="3">
        <v>45474</v>
      </c>
      <c r="D200" s="3">
        <v>45504</v>
      </c>
      <c r="E200" s="1">
        <v>7231.64</v>
      </c>
      <c r="F200" t="s">
        <v>4040</v>
      </c>
      <c r="G200" t="str">
        <f>_xlfn.XLOOKUP(B200,tblVendors[VendorID],tblVendors[VendorName],"Unmapped")</f>
        <v>Cloud Services LLC</v>
      </c>
      <c r="H200">
        <f t="shared" si="9"/>
        <v>30</v>
      </c>
      <c r="I200" s="1">
        <f t="shared" si="10"/>
        <v>7231.64</v>
      </c>
      <c r="J200" t="str">
        <f t="shared" ca="1" si="11"/>
        <v>Overdue</v>
      </c>
    </row>
    <row r="201" spans="1:10" x14ac:dyDescent="0.25">
      <c r="A201" t="s">
        <v>4199</v>
      </c>
      <c r="B201" t="s">
        <v>4039</v>
      </c>
      <c r="C201" s="3">
        <v>45475</v>
      </c>
      <c r="D201" s="3">
        <v>45505</v>
      </c>
      <c r="E201" s="1">
        <v>4188.87</v>
      </c>
      <c r="F201" t="s">
        <v>4037</v>
      </c>
      <c r="G201" t="str">
        <f>_xlfn.XLOOKUP(B201,tblVendors[VendorID],tblVendors[VendorName],"Unmapped")</f>
        <v>Dairy Farms United</v>
      </c>
      <c r="H201">
        <f t="shared" si="9"/>
        <v>30</v>
      </c>
      <c r="I201" s="1">
        <f t="shared" si="10"/>
        <v>0</v>
      </c>
      <c r="J201" t="str">
        <f t="shared" ca="1" si="11"/>
        <v>Paid</v>
      </c>
    </row>
    <row r="202" spans="1:10" x14ac:dyDescent="0.25">
      <c r="A202" t="s">
        <v>4132</v>
      </c>
      <c r="B202" t="s">
        <v>4062</v>
      </c>
      <c r="C202" s="3">
        <v>45477</v>
      </c>
      <c r="D202" s="3">
        <v>45507</v>
      </c>
      <c r="E202" s="1">
        <v>12432.35</v>
      </c>
      <c r="F202" t="s">
        <v>4037</v>
      </c>
      <c r="G202" t="str">
        <f>_xlfn.XLOOKUP(B202,tblVendors[VendorID],tblVendors[VendorName],"Unmapped")</f>
        <v>Packaging Pros</v>
      </c>
      <c r="H202">
        <f t="shared" si="9"/>
        <v>30</v>
      </c>
      <c r="I202" s="1">
        <f t="shared" si="10"/>
        <v>0</v>
      </c>
      <c r="J202" t="str">
        <f t="shared" ca="1" si="11"/>
        <v>Paid</v>
      </c>
    </row>
    <row r="203" spans="1:10" x14ac:dyDescent="0.25">
      <c r="A203" t="s">
        <v>4505</v>
      </c>
      <c r="B203" t="s">
        <v>4062</v>
      </c>
      <c r="C203" s="3">
        <v>45478</v>
      </c>
      <c r="D203" s="3">
        <v>45508</v>
      </c>
      <c r="E203" s="1">
        <v>884.39</v>
      </c>
      <c r="F203" t="s">
        <v>4037</v>
      </c>
      <c r="G203" t="str">
        <f>_xlfn.XLOOKUP(B203,tblVendors[VendorID],tblVendors[VendorName],"Unmapped")</f>
        <v>Packaging Pros</v>
      </c>
      <c r="H203">
        <f t="shared" si="9"/>
        <v>30</v>
      </c>
      <c r="I203" s="1">
        <f t="shared" si="10"/>
        <v>0</v>
      </c>
      <c r="J203" t="str">
        <f t="shared" ca="1" si="11"/>
        <v>Paid</v>
      </c>
    </row>
    <row r="204" spans="1:10" x14ac:dyDescent="0.25">
      <c r="A204" t="s">
        <v>4076</v>
      </c>
      <c r="B204" t="s">
        <v>4062</v>
      </c>
      <c r="C204" s="3">
        <v>45479</v>
      </c>
      <c r="D204" s="3">
        <v>45509</v>
      </c>
      <c r="E204" s="1">
        <v>10226.98</v>
      </c>
      <c r="F204" t="s">
        <v>4037</v>
      </c>
      <c r="G204" t="str">
        <f>_xlfn.XLOOKUP(B204,tblVendors[VendorID],tblVendors[VendorName],"Unmapped")</f>
        <v>Packaging Pros</v>
      </c>
      <c r="H204">
        <f t="shared" si="9"/>
        <v>30</v>
      </c>
      <c r="I204" s="1">
        <f t="shared" si="10"/>
        <v>0</v>
      </c>
      <c r="J204" t="str">
        <f t="shared" ca="1" si="11"/>
        <v>Paid</v>
      </c>
    </row>
    <row r="205" spans="1:10" x14ac:dyDescent="0.25">
      <c r="A205" t="s">
        <v>4250</v>
      </c>
      <c r="B205" t="s">
        <v>4045</v>
      </c>
      <c r="C205" s="3">
        <v>45480</v>
      </c>
      <c r="D205" s="3">
        <v>45510</v>
      </c>
      <c r="E205" s="1">
        <v>7145.84</v>
      </c>
      <c r="F205" t="s">
        <v>4037</v>
      </c>
      <c r="G205" t="str">
        <f>_xlfn.XLOOKUP(B205,tblVendors[VendorID],tblVendors[VendorName],"Unmapped")</f>
        <v>Office Supplies Co.</v>
      </c>
      <c r="H205">
        <f t="shared" si="9"/>
        <v>30</v>
      </c>
      <c r="I205" s="1">
        <f t="shared" si="10"/>
        <v>0</v>
      </c>
      <c r="J205" t="str">
        <f t="shared" ca="1" si="11"/>
        <v>Paid</v>
      </c>
    </row>
    <row r="206" spans="1:10" x14ac:dyDescent="0.25">
      <c r="A206" t="s">
        <v>4160</v>
      </c>
      <c r="B206" t="s">
        <v>4042</v>
      </c>
      <c r="C206" s="3">
        <v>45485</v>
      </c>
      <c r="D206" s="3">
        <v>45515</v>
      </c>
      <c r="E206" s="1">
        <v>6265.89</v>
      </c>
      <c r="F206" t="s">
        <v>4037</v>
      </c>
      <c r="G206" t="str">
        <f>_xlfn.XLOOKUP(B206,tblVendors[VendorID],tblVendors[VendorName],"Unmapped")</f>
        <v>Cocoa World Inc.</v>
      </c>
      <c r="H206">
        <f t="shared" si="9"/>
        <v>30</v>
      </c>
      <c r="I206" s="1">
        <f t="shared" si="10"/>
        <v>0</v>
      </c>
      <c r="J206" t="str">
        <f t="shared" ca="1" si="11"/>
        <v>Paid</v>
      </c>
    </row>
    <row r="207" spans="1:10" x14ac:dyDescent="0.25">
      <c r="A207" t="s">
        <v>4416</v>
      </c>
      <c r="B207" t="s">
        <v>4062</v>
      </c>
      <c r="C207" s="3">
        <v>45489</v>
      </c>
      <c r="D207" s="3">
        <v>45519</v>
      </c>
      <c r="E207" s="1">
        <v>4835.91</v>
      </c>
      <c r="F207" t="s">
        <v>4037</v>
      </c>
      <c r="G207" t="str">
        <f>_xlfn.XLOOKUP(B207,tblVendors[VendorID],tblVendors[VendorName],"Unmapped")</f>
        <v>Packaging Pros</v>
      </c>
      <c r="H207">
        <f t="shared" si="9"/>
        <v>30</v>
      </c>
      <c r="I207" s="1">
        <f t="shared" si="10"/>
        <v>0</v>
      </c>
      <c r="J207" t="str">
        <f t="shared" ca="1" si="11"/>
        <v>Paid</v>
      </c>
    </row>
    <row r="208" spans="1:10" x14ac:dyDescent="0.25">
      <c r="A208" t="s">
        <v>4364</v>
      </c>
      <c r="B208" t="s">
        <v>4036</v>
      </c>
      <c r="C208" s="3">
        <v>45491</v>
      </c>
      <c r="D208" s="3">
        <v>45521</v>
      </c>
      <c r="E208" s="1">
        <v>17258.169999999998</v>
      </c>
      <c r="F208" t="s">
        <v>4037</v>
      </c>
      <c r="G208" t="str">
        <f>_xlfn.XLOOKUP(B208,tblVendors[VendorID],tblVendors[VendorName],"Unmapped")</f>
        <v>Cloud Services LLC</v>
      </c>
      <c r="H208">
        <f t="shared" si="9"/>
        <v>30</v>
      </c>
      <c r="I208" s="1">
        <f t="shared" si="10"/>
        <v>0</v>
      </c>
      <c r="J208" t="str">
        <f t="shared" ca="1" si="11"/>
        <v>Paid</v>
      </c>
    </row>
    <row r="209" spans="1:10" x14ac:dyDescent="0.25">
      <c r="A209" t="s">
        <v>4515</v>
      </c>
      <c r="B209" t="s">
        <v>4042</v>
      </c>
      <c r="C209" s="3">
        <v>45494</v>
      </c>
      <c r="D209" s="3">
        <v>45524</v>
      </c>
      <c r="E209" s="1">
        <v>17591.189999999999</v>
      </c>
      <c r="F209" t="s">
        <v>4037</v>
      </c>
      <c r="G209" t="str">
        <f>_xlfn.XLOOKUP(B209,tblVendors[VendorID],tblVendors[VendorName],"Unmapped")</f>
        <v>Cocoa World Inc.</v>
      </c>
      <c r="H209">
        <f t="shared" si="9"/>
        <v>30</v>
      </c>
      <c r="I209" s="1">
        <f t="shared" si="10"/>
        <v>0</v>
      </c>
      <c r="J209" t="str">
        <f t="shared" ca="1" si="11"/>
        <v>Paid</v>
      </c>
    </row>
    <row r="210" spans="1:10" x14ac:dyDescent="0.25">
      <c r="A210" t="s">
        <v>4491</v>
      </c>
      <c r="B210" t="s">
        <v>4062</v>
      </c>
      <c r="C210" s="3">
        <v>45498</v>
      </c>
      <c r="D210" s="3">
        <v>45528</v>
      </c>
      <c r="E210" s="1">
        <v>810.6</v>
      </c>
      <c r="F210" t="s">
        <v>4037</v>
      </c>
      <c r="G210" t="str">
        <f>_xlfn.XLOOKUP(B210,tblVendors[VendorID],tblVendors[VendorName],"Unmapped")</f>
        <v>Packaging Pros</v>
      </c>
      <c r="H210">
        <f t="shared" si="9"/>
        <v>30</v>
      </c>
      <c r="I210" s="1">
        <f t="shared" si="10"/>
        <v>0</v>
      </c>
      <c r="J210" t="str">
        <f t="shared" ca="1" si="11"/>
        <v>Paid</v>
      </c>
    </row>
    <row r="211" spans="1:10" x14ac:dyDescent="0.25">
      <c r="A211" t="s">
        <v>4363</v>
      </c>
      <c r="B211" t="s">
        <v>4039</v>
      </c>
      <c r="C211" s="3">
        <v>45506</v>
      </c>
      <c r="D211" s="3">
        <v>45536</v>
      </c>
      <c r="E211" s="1">
        <v>3523.97</v>
      </c>
      <c r="F211" t="s">
        <v>4037</v>
      </c>
      <c r="G211" t="str">
        <f>_xlfn.XLOOKUP(B211,tblVendors[VendorID],tblVendors[VendorName],"Unmapped")</f>
        <v>Dairy Farms United</v>
      </c>
      <c r="H211">
        <f t="shared" si="9"/>
        <v>30</v>
      </c>
      <c r="I211" s="1">
        <f t="shared" si="10"/>
        <v>0</v>
      </c>
      <c r="J211" t="str">
        <f t="shared" ca="1" si="11"/>
        <v>Paid</v>
      </c>
    </row>
    <row r="212" spans="1:10" x14ac:dyDescent="0.25">
      <c r="A212" t="s">
        <v>4527</v>
      </c>
      <c r="B212" t="s">
        <v>4045</v>
      </c>
      <c r="C212" s="3">
        <v>45508</v>
      </c>
      <c r="D212" s="3">
        <v>45538</v>
      </c>
      <c r="E212" s="1">
        <v>717.7</v>
      </c>
      <c r="F212" t="s">
        <v>4037</v>
      </c>
      <c r="G212" t="str">
        <f>_xlfn.XLOOKUP(B212,tblVendors[VendorID],tblVendors[VendorName],"Unmapped")</f>
        <v>Office Supplies Co.</v>
      </c>
      <c r="H212">
        <f t="shared" si="9"/>
        <v>30</v>
      </c>
      <c r="I212" s="1">
        <f t="shared" si="10"/>
        <v>0</v>
      </c>
      <c r="J212" t="str">
        <f t="shared" ca="1" si="11"/>
        <v>Paid</v>
      </c>
    </row>
    <row r="213" spans="1:10" x14ac:dyDescent="0.25">
      <c r="A213" t="s">
        <v>4158</v>
      </c>
      <c r="B213" t="s">
        <v>4042</v>
      </c>
      <c r="C213" s="3">
        <v>45512</v>
      </c>
      <c r="D213" s="3">
        <v>45542</v>
      </c>
      <c r="E213" s="1">
        <v>10333.629999999999</v>
      </c>
      <c r="F213" t="s">
        <v>4037</v>
      </c>
      <c r="G213" t="str">
        <f>_xlfn.XLOOKUP(B213,tblVendors[VendorID],tblVendors[VendorName],"Unmapped")</f>
        <v>Cocoa World Inc.</v>
      </c>
      <c r="H213">
        <f t="shared" si="9"/>
        <v>30</v>
      </c>
      <c r="I213" s="1">
        <f t="shared" si="10"/>
        <v>0</v>
      </c>
      <c r="J213" t="str">
        <f t="shared" ca="1" si="11"/>
        <v>Paid</v>
      </c>
    </row>
    <row r="214" spans="1:10" x14ac:dyDescent="0.25">
      <c r="A214" t="s">
        <v>4475</v>
      </c>
      <c r="B214" t="s">
        <v>4042</v>
      </c>
      <c r="C214" s="3">
        <v>45515</v>
      </c>
      <c r="D214" s="3">
        <v>45545</v>
      </c>
      <c r="E214" s="1">
        <v>15023.41</v>
      </c>
      <c r="F214" t="s">
        <v>4040</v>
      </c>
      <c r="G214" t="str">
        <f>_xlfn.XLOOKUP(B214,tblVendors[VendorID],tblVendors[VendorName],"Unmapped")</f>
        <v>Cocoa World Inc.</v>
      </c>
      <c r="H214">
        <f t="shared" si="9"/>
        <v>30</v>
      </c>
      <c r="I214" s="1">
        <f t="shared" si="10"/>
        <v>15023.41</v>
      </c>
      <c r="J214" t="str">
        <f t="shared" ca="1" si="11"/>
        <v>Overdue</v>
      </c>
    </row>
    <row r="215" spans="1:10" x14ac:dyDescent="0.25">
      <c r="A215" t="s">
        <v>4367</v>
      </c>
      <c r="B215" t="s">
        <v>4047</v>
      </c>
      <c r="C215" s="3">
        <v>45516</v>
      </c>
      <c r="D215" s="3">
        <v>45546</v>
      </c>
      <c r="E215" s="1">
        <v>19321.8</v>
      </c>
      <c r="F215" t="s">
        <v>4040</v>
      </c>
      <c r="G215" t="str">
        <f>_xlfn.XLOOKUP(B215,tblVendors[VendorID],tblVendors[VendorName],"Unmapped")</f>
        <v>Global Sweeteners</v>
      </c>
      <c r="H215">
        <f t="shared" si="9"/>
        <v>30</v>
      </c>
      <c r="I215" s="1">
        <f t="shared" si="10"/>
        <v>19321.8</v>
      </c>
      <c r="J215" t="str">
        <f t="shared" ca="1" si="11"/>
        <v>Overdue</v>
      </c>
    </row>
    <row r="216" spans="1:10" x14ac:dyDescent="0.25">
      <c r="A216" t="s">
        <v>4501</v>
      </c>
      <c r="B216" t="s">
        <v>4036</v>
      </c>
      <c r="C216" s="3">
        <v>45518</v>
      </c>
      <c r="D216" s="3">
        <v>45548</v>
      </c>
      <c r="E216" s="1">
        <v>16470.7</v>
      </c>
      <c r="F216" t="s">
        <v>4037</v>
      </c>
      <c r="G216" t="str">
        <f>_xlfn.XLOOKUP(B216,tblVendors[VendorID],tblVendors[VendorName],"Unmapped")</f>
        <v>Cloud Services LLC</v>
      </c>
      <c r="H216">
        <f t="shared" si="9"/>
        <v>30</v>
      </c>
      <c r="I216" s="1">
        <f t="shared" si="10"/>
        <v>0</v>
      </c>
      <c r="J216" t="str">
        <f t="shared" ca="1" si="11"/>
        <v>Paid</v>
      </c>
    </row>
    <row r="217" spans="1:10" x14ac:dyDescent="0.25">
      <c r="A217" t="s">
        <v>4081</v>
      </c>
      <c r="B217" t="s">
        <v>4036</v>
      </c>
      <c r="C217" s="3">
        <v>45523</v>
      </c>
      <c r="D217" s="3">
        <v>45553</v>
      </c>
      <c r="E217" s="1">
        <v>1666.49</v>
      </c>
      <c r="F217" t="s">
        <v>4040</v>
      </c>
      <c r="G217" t="str">
        <f>_xlfn.XLOOKUP(B217,tblVendors[VendorID],tblVendors[VendorName],"Unmapped")</f>
        <v>Cloud Services LLC</v>
      </c>
      <c r="H217">
        <f t="shared" si="9"/>
        <v>30</v>
      </c>
      <c r="I217" s="1">
        <f t="shared" si="10"/>
        <v>1666.49</v>
      </c>
      <c r="J217" t="str">
        <f t="shared" ca="1" si="11"/>
        <v>Overdue</v>
      </c>
    </row>
    <row r="218" spans="1:10" x14ac:dyDescent="0.25">
      <c r="A218" t="s">
        <v>4376</v>
      </c>
      <c r="B218" t="s">
        <v>4045</v>
      </c>
      <c r="C218" s="3">
        <v>45523</v>
      </c>
      <c r="D218" s="3">
        <v>45553</v>
      </c>
      <c r="E218" s="1">
        <v>12113.06</v>
      </c>
      <c r="F218" t="s">
        <v>4037</v>
      </c>
      <c r="G218" t="str">
        <f>_xlfn.XLOOKUP(B218,tblVendors[VendorID],tblVendors[VendorName],"Unmapped")</f>
        <v>Office Supplies Co.</v>
      </c>
      <c r="H218">
        <f t="shared" si="9"/>
        <v>30</v>
      </c>
      <c r="I218" s="1">
        <f t="shared" si="10"/>
        <v>0</v>
      </c>
      <c r="J218" t="str">
        <f t="shared" ca="1" si="11"/>
        <v>Paid</v>
      </c>
    </row>
    <row r="219" spans="1:10" x14ac:dyDescent="0.25">
      <c r="A219" t="s">
        <v>4526</v>
      </c>
      <c r="B219" t="s">
        <v>4036</v>
      </c>
      <c r="C219" s="3">
        <v>45524</v>
      </c>
      <c r="D219" s="3">
        <v>45554</v>
      </c>
      <c r="E219" s="1">
        <v>15904.3</v>
      </c>
      <c r="F219" t="s">
        <v>4037</v>
      </c>
      <c r="G219" t="str">
        <f>_xlfn.XLOOKUP(B219,tblVendors[VendorID],tblVendors[VendorName],"Unmapped")</f>
        <v>Cloud Services LLC</v>
      </c>
      <c r="H219">
        <f t="shared" si="9"/>
        <v>30</v>
      </c>
      <c r="I219" s="1">
        <f t="shared" si="10"/>
        <v>0</v>
      </c>
      <c r="J219" t="str">
        <f t="shared" ca="1" si="11"/>
        <v>Paid</v>
      </c>
    </row>
    <row r="220" spans="1:10" x14ac:dyDescent="0.25">
      <c r="A220" t="s">
        <v>4346</v>
      </c>
      <c r="B220" t="s">
        <v>4039</v>
      </c>
      <c r="C220" s="3">
        <v>45531</v>
      </c>
      <c r="D220" s="3">
        <v>45561</v>
      </c>
      <c r="E220" s="1">
        <v>2641.81</v>
      </c>
      <c r="F220" t="s">
        <v>4037</v>
      </c>
      <c r="G220" t="str">
        <f>_xlfn.XLOOKUP(B220,tblVendors[VendorID],tblVendors[VendorName],"Unmapped")</f>
        <v>Dairy Farms United</v>
      </c>
      <c r="H220">
        <f t="shared" si="9"/>
        <v>30</v>
      </c>
      <c r="I220" s="1">
        <f t="shared" si="10"/>
        <v>0</v>
      </c>
      <c r="J220" t="str">
        <f t="shared" ca="1" si="11"/>
        <v>Paid</v>
      </c>
    </row>
    <row r="221" spans="1:10" x14ac:dyDescent="0.25">
      <c r="A221" t="s">
        <v>4263</v>
      </c>
      <c r="B221" t="s">
        <v>4062</v>
      </c>
      <c r="C221" s="3">
        <v>45533</v>
      </c>
      <c r="D221" s="3">
        <v>45563</v>
      </c>
      <c r="E221" s="1">
        <v>9982.33</v>
      </c>
      <c r="F221" t="s">
        <v>4037</v>
      </c>
      <c r="G221" t="str">
        <f>_xlfn.XLOOKUP(B221,tblVendors[VendorID],tblVendors[VendorName],"Unmapped")</f>
        <v>Packaging Pros</v>
      </c>
      <c r="H221">
        <f t="shared" si="9"/>
        <v>30</v>
      </c>
      <c r="I221" s="1">
        <f t="shared" si="10"/>
        <v>0</v>
      </c>
      <c r="J221" t="str">
        <f t="shared" ca="1" si="11"/>
        <v>Paid</v>
      </c>
    </row>
    <row r="222" spans="1:10" x14ac:dyDescent="0.25">
      <c r="A222" t="s">
        <v>4171</v>
      </c>
      <c r="B222" t="s">
        <v>4045</v>
      </c>
      <c r="C222" s="3">
        <v>45535</v>
      </c>
      <c r="D222" s="3">
        <v>45565</v>
      </c>
      <c r="E222" s="1">
        <v>17322.71</v>
      </c>
      <c r="F222" t="s">
        <v>4037</v>
      </c>
      <c r="G222" t="str">
        <f>_xlfn.XLOOKUP(B222,tblVendors[VendorID],tblVendors[VendorName],"Unmapped")</f>
        <v>Office Supplies Co.</v>
      </c>
      <c r="H222">
        <f t="shared" si="9"/>
        <v>30</v>
      </c>
      <c r="I222" s="1">
        <f t="shared" si="10"/>
        <v>0</v>
      </c>
      <c r="J222" t="str">
        <f t="shared" ca="1" si="11"/>
        <v>Paid</v>
      </c>
    </row>
    <row r="223" spans="1:10" x14ac:dyDescent="0.25">
      <c r="A223" t="s">
        <v>4084</v>
      </c>
      <c r="B223" t="s">
        <v>4036</v>
      </c>
      <c r="C223" s="3">
        <v>45536</v>
      </c>
      <c r="D223" s="3">
        <v>45566</v>
      </c>
      <c r="E223" s="1">
        <v>10901.88</v>
      </c>
      <c r="F223" t="s">
        <v>4037</v>
      </c>
      <c r="G223" t="str">
        <f>_xlfn.XLOOKUP(B223,tblVendors[VendorID],tblVendors[VendorName],"Unmapped")</f>
        <v>Cloud Services LLC</v>
      </c>
      <c r="H223">
        <f t="shared" si="9"/>
        <v>30</v>
      </c>
      <c r="I223" s="1">
        <f t="shared" si="10"/>
        <v>0</v>
      </c>
      <c r="J223" t="str">
        <f t="shared" ca="1" si="11"/>
        <v>Paid</v>
      </c>
    </row>
    <row r="224" spans="1:10" x14ac:dyDescent="0.25">
      <c r="A224" t="s">
        <v>4453</v>
      </c>
      <c r="B224" t="s">
        <v>4062</v>
      </c>
      <c r="C224" s="3">
        <v>45536</v>
      </c>
      <c r="D224" s="3">
        <v>45566</v>
      </c>
      <c r="E224" s="1">
        <v>4789.3100000000004</v>
      </c>
      <c r="F224" t="s">
        <v>4037</v>
      </c>
      <c r="G224" t="str">
        <f>_xlfn.XLOOKUP(B224,tblVendors[VendorID],tblVendors[VendorName],"Unmapped")</f>
        <v>Packaging Pros</v>
      </c>
      <c r="H224">
        <f t="shared" si="9"/>
        <v>30</v>
      </c>
      <c r="I224" s="1">
        <f t="shared" si="10"/>
        <v>0</v>
      </c>
      <c r="J224" t="str">
        <f t="shared" ca="1" si="11"/>
        <v>Paid</v>
      </c>
    </row>
    <row r="225" spans="1:10" x14ac:dyDescent="0.25">
      <c r="A225" t="s">
        <v>4154</v>
      </c>
      <c r="B225" t="s">
        <v>4036</v>
      </c>
      <c r="C225" s="3">
        <v>45540</v>
      </c>
      <c r="D225" s="3">
        <v>45570</v>
      </c>
      <c r="E225" s="1">
        <v>2736.66</v>
      </c>
      <c r="F225" t="s">
        <v>4040</v>
      </c>
      <c r="G225" t="str">
        <f>_xlfn.XLOOKUP(B225,tblVendors[VendorID],tblVendors[VendorName],"Unmapped")</f>
        <v>Cloud Services LLC</v>
      </c>
      <c r="H225">
        <f t="shared" si="9"/>
        <v>30</v>
      </c>
      <c r="I225" s="1">
        <f t="shared" si="10"/>
        <v>2736.66</v>
      </c>
      <c r="J225" t="str">
        <f t="shared" ca="1" si="11"/>
        <v>Overdue</v>
      </c>
    </row>
    <row r="226" spans="1:10" x14ac:dyDescent="0.25">
      <c r="A226" t="s">
        <v>4374</v>
      </c>
      <c r="B226" t="s">
        <v>4047</v>
      </c>
      <c r="C226" s="3">
        <v>45541</v>
      </c>
      <c r="D226" s="3">
        <v>45571</v>
      </c>
      <c r="E226" s="1">
        <v>4724.6499999999996</v>
      </c>
      <c r="F226" t="s">
        <v>4040</v>
      </c>
      <c r="G226" t="str">
        <f>_xlfn.XLOOKUP(B226,tblVendors[VendorID],tblVendors[VendorName],"Unmapped")</f>
        <v>Global Sweeteners</v>
      </c>
      <c r="H226">
        <f t="shared" si="9"/>
        <v>30</v>
      </c>
      <c r="I226" s="1">
        <f t="shared" si="10"/>
        <v>4724.6499999999996</v>
      </c>
      <c r="J226" t="str">
        <f t="shared" ca="1" si="11"/>
        <v>Overdue</v>
      </c>
    </row>
    <row r="227" spans="1:10" x14ac:dyDescent="0.25">
      <c r="A227" t="s">
        <v>4379</v>
      </c>
      <c r="B227" t="s">
        <v>4045</v>
      </c>
      <c r="C227" s="3">
        <v>45545</v>
      </c>
      <c r="D227" s="3">
        <v>45575</v>
      </c>
      <c r="E227" s="1">
        <v>6232.72</v>
      </c>
      <c r="F227" t="s">
        <v>4037</v>
      </c>
      <c r="G227" t="str">
        <f>_xlfn.XLOOKUP(B227,tblVendors[VendorID],tblVendors[VendorName],"Unmapped")</f>
        <v>Office Supplies Co.</v>
      </c>
      <c r="H227">
        <f t="shared" si="9"/>
        <v>30</v>
      </c>
      <c r="I227" s="1">
        <f t="shared" si="10"/>
        <v>0</v>
      </c>
      <c r="J227" t="str">
        <f t="shared" ca="1" si="11"/>
        <v>Paid</v>
      </c>
    </row>
    <row r="228" spans="1:10" x14ac:dyDescent="0.25">
      <c r="A228" t="s">
        <v>4414</v>
      </c>
      <c r="B228" t="s">
        <v>4062</v>
      </c>
      <c r="C228" s="3">
        <v>45548</v>
      </c>
      <c r="D228" s="3">
        <v>45578</v>
      </c>
      <c r="E228" s="1">
        <v>14057.67</v>
      </c>
      <c r="F228" t="s">
        <v>4037</v>
      </c>
      <c r="G228" t="str">
        <f>_xlfn.XLOOKUP(B228,tblVendors[VendorID],tblVendors[VendorName],"Unmapped")</f>
        <v>Packaging Pros</v>
      </c>
      <c r="H228">
        <f t="shared" si="9"/>
        <v>30</v>
      </c>
      <c r="I228" s="1">
        <f t="shared" si="10"/>
        <v>0</v>
      </c>
      <c r="J228" t="str">
        <f t="shared" ca="1" si="11"/>
        <v>Paid</v>
      </c>
    </row>
    <row r="229" spans="1:10" x14ac:dyDescent="0.25">
      <c r="A229" t="s">
        <v>4114</v>
      </c>
      <c r="B229" t="s">
        <v>4036</v>
      </c>
      <c r="C229" s="3">
        <v>45549</v>
      </c>
      <c r="D229" s="3">
        <v>45579</v>
      </c>
      <c r="E229" s="1">
        <v>14561.14</v>
      </c>
      <c r="F229" t="s">
        <v>4037</v>
      </c>
      <c r="G229" t="str">
        <f>_xlfn.XLOOKUP(B229,tblVendors[VendorID],tblVendors[VendorName],"Unmapped")</f>
        <v>Cloud Services LLC</v>
      </c>
      <c r="H229">
        <f t="shared" si="9"/>
        <v>30</v>
      </c>
      <c r="I229" s="1">
        <f t="shared" si="10"/>
        <v>0</v>
      </c>
      <c r="J229" t="str">
        <f t="shared" ca="1" si="11"/>
        <v>Paid</v>
      </c>
    </row>
    <row r="230" spans="1:10" x14ac:dyDescent="0.25">
      <c r="A230" t="s">
        <v>4357</v>
      </c>
      <c r="B230" t="s">
        <v>4042</v>
      </c>
      <c r="C230" s="3">
        <v>45552</v>
      </c>
      <c r="D230" s="3">
        <v>45582</v>
      </c>
      <c r="E230" s="1">
        <v>13245.94</v>
      </c>
      <c r="F230" t="s">
        <v>4037</v>
      </c>
      <c r="G230" t="str">
        <f>_xlfn.XLOOKUP(B230,tblVendors[VendorID],tblVendors[VendorName],"Unmapped")</f>
        <v>Cocoa World Inc.</v>
      </c>
      <c r="H230">
        <f t="shared" si="9"/>
        <v>30</v>
      </c>
      <c r="I230" s="1">
        <f t="shared" si="10"/>
        <v>0</v>
      </c>
      <c r="J230" t="str">
        <f t="shared" ca="1" si="11"/>
        <v>Paid</v>
      </c>
    </row>
    <row r="231" spans="1:10" x14ac:dyDescent="0.25">
      <c r="A231" t="s">
        <v>4494</v>
      </c>
      <c r="B231" t="s">
        <v>4047</v>
      </c>
      <c r="C231" s="3">
        <v>45553</v>
      </c>
      <c r="D231" s="3">
        <v>45583</v>
      </c>
      <c r="E231" s="1">
        <v>5182.0600000000004</v>
      </c>
      <c r="F231" t="s">
        <v>4037</v>
      </c>
      <c r="G231" t="str">
        <f>_xlfn.XLOOKUP(B231,tblVendors[VendorID],tblVendors[VendorName],"Unmapped")</f>
        <v>Global Sweeteners</v>
      </c>
      <c r="H231">
        <f t="shared" si="9"/>
        <v>30</v>
      </c>
      <c r="I231" s="1">
        <f t="shared" si="10"/>
        <v>0</v>
      </c>
      <c r="J231" t="str">
        <f t="shared" ca="1" si="11"/>
        <v>Paid</v>
      </c>
    </row>
    <row r="232" spans="1:10" x14ac:dyDescent="0.25">
      <c r="A232" t="s">
        <v>4472</v>
      </c>
      <c r="B232" t="s">
        <v>4036</v>
      </c>
      <c r="C232" s="3">
        <v>45556</v>
      </c>
      <c r="D232" s="3">
        <v>45586</v>
      </c>
      <c r="E232" s="1">
        <v>739.59</v>
      </c>
      <c r="F232" t="s">
        <v>4040</v>
      </c>
      <c r="G232" t="str">
        <f>_xlfn.XLOOKUP(B232,tblVendors[VendorID],tblVendors[VendorName],"Unmapped")</f>
        <v>Cloud Services LLC</v>
      </c>
      <c r="H232">
        <f t="shared" si="9"/>
        <v>30</v>
      </c>
      <c r="I232" s="1">
        <f t="shared" si="10"/>
        <v>739.59</v>
      </c>
      <c r="J232" t="str">
        <f t="shared" ca="1" si="11"/>
        <v>Overdue</v>
      </c>
    </row>
    <row r="233" spans="1:10" x14ac:dyDescent="0.25">
      <c r="A233" t="s">
        <v>4161</v>
      </c>
      <c r="B233" t="s">
        <v>4036</v>
      </c>
      <c r="C233" s="3">
        <v>45558</v>
      </c>
      <c r="D233" s="3">
        <v>45588</v>
      </c>
      <c r="E233" s="1">
        <v>11668.62</v>
      </c>
      <c r="F233" t="s">
        <v>4037</v>
      </c>
      <c r="G233" t="str">
        <f>_xlfn.XLOOKUP(B233,tblVendors[VendorID],tblVendors[VendorName],"Unmapped")</f>
        <v>Cloud Services LLC</v>
      </c>
      <c r="H233">
        <f t="shared" si="9"/>
        <v>30</v>
      </c>
      <c r="I233" s="1">
        <f t="shared" si="10"/>
        <v>0</v>
      </c>
      <c r="J233" t="str">
        <f t="shared" ca="1" si="11"/>
        <v>Paid</v>
      </c>
    </row>
    <row r="234" spans="1:10" x14ac:dyDescent="0.25">
      <c r="A234" t="s">
        <v>4238</v>
      </c>
      <c r="B234" t="s">
        <v>4039</v>
      </c>
      <c r="C234" s="3">
        <v>45559</v>
      </c>
      <c r="D234" s="3">
        <v>45589</v>
      </c>
      <c r="E234" s="1">
        <v>2063.56</v>
      </c>
      <c r="F234" t="s">
        <v>4037</v>
      </c>
      <c r="G234" t="str">
        <f>_xlfn.XLOOKUP(B234,tblVendors[VendorID],tblVendors[VendorName],"Unmapped")</f>
        <v>Dairy Farms United</v>
      </c>
      <c r="H234">
        <f t="shared" si="9"/>
        <v>30</v>
      </c>
      <c r="I234" s="1">
        <f t="shared" si="10"/>
        <v>0</v>
      </c>
      <c r="J234" t="str">
        <f t="shared" ca="1" si="11"/>
        <v>Paid</v>
      </c>
    </row>
    <row r="235" spans="1:10" x14ac:dyDescent="0.25">
      <c r="A235" t="s">
        <v>4395</v>
      </c>
      <c r="B235" t="s">
        <v>4047</v>
      </c>
      <c r="C235" s="3">
        <v>45560</v>
      </c>
      <c r="D235" s="3">
        <v>45590</v>
      </c>
      <c r="E235" s="1">
        <v>742.65</v>
      </c>
      <c r="F235" t="s">
        <v>4037</v>
      </c>
      <c r="G235" t="str">
        <f>_xlfn.XLOOKUP(B235,tblVendors[VendorID],tblVendors[VendorName],"Unmapped")</f>
        <v>Global Sweeteners</v>
      </c>
      <c r="H235">
        <f t="shared" si="9"/>
        <v>30</v>
      </c>
      <c r="I235" s="1">
        <f t="shared" si="10"/>
        <v>0</v>
      </c>
      <c r="J235" t="str">
        <f t="shared" ca="1" si="11"/>
        <v>Paid</v>
      </c>
    </row>
    <row r="236" spans="1:10" x14ac:dyDescent="0.25">
      <c r="A236" t="s">
        <v>4293</v>
      </c>
      <c r="B236" t="s">
        <v>4062</v>
      </c>
      <c r="C236" s="3">
        <v>45561</v>
      </c>
      <c r="D236" s="3">
        <v>45591</v>
      </c>
      <c r="E236" s="1">
        <v>18009.63</v>
      </c>
      <c r="F236" t="s">
        <v>4037</v>
      </c>
      <c r="G236" t="str">
        <f>_xlfn.XLOOKUP(B236,tblVendors[VendorID],tblVendors[VendorName],"Unmapped")</f>
        <v>Packaging Pros</v>
      </c>
      <c r="H236">
        <f t="shared" si="9"/>
        <v>30</v>
      </c>
      <c r="I236" s="1">
        <f t="shared" si="10"/>
        <v>0</v>
      </c>
      <c r="J236" t="str">
        <f t="shared" ca="1" si="11"/>
        <v>Paid</v>
      </c>
    </row>
    <row r="237" spans="1:10" x14ac:dyDescent="0.25">
      <c r="A237" t="s">
        <v>4403</v>
      </c>
      <c r="B237" t="s">
        <v>4045</v>
      </c>
      <c r="C237" s="3">
        <v>45564</v>
      </c>
      <c r="D237" s="3">
        <v>45594</v>
      </c>
      <c r="E237" s="1">
        <v>4144.08</v>
      </c>
      <c r="F237" t="s">
        <v>4040</v>
      </c>
      <c r="G237" t="str">
        <f>_xlfn.XLOOKUP(B237,tblVendors[VendorID],tblVendors[VendorName],"Unmapped")</f>
        <v>Office Supplies Co.</v>
      </c>
      <c r="H237">
        <f t="shared" si="9"/>
        <v>30</v>
      </c>
      <c r="I237" s="1">
        <f t="shared" si="10"/>
        <v>4144.08</v>
      </c>
      <c r="J237" t="str">
        <f t="shared" ca="1" si="11"/>
        <v>Overdue</v>
      </c>
    </row>
    <row r="238" spans="1:10" x14ac:dyDescent="0.25">
      <c r="A238" t="s">
        <v>4466</v>
      </c>
      <c r="B238" t="s">
        <v>4042</v>
      </c>
      <c r="C238" s="3">
        <v>45567</v>
      </c>
      <c r="D238" s="3">
        <v>45597</v>
      </c>
      <c r="E238" s="1">
        <v>6359.52</v>
      </c>
      <c r="F238" t="s">
        <v>4040</v>
      </c>
      <c r="G238" t="str">
        <f>_xlfn.XLOOKUP(B238,tblVendors[VendorID],tblVendors[VendorName],"Unmapped")</f>
        <v>Cocoa World Inc.</v>
      </c>
      <c r="H238">
        <f t="shared" si="9"/>
        <v>30</v>
      </c>
      <c r="I238" s="1">
        <f t="shared" si="10"/>
        <v>6359.52</v>
      </c>
      <c r="J238" t="str">
        <f t="shared" ca="1" si="11"/>
        <v>Overdue</v>
      </c>
    </row>
    <row r="239" spans="1:10" x14ac:dyDescent="0.25">
      <c r="A239" t="s">
        <v>4149</v>
      </c>
      <c r="B239" t="s">
        <v>4047</v>
      </c>
      <c r="C239" s="3">
        <v>45569</v>
      </c>
      <c r="D239" s="3">
        <v>45599</v>
      </c>
      <c r="E239" s="1">
        <v>16868.7</v>
      </c>
      <c r="F239" t="s">
        <v>4040</v>
      </c>
      <c r="G239" t="str">
        <f>_xlfn.XLOOKUP(B239,tblVendors[VendorID],tblVendors[VendorName],"Unmapped")</f>
        <v>Global Sweeteners</v>
      </c>
      <c r="H239">
        <f t="shared" si="9"/>
        <v>30</v>
      </c>
      <c r="I239" s="1">
        <f t="shared" si="10"/>
        <v>16868.7</v>
      </c>
      <c r="J239" t="str">
        <f t="shared" ca="1" si="11"/>
        <v>Overdue</v>
      </c>
    </row>
    <row r="240" spans="1:10" x14ac:dyDescent="0.25">
      <c r="A240" t="s">
        <v>4398</v>
      </c>
      <c r="B240" t="s">
        <v>4062</v>
      </c>
      <c r="C240" s="3">
        <v>45578</v>
      </c>
      <c r="D240" s="3">
        <v>45608</v>
      </c>
      <c r="E240" s="1">
        <v>11458.45</v>
      </c>
      <c r="F240" t="s">
        <v>4037</v>
      </c>
      <c r="G240" t="str">
        <f>_xlfn.XLOOKUP(B240,tblVendors[VendorID],tblVendors[VendorName],"Unmapped")</f>
        <v>Packaging Pros</v>
      </c>
      <c r="H240">
        <f t="shared" si="9"/>
        <v>30</v>
      </c>
      <c r="I240" s="1">
        <f t="shared" si="10"/>
        <v>0</v>
      </c>
      <c r="J240" t="str">
        <f t="shared" ca="1" si="11"/>
        <v>Paid</v>
      </c>
    </row>
    <row r="241" spans="1:10" x14ac:dyDescent="0.25">
      <c r="A241" t="s">
        <v>4507</v>
      </c>
      <c r="B241" t="s">
        <v>4047</v>
      </c>
      <c r="C241" s="3">
        <v>45578</v>
      </c>
      <c r="D241" s="3">
        <v>45608</v>
      </c>
      <c r="E241" s="1">
        <v>11990.39</v>
      </c>
      <c r="F241" t="s">
        <v>4040</v>
      </c>
      <c r="G241" t="str">
        <f>_xlfn.XLOOKUP(B241,tblVendors[VendorID],tblVendors[VendorName],"Unmapped")</f>
        <v>Global Sweeteners</v>
      </c>
      <c r="H241">
        <f t="shared" si="9"/>
        <v>30</v>
      </c>
      <c r="I241" s="1">
        <f t="shared" si="10"/>
        <v>11990.39</v>
      </c>
      <c r="J241" t="str">
        <f t="shared" ca="1" si="11"/>
        <v>Overdue</v>
      </c>
    </row>
    <row r="242" spans="1:10" x14ac:dyDescent="0.25">
      <c r="A242" t="s">
        <v>4181</v>
      </c>
      <c r="B242" t="s">
        <v>4045</v>
      </c>
      <c r="C242" s="3">
        <v>45580</v>
      </c>
      <c r="D242" s="3">
        <v>45610</v>
      </c>
      <c r="E242" s="1">
        <v>1528.14</v>
      </c>
      <c r="F242" t="s">
        <v>4037</v>
      </c>
      <c r="G242" t="str">
        <f>_xlfn.XLOOKUP(B242,tblVendors[VendorID],tblVendors[VendorName],"Unmapped")</f>
        <v>Office Supplies Co.</v>
      </c>
      <c r="H242">
        <f t="shared" si="9"/>
        <v>30</v>
      </c>
      <c r="I242" s="1">
        <f t="shared" si="10"/>
        <v>0</v>
      </c>
      <c r="J242" t="str">
        <f t="shared" ca="1" si="11"/>
        <v>Paid</v>
      </c>
    </row>
    <row r="243" spans="1:10" x14ac:dyDescent="0.25">
      <c r="A243" t="s">
        <v>4092</v>
      </c>
      <c r="B243" t="s">
        <v>4062</v>
      </c>
      <c r="C243" s="3">
        <v>45583</v>
      </c>
      <c r="D243" s="3">
        <v>45613</v>
      </c>
      <c r="E243" s="1">
        <v>18692.77</v>
      </c>
      <c r="F243" t="s">
        <v>4037</v>
      </c>
      <c r="G243" t="str">
        <f>_xlfn.XLOOKUP(B243,tblVendors[VendorID],tblVendors[VendorName],"Unmapped")</f>
        <v>Packaging Pros</v>
      </c>
      <c r="H243">
        <f t="shared" si="9"/>
        <v>30</v>
      </c>
      <c r="I243" s="1">
        <f t="shared" si="10"/>
        <v>0</v>
      </c>
      <c r="J243" t="str">
        <f t="shared" ca="1" si="11"/>
        <v>Paid</v>
      </c>
    </row>
    <row r="244" spans="1:10" x14ac:dyDescent="0.25">
      <c r="A244" t="s">
        <v>4049</v>
      </c>
      <c r="B244" t="s">
        <v>4042</v>
      </c>
      <c r="C244" s="3">
        <v>45584</v>
      </c>
      <c r="D244" s="3">
        <v>45614</v>
      </c>
      <c r="E244" s="1">
        <v>13576.89</v>
      </c>
      <c r="F244" t="s">
        <v>4040</v>
      </c>
      <c r="G244" t="str">
        <f>_xlfn.XLOOKUP(B244,tblVendors[VendorID],tblVendors[VendorName],"Unmapped")</f>
        <v>Cocoa World Inc.</v>
      </c>
      <c r="H244">
        <f t="shared" si="9"/>
        <v>30</v>
      </c>
      <c r="I244" s="1">
        <f t="shared" si="10"/>
        <v>13576.89</v>
      </c>
      <c r="J244" t="str">
        <f t="shared" ca="1" si="11"/>
        <v>Overdue</v>
      </c>
    </row>
    <row r="245" spans="1:10" x14ac:dyDescent="0.25">
      <c r="A245" t="s">
        <v>4083</v>
      </c>
      <c r="B245" t="s">
        <v>4047</v>
      </c>
      <c r="C245" s="3">
        <v>45584</v>
      </c>
      <c r="D245" s="3">
        <v>45614</v>
      </c>
      <c r="E245" s="1">
        <v>8314.34</v>
      </c>
      <c r="F245" t="s">
        <v>4037</v>
      </c>
      <c r="G245" t="str">
        <f>_xlfn.XLOOKUP(B245,tblVendors[VendorID],tblVendors[VendorName],"Unmapped")</f>
        <v>Global Sweeteners</v>
      </c>
      <c r="H245">
        <f t="shared" si="9"/>
        <v>30</v>
      </c>
      <c r="I245" s="1">
        <f t="shared" si="10"/>
        <v>0</v>
      </c>
      <c r="J245" t="str">
        <f t="shared" ca="1" si="11"/>
        <v>Paid</v>
      </c>
    </row>
    <row r="246" spans="1:10" x14ac:dyDescent="0.25">
      <c r="A246" t="s">
        <v>4137</v>
      </c>
      <c r="B246" t="s">
        <v>4062</v>
      </c>
      <c r="C246" s="3">
        <v>45584</v>
      </c>
      <c r="D246" s="3">
        <v>45614</v>
      </c>
      <c r="E246" s="1">
        <v>1322.84</v>
      </c>
      <c r="F246" t="s">
        <v>4037</v>
      </c>
      <c r="G246" t="str">
        <f>_xlfn.XLOOKUP(B246,tblVendors[VendorID],tblVendors[VendorName],"Unmapped")</f>
        <v>Packaging Pros</v>
      </c>
      <c r="H246">
        <f t="shared" si="9"/>
        <v>30</v>
      </c>
      <c r="I246" s="1">
        <f t="shared" si="10"/>
        <v>0</v>
      </c>
      <c r="J246" t="str">
        <f t="shared" ca="1" si="11"/>
        <v>Paid</v>
      </c>
    </row>
    <row r="247" spans="1:10" x14ac:dyDescent="0.25">
      <c r="A247" t="s">
        <v>4309</v>
      </c>
      <c r="B247" t="s">
        <v>4062</v>
      </c>
      <c r="C247" s="3">
        <v>45584</v>
      </c>
      <c r="D247" s="3">
        <v>45614</v>
      </c>
      <c r="E247" s="1">
        <v>15361.79</v>
      </c>
      <c r="F247" t="s">
        <v>4037</v>
      </c>
      <c r="G247" t="str">
        <f>_xlfn.XLOOKUP(B247,tblVendors[VendorID],tblVendors[VendorName],"Unmapped")</f>
        <v>Packaging Pros</v>
      </c>
      <c r="H247">
        <f t="shared" si="9"/>
        <v>30</v>
      </c>
      <c r="I247" s="1">
        <f t="shared" si="10"/>
        <v>0</v>
      </c>
      <c r="J247" t="str">
        <f t="shared" ca="1" si="11"/>
        <v>Paid</v>
      </c>
    </row>
    <row r="248" spans="1:10" x14ac:dyDescent="0.25">
      <c r="A248" t="s">
        <v>4435</v>
      </c>
      <c r="B248" t="s">
        <v>4042</v>
      </c>
      <c r="C248" s="3">
        <v>45587</v>
      </c>
      <c r="D248" s="3">
        <v>45617</v>
      </c>
      <c r="E248" s="1">
        <v>1026.51</v>
      </c>
      <c r="F248" t="s">
        <v>4037</v>
      </c>
      <c r="G248" t="str">
        <f>_xlfn.XLOOKUP(B248,tblVendors[VendorID],tblVendors[VendorName],"Unmapped")</f>
        <v>Cocoa World Inc.</v>
      </c>
      <c r="H248">
        <f t="shared" si="9"/>
        <v>30</v>
      </c>
      <c r="I248" s="1">
        <f t="shared" si="10"/>
        <v>0</v>
      </c>
      <c r="J248" t="str">
        <f t="shared" ca="1" si="11"/>
        <v>Paid</v>
      </c>
    </row>
    <row r="249" spans="1:10" x14ac:dyDescent="0.25">
      <c r="A249" t="s">
        <v>4230</v>
      </c>
      <c r="B249" t="s">
        <v>4062</v>
      </c>
      <c r="C249" s="3">
        <v>45588</v>
      </c>
      <c r="D249" s="3">
        <v>45618</v>
      </c>
      <c r="E249" s="1">
        <v>19646.990000000002</v>
      </c>
      <c r="F249" t="s">
        <v>4037</v>
      </c>
      <c r="G249" t="str">
        <f>_xlfn.XLOOKUP(B249,tblVendors[VendorID],tblVendors[VendorName],"Unmapped")</f>
        <v>Packaging Pros</v>
      </c>
      <c r="H249">
        <f t="shared" si="9"/>
        <v>30</v>
      </c>
      <c r="I249" s="1">
        <f t="shared" si="10"/>
        <v>0</v>
      </c>
      <c r="J249" t="str">
        <f t="shared" ca="1" si="11"/>
        <v>Paid</v>
      </c>
    </row>
    <row r="250" spans="1:10" x14ac:dyDescent="0.25">
      <c r="A250" t="s">
        <v>4529</v>
      </c>
      <c r="B250" t="s">
        <v>4036</v>
      </c>
      <c r="C250" s="3">
        <v>45588</v>
      </c>
      <c r="D250" s="3">
        <v>45618</v>
      </c>
      <c r="E250" s="1">
        <v>8489.93</v>
      </c>
      <c r="F250" t="s">
        <v>4037</v>
      </c>
      <c r="G250" t="str">
        <f>_xlfn.XLOOKUP(B250,tblVendors[VendorID],tblVendors[VendorName],"Unmapped")</f>
        <v>Cloud Services LLC</v>
      </c>
      <c r="H250">
        <f t="shared" si="9"/>
        <v>30</v>
      </c>
      <c r="I250" s="1">
        <f t="shared" si="10"/>
        <v>0</v>
      </c>
      <c r="J250" t="str">
        <f t="shared" ca="1" si="11"/>
        <v>Paid</v>
      </c>
    </row>
    <row r="251" spans="1:10" x14ac:dyDescent="0.25">
      <c r="A251" t="s">
        <v>4228</v>
      </c>
      <c r="B251" t="s">
        <v>4062</v>
      </c>
      <c r="C251" s="3">
        <v>45592</v>
      </c>
      <c r="D251" s="3">
        <v>45622</v>
      </c>
      <c r="E251" s="1">
        <v>14975.72</v>
      </c>
      <c r="F251" t="s">
        <v>4037</v>
      </c>
      <c r="G251" t="str">
        <f>_xlfn.XLOOKUP(B251,tblVendors[VendorID],tblVendors[VendorName],"Unmapped")</f>
        <v>Packaging Pros</v>
      </c>
      <c r="H251">
        <f t="shared" si="9"/>
        <v>30</v>
      </c>
      <c r="I251" s="1">
        <f t="shared" si="10"/>
        <v>0</v>
      </c>
      <c r="J251" t="str">
        <f t="shared" ca="1" si="11"/>
        <v>Paid</v>
      </c>
    </row>
    <row r="252" spans="1:10" x14ac:dyDescent="0.25">
      <c r="A252" t="s">
        <v>4366</v>
      </c>
      <c r="B252" t="s">
        <v>4036</v>
      </c>
      <c r="C252" s="3">
        <v>45598</v>
      </c>
      <c r="D252" s="3">
        <v>45628</v>
      </c>
      <c r="E252" s="1">
        <v>18351.53</v>
      </c>
      <c r="F252" t="s">
        <v>4037</v>
      </c>
      <c r="G252" t="str">
        <f>_xlfn.XLOOKUP(B252,tblVendors[VendorID],tblVendors[VendorName],"Unmapped")</f>
        <v>Cloud Services LLC</v>
      </c>
      <c r="H252">
        <f t="shared" si="9"/>
        <v>30</v>
      </c>
      <c r="I252" s="1">
        <f t="shared" si="10"/>
        <v>0</v>
      </c>
      <c r="J252" t="str">
        <f t="shared" ca="1" si="11"/>
        <v>Paid</v>
      </c>
    </row>
    <row r="253" spans="1:10" x14ac:dyDescent="0.25">
      <c r="A253" t="s">
        <v>4272</v>
      </c>
      <c r="B253" t="s">
        <v>4036</v>
      </c>
      <c r="C253" s="3">
        <v>45604</v>
      </c>
      <c r="D253" s="3">
        <v>45634</v>
      </c>
      <c r="E253" s="1">
        <v>12676.66</v>
      </c>
      <c r="F253" t="s">
        <v>4037</v>
      </c>
      <c r="G253" t="str">
        <f>_xlfn.XLOOKUP(B253,tblVendors[VendorID],tblVendors[VendorName],"Unmapped")</f>
        <v>Cloud Services LLC</v>
      </c>
      <c r="H253">
        <f t="shared" si="9"/>
        <v>30</v>
      </c>
      <c r="I253" s="1">
        <f t="shared" si="10"/>
        <v>0</v>
      </c>
      <c r="J253" t="str">
        <f t="shared" ca="1" si="11"/>
        <v>Paid</v>
      </c>
    </row>
    <row r="254" spans="1:10" x14ac:dyDescent="0.25">
      <c r="A254" t="s">
        <v>4115</v>
      </c>
      <c r="B254" t="s">
        <v>4047</v>
      </c>
      <c r="C254" s="3">
        <v>45606</v>
      </c>
      <c r="D254" s="3">
        <v>45636</v>
      </c>
      <c r="E254" s="1">
        <v>11881.86</v>
      </c>
      <c r="F254" t="s">
        <v>4037</v>
      </c>
      <c r="G254" t="str">
        <f>_xlfn.XLOOKUP(B254,tblVendors[VendorID],tblVendors[VendorName],"Unmapped")</f>
        <v>Global Sweeteners</v>
      </c>
      <c r="H254">
        <f t="shared" si="9"/>
        <v>30</v>
      </c>
      <c r="I254" s="1">
        <f t="shared" si="10"/>
        <v>0</v>
      </c>
      <c r="J254" t="str">
        <f t="shared" ca="1" si="11"/>
        <v>Paid</v>
      </c>
    </row>
    <row r="255" spans="1:10" x14ac:dyDescent="0.25">
      <c r="A255" t="s">
        <v>4396</v>
      </c>
      <c r="B255" t="s">
        <v>4042</v>
      </c>
      <c r="C255" s="3">
        <v>45607</v>
      </c>
      <c r="D255" s="3">
        <v>45637</v>
      </c>
      <c r="E255" s="1">
        <v>19577.189999999999</v>
      </c>
      <c r="F255" t="s">
        <v>4037</v>
      </c>
      <c r="G255" t="str">
        <f>_xlfn.XLOOKUP(B255,tblVendors[VendorID],tblVendors[VendorName],"Unmapped")</f>
        <v>Cocoa World Inc.</v>
      </c>
      <c r="H255">
        <f t="shared" si="9"/>
        <v>30</v>
      </c>
      <c r="I255" s="1">
        <f t="shared" si="10"/>
        <v>0</v>
      </c>
      <c r="J255" t="str">
        <f t="shared" ca="1" si="11"/>
        <v>Paid</v>
      </c>
    </row>
    <row r="256" spans="1:10" x14ac:dyDescent="0.25">
      <c r="A256" t="s">
        <v>4190</v>
      </c>
      <c r="B256" t="s">
        <v>4036</v>
      </c>
      <c r="C256" s="3">
        <v>45611</v>
      </c>
      <c r="D256" s="3">
        <v>45641</v>
      </c>
      <c r="E256" s="1">
        <v>5959.45</v>
      </c>
      <c r="F256" t="s">
        <v>4040</v>
      </c>
      <c r="G256" t="str">
        <f>_xlfn.XLOOKUP(B256,tblVendors[VendorID],tblVendors[VendorName],"Unmapped")</f>
        <v>Cloud Services LLC</v>
      </c>
      <c r="H256">
        <f t="shared" si="9"/>
        <v>30</v>
      </c>
      <c r="I256" s="1">
        <f t="shared" si="10"/>
        <v>5959.45</v>
      </c>
      <c r="J256" t="str">
        <f t="shared" ca="1" si="11"/>
        <v>Overdue</v>
      </c>
    </row>
    <row r="257" spans="1:10" x14ac:dyDescent="0.25">
      <c r="A257" t="s">
        <v>4234</v>
      </c>
      <c r="B257" t="s">
        <v>4042</v>
      </c>
      <c r="C257" s="3">
        <v>45611</v>
      </c>
      <c r="D257" s="3">
        <v>45641</v>
      </c>
      <c r="E257" s="1">
        <v>1640.47</v>
      </c>
      <c r="F257" t="s">
        <v>4037</v>
      </c>
      <c r="G257" t="str">
        <f>_xlfn.XLOOKUP(B257,tblVendors[VendorID],tblVendors[VendorName],"Unmapped")</f>
        <v>Cocoa World Inc.</v>
      </c>
      <c r="H257">
        <f t="shared" si="9"/>
        <v>30</v>
      </c>
      <c r="I257" s="1">
        <f t="shared" si="10"/>
        <v>0</v>
      </c>
      <c r="J257" t="str">
        <f t="shared" ca="1" si="11"/>
        <v>Paid</v>
      </c>
    </row>
    <row r="258" spans="1:10" x14ac:dyDescent="0.25">
      <c r="A258" t="s">
        <v>4369</v>
      </c>
      <c r="B258" t="s">
        <v>4062</v>
      </c>
      <c r="C258" s="3">
        <v>45614</v>
      </c>
      <c r="D258" s="3">
        <v>45644</v>
      </c>
      <c r="E258" s="1">
        <v>11552.78</v>
      </c>
      <c r="F258" t="s">
        <v>4037</v>
      </c>
      <c r="G258" t="str">
        <f>_xlfn.XLOOKUP(B258,tblVendors[VendorID],tblVendors[VendorName],"Unmapped")</f>
        <v>Packaging Pros</v>
      </c>
      <c r="H258">
        <f t="shared" ref="H258:H321" si="12">D258-C258</f>
        <v>30</v>
      </c>
      <c r="I258" s="1">
        <f t="shared" ref="I258:I321" si="13">IF(F258="Unpaid",E258,0)</f>
        <v>0</v>
      </c>
      <c r="J258" t="str">
        <f t="shared" ref="J258:J321" ca="1" si="14">IF(F258="Paid","Paid",IF(D258&lt;TODAY(),"Overdue","Open"))</f>
        <v>Paid</v>
      </c>
    </row>
    <row r="259" spans="1:10" x14ac:dyDescent="0.25">
      <c r="A259" t="s">
        <v>4246</v>
      </c>
      <c r="B259" t="s">
        <v>4062</v>
      </c>
      <c r="C259" s="3">
        <v>45621</v>
      </c>
      <c r="D259" s="3">
        <v>45651</v>
      </c>
      <c r="E259" s="1">
        <v>9142.9</v>
      </c>
      <c r="F259" t="s">
        <v>4037</v>
      </c>
      <c r="G259" t="str">
        <f>_xlfn.XLOOKUP(B259,tblVendors[VendorID],tblVendors[VendorName],"Unmapped")</f>
        <v>Packaging Pros</v>
      </c>
      <c r="H259">
        <f t="shared" si="12"/>
        <v>30</v>
      </c>
      <c r="I259" s="1">
        <f t="shared" si="13"/>
        <v>0</v>
      </c>
      <c r="J259" t="str">
        <f t="shared" ca="1" si="14"/>
        <v>Paid</v>
      </c>
    </row>
    <row r="260" spans="1:10" x14ac:dyDescent="0.25">
      <c r="A260" t="s">
        <v>4104</v>
      </c>
      <c r="B260" t="s">
        <v>4042</v>
      </c>
      <c r="C260" s="3">
        <v>45625</v>
      </c>
      <c r="D260" s="3">
        <v>45655</v>
      </c>
      <c r="E260" s="1">
        <v>7446.58</v>
      </c>
      <c r="F260" t="s">
        <v>4037</v>
      </c>
      <c r="G260" t="str">
        <f>_xlfn.XLOOKUP(B260,tblVendors[VendorID],tblVendors[VendorName],"Unmapped")</f>
        <v>Cocoa World Inc.</v>
      </c>
      <c r="H260">
        <f t="shared" si="12"/>
        <v>30</v>
      </c>
      <c r="I260" s="1">
        <f t="shared" si="13"/>
        <v>0</v>
      </c>
      <c r="J260" t="str">
        <f t="shared" ca="1" si="14"/>
        <v>Paid</v>
      </c>
    </row>
    <row r="261" spans="1:10" x14ac:dyDescent="0.25">
      <c r="A261" t="s">
        <v>4271</v>
      </c>
      <c r="B261" t="s">
        <v>4036</v>
      </c>
      <c r="C261" s="3">
        <v>45625</v>
      </c>
      <c r="D261" s="3">
        <v>45655</v>
      </c>
      <c r="E261" s="1">
        <v>4430.25</v>
      </c>
      <c r="F261" t="s">
        <v>4037</v>
      </c>
      <c r="G261" t="str">
        <f>_xlfn.XLOOKUP(B261,tblVendors[VendorID],tblVendors[VendorName],"Unmapped")</f>
        <v>Cloud Services LLC</v>
      </c>
      <c r="H261">
        <f t="shared" si="12"/>
        <v>30</v>
      </c>
      <c r="I261" s="1">
        <f t="shared" si="13"/>
        <v>0</v>
      </c>
      <c r="J261" t="str">
        <f t="shared" ca="1" si="14"/>
        <v>Paid</v>
      </c>
    </row>
    <row r="262" spans="1:10" x14ac:dyDescent="0.25">
      <c r="A262" t="s">
        <v>4098</v>
      </c>
      <c r="B262" t="s">
        <v>4045</v>
      </c>
      <c r="C262" s="3">
        <v>45626</v>
      </c>
      <c r="D262" s="3">
        <v>45656</v>
      </c>
      <c r="E262" s="1">
        <v>15703.41</v>
      </c>
      <c r="F262" t="s">
        <v>4037</v>
      </c>
      <c r="G262" t="str">
        <f>_xlfn.XLOOKUP(B262,tblVendors[VendorID],tblVendors[VendorName],"Unmapped")</f>
        <v>Office Supplies Co.</v>
      </c>
      <c r="H262">
        <f t="shared" si="12"/>
        <v>30</v>
      </c>
      <c r="I262" s="1">
        <f t="shared" si="13"/>
        <v>0</v>
      </c>
      <c r="J262" t="str">
        <f t="shared" ca="1" si="14"/>
        <v>Paid</v>
      </c>
    </row>
    <row r="263" spans="1:10" x14ac:dyDescent="0.25">
      <c r="A263" t="s">
        <v>4112</v>
      </c>
      <c r="B263" t="s">
        <v>4047</v>
      </c>
      <c r="C263" s="3">
        <v>45626</v>
      </c>
      <c r="D263" s="3">
        <v>45656</v>
      </c>
      <c r="E263" s="1">
        <v>14525.44</v>
      </c>
      <c r="F263" t="s">
        <v>4037</v>
      </c>
      <c r="G263" t="str">
        <f>_xlfn.XLOOKUP(B263,tblVendors[VendorID],tblVendors[VendorName],"Unmapped")</f>
        <v>Global Sweeteners</v>
      </c>
      <c r="H263">
        <f t="shared" si="12"/>
        <v>30</v>
      </c>
      <c r="I263" s="1">
        <f t="shared" si="13"/>
        <v>0</v>
      </c>
      <c r="J263" t="str">
        <f t="shared" ca="1" si="14"/>
        <v>Paid</v>
      </c>
    </row>
    <row r="264" spans="1:10" x14ac:dyDescent="0.25">
      <c r="A264" t="s">
        <v>4401</v>
      </c>
      <c r="B264" t="s">
        <v>4042</v>
      </c>
      <c r="C264" s="3">
        <v>45627</v>
      </c>
      <c r="D264" s="3">
        <v>45657</v>
      </c>
      <c r="E264" s="1">
        <v>16559.64</v>
      </c>
      <c r="F264" t="s">
        <v>4037</v>
      </c>
      <c r="G264" t="str">
        <f>_xlfn.XLOOKUP(B264,tblVendors[VendorID],tblVendors[VendorName],"Unmapped")</f>
        <v>Cocoa World Inc.</v>
      </c>
      <c r="H264">
        <f t="shared" si="12"/>
        <v>30</v>
      </c>
      <c r="I264" s="1">
        <f t="shared" si="13"/>
        <v>0</v>
      </c>
      <c r="J264" t="str">
        <f t="shared" ca="1" si="14"/>
        <v>Paid</v>
      </c>
    </row>
    <row r="265" spans="1:10" x14ac:dyDescent="0.25">
      <c r="A265" t="s">
        <v>4153</v>
      </c>
      <c r="B265" t="s">
        <v>4045</v>
      </c>
      <c r="C265" s="3">
        <v>45634</v>
      </c>
      <c r="D265" s="3">
        <v>45664</v>
      </c>
      <c r="E265" s="1">
        <v>17463.88</v>
      </c>
      <c r="F265" t="s">
        <v>4037</v>
      </c>
      <c r="G265" t="str">
        <f>_xlfn.XLOOKUP(B265,tblVendors[VendorID],tblVendors[VendorName],"Unmapped")</f>
        <v>Office Supplies Co.</v>
      </c>
      <c r="H265">
        <f t="shared" si="12"/>
        <v>30</v>
      </c>
      <c r="I265" s="1">
        <f t="shared" si="13"/>
        <v>0</v>
      </c>
      <c r="J265" t="str">
        <f t="shared" ca="1" si="14"/>
        <v>Paid</v>
      </c>
    </row>
    <row r="266" spans="1:10" x14ac:dyDescent="0.25">
      <c r="A266" t="s">
        <v>4222</v>
      </c>
      <c r="B266" t="s">
        <v>4062</v>
      </c>
      <c r="C266" s="3">
        <v>45634</v>
      </c>
      <c r="D266" s="3">
        <v>45664</v>
      </c>
      <c r="E266" s="1">
        <v>14524.55</v>
      </c>
      <c r="F266" t="s">
        <v>4037</v>
      </c>
      <c r="G266" t="str">
        <f>_xlfn.XLOOKUP(B266,tblVendors[VendorID],tblVendors[VendorName],"Unmapped")</f>
        <v>Packaging Pros</v>
      </c>
      <c r="H266">
        <f t="shared" si="12"/>
        <v>30</v>
      </c>
      <c r="I266" s="1">
        <f t="shared" si="13"/>
        <v>0</v>
      </c>
      <c r="J266" t="str">
        <f t="shared" ca="1" si="14"/>
        <v>Paid</v>
      </c>
    </row>
    <row r="267" spans="1:10" x14ac:dyDescent="0.25">
      <c r="A267" t="s">
        <v>4319</v>
      </c>
      <c r="B267" t="s">
        <v>4036</v>
      </c>
      <c r="C267" s="3">
        <v>45638</v>
      </c>
      <c r="D267" s="3">
        <v>45668</v>
      </c>
      <c r="E267" s="1">
        <v>10715.5</v>
      </c>
      <c r="F267" t="s">
        <v>4037</v>
      </c>
      <c r="G267" t="str">
        <f>_xlfn.XLOOKUP(B267,tblVendors[VendorID],tblVendors[VendorName],"Unmapped")</f>
        <v>Cloud Services LLC</v>
      </c>
      <c r="H267">
        <f t="shared" si="12"/>
        <v>30</v>
      </c>
      <c r="I267" s="1">
        <f t="shared" si="13"/>
        <v>0</v>
      </c>
      <c r="J267" t="str">
        <f t="shared" ca="1" si="14"/>
        <v>Paid</v>
      </c>
    </row>
    <row r="268" spans="1:10" x14ac:dyDescent="0.25">
      <c r="A268" t="s">
        <v>4148</v>
      </c>
      <c r="B268" t="s">
        <v>4062</v>
      </c>
      <c r="C268" s="3">
        <v>45640</v>
      </c>
      <c r="D268" s="3">
        <v>45670</v>
      </c>
      <c r="E268" s="1">
        <v>8460.7000000000007</v>
      </c>
      <c r="F268" t="s">
        <v>4037</v>
      </c>
      <c r="G268" t="str">
        <f>_xlfn.XLOOKUP(B268,tblVendors[VendorID],tblVendors[VendorName],"Unmapped")</f>
        <v>Packaging Pros</v>
      </c>
      <c r="H268">
        <f t="shared" si="12"/>
        <v>30</v>
      </c>
      <c r="I268" s="1">
        <f t="shared" si="13"/>
        <v>0</v>
      </c>
      <c r="J268" t="str">
        <f t="shared" ca="1" si="14"/>
        <v>Paid</v>
      </c>
    </row>
    <row r="269" spans="1:10" x14ac:dyDescent="0.25">
      <c r="A269" t="s">
        <v>4294</v>
      </c>
      <c r="B269" t="s">
        <v>4045</v>
      </c>
      <c r="C269" s="3">
        <v>45646</v>
      </c>
      <c r="D269" s="3">
        <v>45676</v>
      </c>
      <c r="E269" s="1">
        <v>2144.56</v>
      </c>
      <c r="F269" t="s">
        <v>4037</v>
      </c>
      <c r="G269" t="str">
        <f>_xlfn.XLOOKUP(B269,tblVendors[VendorID],tblVendors[VendorName],"Unmapped")</f>
        <v>Office Supplies Co.</v>
      </c>
      <c r="H269">
        <f t="shared" si="12"/>
        <v>30</v>
      </c>
      <c r="I269" s="1">
        <f t="shared" si="13"/>
        <v>0</v>
      </c>
      <c r="J269" t="str">
        <f t="shared" ca="1" si="14"/>
        <v>Paid</v>
      </c>
    </row>
    <row r="270" spans="1:10" x14ac:dyDescent="0.25">
      <c r="A270" t="s">
        <v>4312</v>
      </c>
      <c r="B270" t="s">
        <v>4036</v>
      </c>
      <c r="C270" s="3">
        <v>45650</v>
      </c>
      <c r="D270" s="3">
        <v>45680</v>
      </c>
      <c r="E270" s="1">
        <v>18958.43</v>
      </c>
      <c r="F270" t="s">
        <v>4037</v>
      </c>
      <c r="G270" t="str">
        <f>_xlfn.XLOOKUP(B270,tblVendors[VendorID],tblVendors[VendorName],"Unmapped")</f>
        <v>Cloud Services LLC</v>
      </c>
      <c r="H270">
        <f t="shared" si="12"/>
        <v>30</v>
      </c>
      <c r="I270" s="1">
        <f t="shared" si="13"/>
        <v>0</v>
      </c>
      <c r="J270" t="str">
        <f t="shared" ca="1" si="14"/>
        <v>Paid</v>
      </c>
    </row>
    <row r="271" spans="1:10" x14ac:dyDescent="0.25">
      <c r="A271" t="s">
        <v>4097</v>
      </c>
      <c r="B271" t="s">
        <v>4039</v>
      </c>
      <c r="C271" s="3">
        <v>45661</v>
      </c>
      <c r="D271" s="3">
        <v>45691</v>
      </c>
      <c r="E271" s="1">
        <v>4601.03</v>
      </c>
      <c r="F271" t="s">
        <v>4037</v>
      </c>
      <c r="G271" t="str">
        <f>_xlfn.XLOOKUP(B271,tblVendors[VendorID],tblVendors[VendorName],"Unmapped")</f>
        <v>Dairy Farms United</v>
      </c>
      <c r="H271">
        <f t="shared" si="12"/>
        <v>30</v>
      </c>
      <c r="I271" s="1">
        <f t="shared" si="13"/>
        <v>0</v>
      </c>
      <c r="J271" t="str">
        <f t="shared" ca="1" si="14"/>
        <v>Paid</v>
      </c>
    </row>
    <row r="272" spans="1:10" x14ac:dyDescent="0.25">
      <c r="A272" t="s">
        <v>4285</v>
      </c>
      <c r="B272" t="s">
        <v>4062</v>
      </c>
      <c r="C272" s="3">
        <v>45661</v>
      </c>
      <c r="D272" s="3">
        <v>45691</v>
      </c>
      <c r="E272" s="1">
        <v>6944.08</v>
      </c>
      <c r="F272" t="s">
        <v>4037</v>
      </c>
      <c r="G272" t="str">
        <f>_xlfn.XLOOKUP(B272,tblVendors[VendorID],tblVendors[VendorName],"Unmapped")</f>
        <v>Packaging Pros</v>
      </c>
      <c r="H272">
        <f t="shared" si="12"/>
        <v>30</v>
      </c>
      <c r="I272" s="1">
        <f t="shared" si="13"/>
        <v>0</v>
      </c>
      <c r="J272" t="str">
        <f t="shared" ca="1" si="14"/>
        <v>Paid</v>
      </c>
    </row>
    <row r="273" spans="1:10" x14ac:dyDescent="0.25">
      <c r="A273" t="s">
        <v>4124</v>
      </c>
      <c r="B273" t="s">
        <v>4045</v>
      </c>
      <c r="C273" s="3">
        <v>45662</v>
      </c>
      <c r="D273" s="3">
        <v>45692</v>
      </c>
      <c r="E273" s="1">
        <v>8410.65</v>
      </c>
      <c r="F273" t="s">
        <v>4037</v>
      </c>
      <c r="G273" t="str">
        <f>_xlfn.XLOOKUP(B273,tblVendors[VendorID],tblVendors[VendorName],"Unmapped")</f>
        <v>Office Supplies Co.</v>
      </c>
      <c r="H273">
        <f t="shared" si="12"/>
        <v>30</v>
      </c>
      <c r="I273" s="1">
        <f t="shared" si="13"/>
        <v>0</v>
      </c>
      <c r="J273" t="str">
        <f t="shared" ca="1" si="14"/>
        <v>Paid</v>
      </c>
    </row>
    <row r="274" spans="1:10" x14ac:dyDescent="0.25">
      <c r="A274" t="s">
        <v>4240</v>
      </c>
      <c r="B274" t="s">
        <v>4042</v>
      </c>
      <c r="C274" s="3">
        <v>45664</v>
      </c>
      <c r="D274" s="3">
        <v>45694</v>
      </c>
      <c r="E274" s="1">
        <v>3164.81</v>
      </c>
      <c r="F274" t="s">
        <v>4040</v>
      </c>
      <c r="G274" t="str">
        <f>_xlfn.XLOOKUP(B274,tblVendors[VendorID],tblVendors[VendorName],"Unmapped")</f>
        <v>Cocoa World Inc.</v>
      </c>
      <c r="H274">
        <f t="shared" si="12"/>
        <v>30</v>
      </c>
      <c r="I274" s="1">
        <f t="shared" si="13"/>
        <v>3164.81</v>
      </c>
      <c r="J274" t="str">
        <f t="shared" ca="1" si="14"/>
        <v>Overdue</v>
      </c>
    </row>
    <row r="275" spans="1:10" x14ac:dyDescent="0.25">
      <c r="A275" t="s">
        <v>4232</v>
      </c>
      <c r="B275" t="s">
        <v>4039</v>
      </c>
      <c r="C275" s="3">
        <v>45668</v>
      </c>
      <c r="D275" s="3">
        <v>45698</v>
      </c>
      <c r="E275" s="1">
        <v>11377.73</v>
      </c>
      <c r="F275" t="s">
        <v>4037</v>
      </c>
      <c r="G275" t="str">
        <f>_xlfn.XLOOKUP(B275,tblVendors[VendorID],tblVendors[VendorName],"Unmapped")</f>
        <v>Dairy Farms United</v>
      </c>
      <c r="H275">
        <f t="shared" si="12"/>
        <v>30</v>
      </c>
      <c r="I275" s="1">
        <f t="shared" si="13"/>
        <v>0</v>
      </c>
      <c r="J275" t="str">
        <f t="shared" ca="1" si="14"/>
        <v>Paid</v>
      </c>
    </row>
    <row r="276" spans="1:10" x14ac:dyDescent="0.25">
      <c r="A276" t="s">
        <v>4508</v>
      </c>
      <c r="B276" t="s">
        <v>4039</v>
      </c>
      <c r="C276" s="3">
        <v>45676</v>
      </c>
      <c r="D276" s="3">
        <v>45706</v>
      </c>
      <c r="E276" s="1">
        <v>14680.35</v>
      </c>
      <c r="F276" t="s">
        <v>4037</v>
      </c>
      <c r="G276" t="str">
        <f>_xlfn.XLOOKUP(B276,tblVendors[VendorID],tblVendors[VendorName],"Unmapped")</f>
        <v>Dairy Farms United</v>
      </c>
      <c r="H276">
        <f t="shared" si="12"/>
        <v>30</v>
      </c>
      <c r="I276" s="1">
        <f t="shared" si="13"/>
        <v>0</v>
      </c>
      <c r="J276" t="str">
        <f t="shared" ca="1" si="14"/>
        <v>Paid</v>
      </c>
    </row>
    <row r="277" spans="1:10" x14ac:dyDescent="0.25">
      <c r="A277" t="s">
        <v>4051</v>
      </c>
      <c r="B277" t="s">
        <v>4047</v>
      </c>
      <c r="C277" s="3">
        <v>45678</v>
      </c>
      <c r="D277" s="3">
        <v>45708</v>
      </c>
      <c r="E277" s="1">
        <v>19312.759999999998</v>
      </c>
      <c r="F277" t="s">
        <v>4040</v>
      </c>
      <c r="G277" t="str">
        <f>_xlfn.XLOOKUP(B277,tblVendors[VendorID],tblVendors[VendorName],"Unmapped")</f>
        <v>Global Sweeteners</v>
      </c>
      <c r="H277">
        <f t="shared" si="12"/>
        <v>30</v>
      </c>
      <c r="I277" s="1">
        <f t="shared" si="13"/>
        <v>19312.759999999998</v>
      </c>
      <c r="J277" t="str">
        <f t="shared" ca="1" si="14"/>
        <v>Overdue</v>
      </c>
    </row>
    <row r="278" spans="1:10" x14ac:dyDescent="0.25">
      <c r="A278" t="s">
        <v>4184</v>
      </c>
      <c r="B278" t="s">
        <v>4047</v>
      </c>
      <c r="C278" s="3">
        <v>45678</v>
      </c>
      <c r="D278" s="3">
        <v>45708</v>
      </c>
      <c r="E278" s="1">
        <v>10252.540000000001</v>
      </c>
      <c r="F278" t="s">
        <v>4037</v>
      </c>
      <c r="G278" t="str">
        <f>_xlfn.XLOOKUP(B278,tblVendors[VendorID],tblVendors[VendorName],"Unmapped")</f>
        <v>Global Sweeteners</v>
      </c>
      <c r="H278">
        <f t="shared" si="12"/>
        <v>30</v>
      </c>
      <c r="I278" s="1">
        <f t="shared" si="13"/>
        <v>0</v>
      </c>
      <c r="J278" t="str">
        <f t="shared" ca="1" si="14"/>
        <v>Paid</v>
      </c>
    </row>
    <row r="279" spans="1:10" x14ac:dyDescent="0.25">
      <c r="A279" t="s">
        <v>4060</v>
      </c>
      <c r="B279" t="s">
        <v>4045</v>
      </c>
      <c r="C279" s="3">
        <v>45688</v>
      </c>
      <c r="D279" s="3">
        <v>45718</v>
      </c>
      <c r="E279" s="1">
        <v>12272.86</v>
      </c>
      <c r="F279" t="s">
        <v>4040</v>
      </c>
      <c r="G279" t="str">
        <f>_xlfn.XLOOKUP(B279,tblVendors[VendorID],tblVendors[VendorName],"Unmapped")</f>
        <v>Office Supplies Co.</v>
      </c>
      <c r="H279">
        <f t="shared" si="12"/>
        <v>30</v>
      </c>
      <c r="I279" s="1">
        <f t="shared" si="13"/>
        <v>12272.86</v>
      </c>
      <c r="J279" t="str">
        <f t="shared" ca="1" si="14"/>
        <v>Overdue</v>
      </c>
    </row>
    <row r="280" spans="1:10" x14ac:dyDescent="0.25">
      <c r="A280" t="s">
        <v>4044</v>
      </c>
      <c r="B280" t="s">
        <v>4045</v>
      </c>
      <c r="C280" s="3">
        <v>45692</v>
      </c>
      <c r="D280" s="3">
        <v>45722</v>
      </c>
      <c r="E280" s="1">
        <v>4295.97</v>
      </c>
      <c r="F280" t="s">
        <v>4037</v>
      </c>
      <c r="G280" t="str">
        <f>_xlfn.XLOOKUP(B280,tblVendors[VendorID],tblVendors[VendorName],"Unmapped")</f>
        <v>Office Supplies Co.</v>
      </c>
      <c r="H280">
        <f t="shared" si="12"/>
        <v>30</v>
      </c>
      <c r="I280" s="1">
        <f t="shared" si="13"/>
        <v>0</v>
      </c>
      <c r="J280" t="str">
        <f t="shared" ca="1" si="14"/>
        <v>Paid</v>
      </c>
    </row>
    <row r="281" spans="1:10" x14ac:dyDescent="0.25">
      <c r="A281" t="s">
        <v>4176</v>
      </c>
      <c r="B281" t="s">
        <v>4036</v>
      </c>
      <c r="C281" s="3">
        <v>45694</v>
      </c>
      <c r="D281" s="3">
        <v>45724</v>
      </c>
      <c r="E281" s="1">
        <v>2194.25</v>
      </c>
      <c r="F281" t="s">
        <v>4037</v>
      </c>
      <c r="G281" t="str">
        <f>_xlfn.XLOOKUP(B281,tblVendors[VendorID],tblVendors[VendorName],"Unmapped")</f>
        <v>Cloud Services LLC</v>
      </c>
      <c r="H281">
        <f t="shared" si="12"/>
        <v>30</v>
      </c>
      <c r="I281" s="1">
        <f t="shared" si="13"/>
        <v>0</v>
      </c>
      <c r="J281" t="str">
        <f t="shared" ca="1" si="14"/>
        <v>Paid</v>
      </c>
    </row>
    <row r="282" spans="1:10" x14ac:dyDescent="0.25">
      <c r="A282" t="s">
        <v>4059</v>
      </c>
      <c r="B282" t="s">
        <v>4047</v>
      </c>
      <c r="C282" s="3">
        <v>45699</v>
      </c>
      <c r="D282" s="3">
        <v>45729</v>
      </c>
      <c r="E282" s="1">
        <v>5753.21</v>
      </c>
      <c r="F282" t="s">
        <v>4037</v>
      </c>
      <c r="G282" t="str">
        <f>_xlfn.XLOOKUP(B282,tblVendors[VendorID],tblVendors[VendorName],"Unmapped")</f>
        <v>Global Sweeteners</v>
      </c>
      <c r="H282">
        <f t="shared" si="12"/>
        <v>30</v>
      </c>
      <c r="I282" s="1">
        <f t="shared" si="13"/>
        <v>0</v>
      </c>
      <c r="J282" t="str">
        <f t="shared" ca="1" si="14"/>
        <v>Paid</v>
      </c>
    </row>
    <row r="283" spans="1:10" x14ac:dyDescent="0.25">
      <c r="A283" t="s">
        <v>4229</v>
      </c>
      <c r="B283" t="s">
        <v>4062</v>
      </c>
      <c r="C283" s="3">
        <v>45703</v>
      </c>
      <c r="D283" s="3">
        <v>45733</v>
      </c>
      <c r="E283" s="1">
        <v>11229.91</v>
      </c>
      <c r="F283" t="s">
        <v>4037</v>
      </c>
      <c r="G283" t="str">
        <f>_xlfn.XLOOKUP(B283,tblVendors[VendorID],tblVendors[VendorName],"Unmapped")</f>
        <v>Packaging Pros</v>
      </c>
      <c r="H283">
        <f t="shared" si="12"/>
        <v>30</v>
      </c>
      <c r="I283" s="1">
        <f t="shared" si="13"/>
        <v>0</v>
      </c>
      <c r="J283" t="str">
        <f t="shared" ca="1" si="14"/>
        <v>Paid</v>
      </c>
    </row>
    <row r="284" spans="1:10" x14ac:dyDescent="0.25">
      <c r="A284" t="s">
        <v>4484</v>
      </c>
      <c r="B284" t="s">
        <v>4047</v>
      </c>
      <c r="C284" s="3">
        <v>45703</v>
      </c>
      <c r="D284" s="3">
        <v>45733</v>
      </c>
      <c r="E284" s="1">
        <v>12181.96</v>
      </c>
      <c r="F284" t="s">
        <v>4037</v>
      </c>
      <c r="G284" t="str">
        <f>_xlfn.XLOOKUP(B284,tblVendors[VendorID],tblVendors[VendorName],"Unmapped")</f>
        <v>Global Sweeteners</v>
      </c>
      <c r="H284">
        <f t="shared" si="12"/>
        <v>30</v>
      </c>
      <c r="I284" s="1">
        <f t="shared" si="13"/>
        <v>0</v>
      </c>
      <c r="J284" t="str">
        <f t="shared" ca="1" si="14"/>
        <v>Paid</v>
      </c>
    </row>
    <row r="285" spans="1:10" x14ac:dyDescent="0.25">
      <c r="A285" t="s">
        <v>4099</v>
      </c>
      <c r="B285" t="s">
        <v>4042</v>
      </c>
      <c r="C285" s="3">
        <v>45713</v>
      </c>
      <c r="D285" s="3">
        <v>45743</v>
      </c>
      <c r="E285" s="1">
        <v>19367.54</v>
      </c>
      <c r="F285" t="s">
        <v>4040</v>
      </c>
      <c r="G285" t="str">
        <f>_xlfn.XLOOKUP(B285,tblVendors[VendorID],tblVendors[VendorName],"Unmapped")</f>
        <v>Cocoa World Inc.</v>
      </c>
      <c r="H285">
        <f t="shared" si="12"/>
        <v>30</v>
      </c>
      <c r="I285" s="1">
        <f t="shared" si="13"/>
        <v>19367.54</v>
      </c>
      <c r="J285" t="str">
        <f t="shared" ca="1" si="14"/>
        <v>Overdue</v>
      </c>
    </row>
    <row r="286" spans="1:10" x14ac:dyDescent="0.25">
      <c r="A286" t="s">
        <v>4291</v>
      </c>
      <c r="B286" t="s">
        <v>4039</v>
      </c>
      <c r="C286" s="3">
        <v>45713</v>
      </c>
      <c r="D286" s="3">
        <v>45743</v>
      </c>
      <c r="E286" s="1">
        <v>11142.55</v>
      </c>
      <c r="F286" t="s">
        <v>4037</v>
      </c>
      <c r="G286" t="str">
        <f>_xlfn.XLOOKUP(B286,tblVendors[VendorID],tblVendors[VendorName],"Unmapped")</f>
        <v>Dairy Farms United</v>
      </c>
      <c r="H286">
        <f t="shared" si="12"/>
        <v>30</v>
      </c>
      <c r="I286" s="1">
        <f t="shared" si="13"/>
        <v>0</v>
      </c>
      <c r="J286" t="str">
        <f t="shared" ca="1" si="14"/>
        <v>Paid</v>
      </c>
    </row>
    <row r="287" spans="1:10" x14ac:dyDescent="0.25">
      <c r="A287" t="s">
        <v>4457</v>
      </c>
      <c r="B287" t="s">
        <v>4045</v>
      </c>
      <c r="C287" s="3">
        <v>45715</v>
      </c>
      <c r="D287" s="3">
        <v>45745</v>
      </c>
      <c r="E287" s="1">
        <v>5015.43</v>
      </c>
      <c r="F287" t="s">
        <v>4037</v>
      </c>
      <c r="G287" t="str">
        <f>_xlfn.XLOOKUP(B287,tblVendors[VendorID],tblVendors[VendorName],"Unmapped")</f>
        <v>Office Supplies Co.</v>
      </c>
      <c r="H287">
        <f t="shared" si="12"/>
        <v>30</v>
      </c>
      <c r="I287" s="1">
        <f t="shared" si="13"/>
        <v>0</v>
      </c>
      <c r="J287" t="str">
        <f t="shared" ca="1" si="14"/>
        <v>Paid</v>
      </c>
    </row>
    <row r="288" spans="1:10" x14ac:dyDescent="0.25">
      <c r="A288" t="s">
        <v>4163</v>
      </c>
      <c r="B288" t="s">
        <v>4039</v>
      </c>
      <c r="C288" s="3">
        <v>45718</v>
      </c>
      <c r="D288" s="3">
        <v>45748</v>
      </c>
      <c r="E288" s="1">
        <v>1961.22</v>
      </c>
      <c r="F288" t="s">
        <v>4037</v>
      </c>
      <c r="G288" t="str">
        <f>_xlfn.XLOOKUP(B288,tblVendors[VendorID],tblVendors[VendorName],"Unmapped")</f>
        <v>Dairy Farms United</v>
      </c>
      <c r="H288">
        <f t="shared" si="12"/>
        <v>30</v>
      </c>
      <c r="I288" s="1">
        <f t="shared" si="13"/>
        <v>0</v>
      </c>
      <c r="J288" t="str">
        <f t="shared" ca="1" si="14"/>
        <v>Paid</v>
      </c>
    </row>
    <row r="289" spans="1:10" x14ac:dyDescent="0.25">
      <c r="A289" t="s">
        <v>4473</v>
      </c>
      <c r="B289" t="s">
        <v>4039</v>
      </c>
      <c r="C289" s="3">
        <v>45720</v>
      </c>
      <c r="D289" s="3">
        <v>45750</v>
      </c>
      <c r="E289" s="1">
        <v>2556.46</v>
      </c>
      <c r="F289" t="s">
        <v>4037</v>
      </c>
      <c r="G289" t="str">
        <f>_xlfn.XLOOKUP(B289,tblVendors[VendorID],tblVendors[VendorName],"Unmapped")</f>
        <v>Dairy Farms United</v>
      </c>
      <c r="H289">
        <f t="shared" si="12"/>
        <v>30</v>
      </c>
      <c r="I289" s="1">
        <f t="shared" si="13"/>
        <v>0</v>
      </c>
      <c r="J289" t="str">
        <f t="shared" ca="1" si="14"/>
        <v>Paid</v>
      </c>
    </row>
    <row r="290" spans="1:10" x14ac:dyDescent="0.25">
      <c r="A290" t="s">
        <v>4283</v>
      </c>
      <c r="B290" t="s">
        <v>4039</v>
      </c>
      <c r="C290" s="3">
        <v>45723</v>
      </c>
      <c r="D290" s="3">
        <v>45753</v>
      </c>
      <c r="E290" s="1">
        <v>1781.44</v>
      </c>
      <c r="F290" t="s">
        <v>4037</v>
      </c>
      <c r="G290" t="str">
        <f>_xlfn.XLOOKUP(B290,tblVendors[VendorID],tblVendors[VendorName],"Unmapped")</f>
        <v>Dairy Farms United</v>
      </c>
      <c r="H290">
        <f t="shared" si="12"/>
        <v>30</v>
      </c>
      <c r="I290" s="1">
        <f t="shared" si="13"/>
        <v>0</v>
      </c>
      <c r="J290" t="str">
        <f t="shared" ca="1" si="14"/>
        <v>Paid</v>
      </c>
    </row>
    <row r="291" spans="1:10" x14ac:dyDescent="0.25">
      <c r="A291" t="s">
        <v>4249</v>
      </c>
      <c r="B291" t="s">
        <v>4036</v>
      </c>
      <c r="C291" s="3">
        <v>45726</v>
      </c>
      <c r="D291" s="3">
        <v>45756</v>
      </c>
      <c r="E291" s="1">
        <v>11785.07</v>
      </c>
      <c r="F291" t="s">
        <v>4040</v>
      </c>
      <c r="G291" t="str">
        <f>_xlfn.XLOOKUP(B291,tblVendors[VendorID],tblVendors[VendorName],"Unmapped")</f>
        <v>Cloud Services LLC</v>
      </c>
      <c r="H291">
        <f t="shared" si="12"/>
        <v>30</v>
      </c>
      <c r="I291" s="1">
        <f t="shared" si="13"/>
        <v>11785.07</v>
      </c>
      <c r="J291" t="str">
        <f t="shared" ca="1" si="14"/>
        <v>Overdue</v>
      </c>
    </row>
    <row r="292" spans="1:10" x14ac:dyDescent="0.25">
      <c r="A292" t="s">
        <v>4402</v>
      </c>
      <c r="B292" t="s">
        <v>4047</v>
      </c>
      <c r="C292" s="3">
        <v>45726</v>
      </c>
      <c r="D292" s="3">
        <v>45756</v>
      </c>
      <c r="E292" s="1">
        <v>4092.47</v>
      </c>
      <c r="F292" t="s">
        <v>4037</v>
      </c>
      <c r="G292" t="str">
        <f>_xlfn.XLOOKUP(B292,tblVendors[VendorID],tblVendors[VendorName],"Unmapped")</f>
        <v>Global Sweeteners</v>
      </c>
      <c r="H292">
        <f t="shared" si="12"/>
        <v>30</v>
      </c>
      <c r="I292" s="1">
        <f t="shared" si="13"/>
        <v>0</v>
      </c>
      <c r="J292" t="str">
        <f t="shared" ca="1" si="14"/>
        <v>Paid</v>
      </c>
    </row>
    <row r="293" spans="1:10" x14ac:dyDescent="0.25">
      <c r="A293" t="s">
        <v>4384</v>
      </c>
      <c r="B293" t="s">
        <v>4062</v>
      </c>
      <c r="C293" s="3">
        <v>45733</v>
      </c>
      <c r="D293" s="3">
        <v>45763</v>
      </c>
      <c r="E293" s="1">
        <v>17587.29</v>
      </c>
      <c r="F293" t="s">
        <v>4037</v>
      </c>
      <c r="G293" t="str">
        <f>_xlfn.XLOOKUP(B293,tblVendors[VendorID],tblVendors[VendorName],"Unmapped")</f>
        <v>Packaging Pros</v>
      </c>
      <c r="H293">
        <f t="shared" si="12"/>
        <v>30</v>
      </c>
      <c r="I293" s="1">
        <f t="shared" si="13"/>
        <v>0</v>
      </c>
      <c r="J293" t="str">
        <f t="shared" ca="1" si="14"/>
        <v>Paid</v>
      </c>
    </row>
    <row r="294" spans="1:10" x14ac:dyDescent="0.25">
      <c r="A294" t="s">
        <v>4525</v>
      </c>
      <c r="B294" t="s">
        <v>4039</v>
      </c>
      <c r="C294" s="3">
        <v>45734</v>
      </c>
      <c r="D294" s="3">
        <v>45764</v>
      </c>
      <c r="E294" s="1">
        <v>5192.1899999999996</v>
      </c>
      <c r="F294" t="s">
        <v>4037</v>
      </c>
      <c r="G294" t="str">
        <f>_xlfn.XLOOKUP(B294,tblVendors[VendorID],tblVendors[VendorName],"Unmapped")</f>
        <v>Dairy Farms United</v>
      </c>
      <c r="H294">
        <f t="shared" si="12"/>
        <v>30</v>
      </c>
      <c r="I294" s="1">
        <f t="shared" si="13"/>
        <v>0</v>
      </c>
      <c r="J294" t="str">
        <f t="shared" ca="1" si="14"/>
        <v>Paid</v>
      </c>
    </row>
    <row r="295" spans="1:10" x14ac:dyDescent="0.25">
      <c r="A295" t="s">
        <v>4406</v>
      </c>
      <c r="B295" t="s">
        <v>4036</v>
      </c>
      <c r="C295" s="3">
        <v>45743</v>
      </c>
      <c r="D295" s="3">
        <v>45773</v>
      </c>
      <c r="E295" s="1">
        <v>16353.16</v>
      </c>
      <c r="F295" t="s">
        <v>4037</v>
      </c>
      <c r="G295" t="str">
        <f>_xlfn.XLOOKUP(B295,tblVendors[VendorID],tblVendors[VendorName],"Unmapped")</f>
        <v>Cloud Services LLC</v>
      </c>
      <c r="H295">
        <f t="shared" si="12"/>
        <v>30</v>
      </c>
      <c r="I295" s="1">
        <f t="shared" si="13"/>
        <v>0</v>
      </c>
      <c r="J295" t="str">
        <f t="shared" ca="1" si="14"/>
        <v>Paid</v>
      </c>
    </row>
    <row r="296" spans="1:10" x14ac:dyDescent="0.25">
      <c r="A296" t="s">
        <v>4155</v>
      </c>
      <c r="B296" t="s">
        <v>4062</v>
      </c>
      <c r="C296" s="3">
        <v>45745</v>
      </c>
      <c r="D296" s="3">
        <v>45775</v>
      </c>
      <c r="E296" s="1">
        <v>2924.65</v>
      </c>
      <c r="F296" t="s">
        <v>4037</v>
      </c>
      <c r="G296" t="str">
        <f>_xlfn.XLOOKUP(B296,tblVendors[VendorID],tblVendors[VendorName],"Unmapped")</f>
        <v>Packaging Pros</v>
      </c>
      <c r="H296">
        <f t="shared" si="12"/>
        <v>30</v>
      </c>
      <c r="I296" s="1">
        <f t="shared" si="13"/>
        <v>0</v>
      </c>
      <c r="J296" t="str">
        <f t="shared" ca="1" si="14"/>
        <v>Paid</v>
      </c>
    </row>
    <row r="297" spans="1:10" x14ac:dyDescent="0.25">
      <c r="A297" t="s">
        <v>4514</v>
      </c>
      <c r="B297" t="s">
        <v>4036</v>
      </c>
      <c r="C297" s="3">
        <v>45749</v>
      </c>
      <c r="D297" s="3">
        <v>45779</v>
      </c>
      <c r="E297" s="1">
        <v>11761.29</v>
      </c>
      <c r="F297" t="s">
        <v>4037</v>
      </c>
      <c r="G297" t="str">
        <f>_xlfn.XLOOKUP(B297,tblVendors[VendorID],tblVendors[VendorName],"Unmapped")</f>
        <v>Cloud Services LLC</v>
      </c>
      <c r="H297">
        <f t="shared" si="12"/>
        <v>30</v>
      </c>
      <c r="I297" s="1">
        <f t="shared" si="13"/>
        <v>0</v>
      </c>
      <c r="J297" t="str">
        <f t="shared" ca="1" si="14"/>
        <v>Paid</v>
      </c>
    </row>
    <row r="298" spans="1:10" x14ac:dyDescent="0.25">
      <c r="A298" t="s">
        <v>4134</v>
      </c>
      <c r="B298" t="s">
        <v>4042</v>
      </c>
      <c r="C298" s="3">
        <v>45755</v>
      </c>
      <c r="D298" s="3">
        <v>45785</v>
      </c>
      <c r="E298" s="1">
        <v>5538.67</v>
      </c>
      <c r="F298" t="s">
        <v>4037</v>
      </c>
      <c r="G298" t="str">
        <f>_xlfn.XLOOKUP(B298,tblVendors[VendorID],tblVendors[VendorName],"Unmapped")</f>
        <v>Cocoa World Inc.</v>
      </c>
      <c r="H298">
        <f t="shared" si="12"/>
        <v>30</v>
      </c>
      <c r="I298" s="1">
        <f t="shared" si="13"/>
        <v>0</v>
      </c>
      <c r="J298" t="str">
        <f t="shared" ca="1" si="14"/>
        <v>Paid</v>
      </c>
    </row>
    <row r="299" spans="1:10" x14ac:dyDescent="0.25">
      <c r="A299" t="s">
        <v>4146</v>
      </c>
      <c r="B299" t="s">
        <v>4036</v>
      </c>
      <c r="C299" s="3">
        <v>45757</v>
      </c>
      <c r="D299" s="3">
        <v>45787</v>
      </c>
      <c r="E299" s="1">
        <v>950.54</v>
      </c>
      <c r="F299" t="s">
        <v>4037</v>
      </c>
      <c r="G299" t="str">
        <f>_xlfn.XLOOKUP(B299,tblVendors[VendorID],tblVendors[VendorName],"Unmapped")</f>
        <v>Cloud Services LLC</v>
      </c>
      <c r="H299">
        <f t="shared" si="12"/>
        <v>30</v>
      </c>
      <c r="I299" s="1">
        <f t="shared" si="13"/>
        <v>0</v>
      </c>
      <c r="J299" t="str">
        <f t="shared" ca="1" si="14"/>
        <v>Paid</v>
      </c>
    </row>
    <row r="300" spans="1:10" x14ac:dyDescent="0.25">
      <c r="A300" t="s">
        <v>4166</v>
      </c>
      <c r="B300" t="s">
        <v>4039</v>
      </c>
      <c r="C300" s="3">
        <v>45757</v>
      </c>
      <c r="D300" s="3">
        <v>45787</v>
      </c>
      <c r="E300" s="1">
        <v>19411.95</v>
      </c>
      <c r="F300" t="s">
        <v>4037</v>
      </c>
      <c r="G300" t="str">
        <f>_xlfn.XLOOKUP(B300,tblVendors[VendorID],tblVendors[VendorName],"Unmapped")</f>
        <v>Dairy Farms United</v>
      </c>
      <c r="H300">
        <f t="shared" si="12"/>
        <v>30</v>
      </c>
      <c r="I300" s="1">
        <f t="shared" si="13"/>
        <v>0</v>
      </c>
      <c r="J300" t="str">
        <f t="shared" ca="1" si="14"/>
        <v>Paid</v>
      </c>
    </row>
    <row r="301" spans="1:10" x14ac:dyDescent="0.25">
      <c r="A301" t="s">
        <v>4139</v>
      </c>
      <c r="B301" t="s">
        <v>4045</v>
      </c>
      <c r="C301" s="3">
        <v>45760</v>
      </c>
      <c r="D301" s="3">
        <v>45790</v>
      </c>
      <c r="E301" s="1">
        <v>6408.87</v>
      </c>
      <c r="F301" t="s">
        <v>4040</v>
      </c>
      <c r="G301" t="str">
        <f>_xlfn.XLOOKUP(B301,tblVendors[VendorID],tblVendors[VendorName],"Unmapped")</f>
        <v>Office Supplies Co.</v>
      </c>
      <c r="H301">
        <f t="shared" si="12"/>
        <v>30</v>
      </c>
      <c r="I301" s="1">
        <f t="shared" si="13"/>
        <v>6408.87</v>
      </c>
      <c r="J301" t="str">
        <f t="shared" ca="1" si="14"/>
        <v>Overdue</v>
      </c>
    </row>
    <row r="302" spans="1:10" x14ac:dyDescent="0.25">
      <c r="A302" t="s">
        <v>4141</v>
      </c>
      <c r="B302" t="s">
        <v>4042</v>
      </c>
      <c r="C302" s="3">
        <v>45764</v>
      </c>
      <c r="D302" s="3">
        <v>45794</v>
      </c>
      <c r="E302" s="1">
        <v>16120.1</v>
      </c>
      <c r="F302" t="s">
        <v>4040</v>
      </c>
      <c r="G302" t="str">
        <f>_xlfn.XLOOKUP(B302,tblVendors[VendorID],tblVendors[VendorName],"Unmapped")</f>
        <v>Cocoa World Inc.</v>
      </c>
      <c r="H302">
        <f t="shared" si="12"/>
        <v>30</v>
      </c>
      <c r="I302" s="1">
        <f t="shared" si="13"/>
        <v>16120.1</v>
      </c>
      <c r="J302" t="str">
        <f t="shared" ca="1" si="14"/>
        <v>Overdue</v>
      </c>
    </row>
    <row r="303" spans="1:10" x14ac:dyDescent="0.25">
      <c r="A303" t="s">
        <v>4393</v>
      </c>
      <c r="B303" t="s">
        <v>4047</v>
      </c>
      <c r="C303" s="3">
        <v>45764</v>
      </c>
      <c r="D303" s="3">
        <v>45794</v>
      </c>
      <c r="E303" s="1">
        <v>15117.32</v>
      </c>
      <c r="F303" t="s">
        <v>4037</v>
      </c>
      <c r="G303" t="str">
        <f>_xlfn.XLOOKUP(B303,tblVendors[VendorID],tblVendors[VendorName],"Unmapped")</f>
        <v>Global Sweeteners</v>
      </c>
      <c r="H303">
        <f t="shared" si="12"/>
        <v>30</v>
      </c>
      <c r="I303" s="1">
        <f t="shared" si="13"/>
        <v>0</v>
      </c>
      <c r="J303" t="str">
        <f t="shared" ca="1" si="14"/>
        <v>Paid</v>
      </c>
    </row>
    <row r="304" spans="1:10" x14ac:dyDescent="0.25">
      <c r="A304" t="s">
        <v>4510</v>
      </c>
      <c r="B304" t="s">
        <v>4042</v>
      </c>
      <c r="C304" s="3">
        <v>45773</v>
      </c>
      <c r="D304" s="3">
        <v>45803</v>
      </c>
      <c r="E304" s="1">
        <v>8647.08</v>
      </c>
      <c r="F304" t="s">
        <v>4037</v>
      </c>
      <c r="G304" t="str">
        <f>_xlfn.XLOOKUP(B304,tblVendors[VendorID],tblVendors[VendorName],"Unmapped")</f>
        <v>Cocoa World Inc.</v>
      </c>
      <c r="H304">
        <f t="shared" si="12"/>
        <v>30</v>
      </c>
      <c r="I304" s="1">
        <f t="shared" si="13"/>
        <v>0</v>
      </c>
      <c r="J304" t="str">
        <f t="shared" ca="1" si="14"/>
        <v>Paid</v>
      </c>
    </row>
    <row r="305" spans="1:10" x14ac:dyDescent="0.25">
      <c r="A305" t="s">
        <v>4405</v>
      </c>
      <c r="B305" t="s">
        <v>4042</v>
      </c>
      <c r="C305" s="3">
        <v>45782</v>
      </c>
      <c r="D305" s="3">
        <v>45812</v>
      </c>
      <c r="E305" s="1">
        <v>15904.3</v>
      </c>
      <c r="F305" t="s">
        <v>4037</v>
      </c>
      <c r="G305" t="str">
        <f>_xlfn.XLOOKUP(B305,tblVendors[VendorID],tblVendors[VendorName],"Unmapped")</f>
        <v>Cocoa World Inc.</v>
      </c>
      <c r="H305">
        <f t="shared" si="12"/>
        <v>30</v>
      </c>
      <c r="I305" s="1">
        <f t="shared" si="13"/>
        <v>0</v>
      </c>
      <c r="J305" t="str">
        <f t="shared" ca="1" si="14"/>
        <v>Paid</v>
      </c>
    </row>
    <row r="306" spans="1:10" x14ac:dyDescent="0.25">
      <c r="A306" t="s">
        <v>4211</v>
      </c>
      <c r="B306" t="s">
        <v>4047</v>
      </c>
      <c r="C306" s="3">
        <v>45783</v>
      </c>
      <c r="D306" s="3">
        <v>45813</v>
      </c>
      <c r="E306" s="1">
        <v>7341.04</v>
      </c>
      <c r="F306" t="s">
        <v>4037</v>
      </c>
      <c r="G306" t="str">
        <f>_xlfn.XLOOKUP(B306,tblVendors[VendorID],tblVendors[VendorName],"Unmapped")</f>
        <v>Global Sweeteners</v>
      </c>
      <c r="H306">
        <f t="shared" si="12"/>
        <v>30</v>
      </c>
      <c r="I306" s="1">
        <f t="shared" si="13"/>
        <v>0</v>
      </c>
      <c r="J306" t="str">
        <f t="shared" ca="1" si="14"/>
        <v>Paid</v>
      </c>
    </row>
    <row r="307" spans="1:10" x14ac:dyDescent="0.25">
      <c r="A307" t="s">
        <v>4304</v>
      </c>
      <c r="B307" t="s">
        <v>4036</v>
      </c>
      <c r="C307" s="3">
        <v>45789</v>
      </c>
      <c r="D307" s="3">
        <v>45819</v>
      </c>
      <c r="E307" s="1">
        <v>5227.92</v>
      </c>
      <c r="F307" t="s">
        <v>4037</v>
      </c>
      <c r="G307" t="str">
        <f>_xlfn.XLOOKUP(B307,tblVendors[VendorID],tblVendors[VendorName],"Unmapped")</f>
        <v>Cloud Services LLC</v>
      </c>
      <c r="H307">
        <f t="shared" si="12"/>
        <v>30</v>
      </c>
      <c r="I307" s="1">
        <f t="shared" si="13"/>
        <v>0</v>
      </c>
      <c r="J307" t="str">
        <f t="shared" ca="1" si="14"/>
        <v>Paid</v>
      </c>
    </row>
    <row r="308" spans="1:10" x14ac:dyDescent="0.25">
      <c r="A308" t="s">
        <v>4266</v>
      </c>
      <c r="B308" t="s">
        <v>4036</v>
      </c>
      <c r="C308" s="3">
        <v>45792</v>
      </c>
      <c r="D308" s="3">
        <v>45822</v>
      </c>
      <c r="E308" s="1">
        <v>15523.84</v>
      </c>
      <c r="F308" t="s">
        <v>4037</v>
      </c>
      <c r="G308" t="str">
        <f>_xlfn.XLOOKUP(B308,tblVendors[VendorID],tblVendors[VendorName],"Unmapped")</f>
        <v>Cloud Services LLC</v>
      </c>
      <c r="H308">
        <f t="shared" si="12"/>
        <v>30</v>
      </c>
      <c r="I308" s="1">
        <f t="shared" si="13"/>
        <v>0</v>
      </c>
      <c r="J308" t="str">
        <f t="shared" ca="1" si="14"/>
        <v>Paid</v>
      </c>
    </row>
    <row r="309" spans="1:10" x14ac:dyDescent="0.25">
      <c r="A309" t="s">
        <v>4470</v>
      </c>
      <c r="B309" t="s">
        <v>4047</v>
      </c>
      <c r="C309" s="3">
        <v>45793</v>
      </c>
      <c r="D309" s="3">
        <v>45823</v>
      </c>
      <c r="E309" s="1">
        <v>17695.29</v>
      </c>
      <c r="F309" t="s">
        <v>4037</v>
      </c>
      <c r="G309" t="str">
        <f>_xlfn.XLOOKUP(B309,tblVendors[VendorID],tblVendors[VendorName],"Unmapped")</f>
        <v>Global Sweeteners</v>
      </c>
      <c r="H309">
        <f t="shared" si="12"/>
        <v>30</v>
      </c>
      <c r="I309" s="1">
        <f t="shared" si="13"/>
        <v>0</v>
      </c>
      <c r="J309" t="str">
        <f t="shared" ca="1" si="14"/>
        <v>Paid</v>
      </c>
    </row>
    <row r="310" spans="1:10" x14ac:dyDescent="0.25">
      <c r="A310" t="s">
        <v>4087</v>
      </c>
      <c r="B310" t="s">
        <v>4047</v>
      </c>
      <c r="C310" s="3">
        <v>45795</v>
      </c>
      <c r="D310" s="3">
        <v>45825</v>
      </c>
      <c r="E310" s="1">
        <v>8908.36</v>
      </c>
      <c r="F310" t="s">
        <v>4037</v>
      </c>
      <c r="G310" t="str">
        <f>_xlfn.XLOOKUP(B310,tblVendors[VendorID],tblVendors[VendorName],"Unmapped")</f>
        <v>Global Sweeteners</v>
      </c>
      <c r="H310">
        <f t="shared" si="12"/>
        <v>30</v>
      </c>
      <c r="I310" s="1">
        <f t="shared" si="13"/>
        <v>0</v>
      </c>
      <c r="J310" t="str">
        <f t="shared" ca="1" si="14"/>
        <v>Paid</v>
      </c>
    </row>
    <row r="311" spans="1:10" x14ac:dyDescent="0.25">
      <c r="A311" t="s">
        <v>4108</v>
      </c>
      <c r="B311" t="s">
        <v>4047</v>
      </c>
      <c r="C311" s="3">
        <v>45796</v>
      </c>
      <c r="D311" s="3">
        <v>45826</v>
      </c>
      <c r="E311" s="1">
        <v>18483.38</v>
      </c>
      <c r="F311" t="s">
        <v>4037</v>
      </c>
      <c r="G311" t="str">
        <f>_xlfn.XLOOKUP(B311,tblVendors[VendorID],tblVendors[VendorName],"Unmapped")</f>
        <v>Global Sweeteners</v>
      </c>
      <c r="H311">
        <f t="shared" si="12"/>
        <v>30</v>
      </c>
      <c r="I311" s="1">
        <f t="shared" si="13"/>
        <v>0</v>
      </c>
      <c r="J311" t="str">
        <f t="shared" ca="1" si="14"/>
        <v>Paid</v>
      </c>
    </row>
    <row r="312" spans="1:10" x14ac:dyDescent="0.25">
      <c r="A312" t="s">
        <v>4410</v>
      </c>
      <c r="B312" t="s">
        <v>4042</v>
      </c>
      <c r="C312" s="3">
        <v>45796</v>
      </c>
      <c r="D312" s="3">
        <v>45826</v>
      </c>
      <c r="E312" s="1">
        <v>4233.24</v>
      </c>
      <c r="F312" t="s">
        <v>4037</v>
      </c>
      <c r="G312" t="str">
        <f>_xlfn.XLOOKUP(B312,tblVendors[VendorID],tblVendors[VendorName],"Unmapped")</f>
        <v>Cocoa World Inc.</v>
      </c>
      <c r="H312">
        <f t="shared" si="12"/>
        <v>30</v>
      </c>
      <c r="I312" s="1">
        <f t="shared" si="13"/>
        <v>0</v>
      </c>
      <c r="J312" t="str">
        <f t="shared" ca="1" si="14"/>
        <v>Paid</v>
      </c>
    </row>
    <row r="313" spans="1:10" x14ac:dyDescent="0.25">
      <c r="A313" t="s">
        <v>4188</v>
      </c>
      <c r="B313" t="s">
        <v>4042</v>
      </c>
      <c r="C313" s="3">
        <v>45798</v>
      </c>
      <c r="D313" s="3">
        <v>45828</v>
      </c>
      <c r="E313" s="1">
        <v>2844.45</v>
      </c>
      <c r="F313" t="s">
        <v>4037</v>
      </c>
      <c r="G313" t="str">
        <f>_xlfn.XLOOKUP(B313,tblVendors[VendorID],tblVendors[VendorName],"Unmapped")</f>
        <v>Cocoa World Inc.</v>
      </c>
      <c r="H313">
        <f t="shared" si="12"/>
        <v>30</v>
      </c>
      <c r="I313" s="1">
        <f t="shared" si="13"/>
        <v>0</v>
      </c>
      <c r="J313" t="str">
        <f t="shared" ca="1" si="14"/>
        <v>Paid</v>
      </c>
    </row>
    <row r="314" spans="1:10" x14ac:dyDescent="0.25">
      <c r="A314" t="s">
        <v>4450</v>
      </c>
      <c r="B314" t="s">
        <v>4047</v>
      </c>
      <c r="C314" s="3">
        <v>45798</v>
      </c>
      <c r="D314" s="3">
        <v>45828</v>
      </c>
      <c r="E314" s="1">
        <v>9781.14</v>
      </c>
      <c r="F314" t="s">
        <v>4040</v>
      </c>
      <c r="G314" t="str">
        <f>_xlfn.XLOOKUP(B314,tblVendors[VendorID],tblVendors[VendorName],"Unmapped")</f>
        <v>Global Sweeteners</v>
      </c>
      <c r="H314">
        <f t="shared" si="12"/>
        <v>30</v>
      </c>
      <c r="I314" s="1">
        <f t="shared" si="13"/>
        <v>9781.14</v>
      </c>
      <c r="J314" t="str">
        <f t="shared" ca="1" si="14"/>
        <v>Overdue</v>
      </c>
    </row>
    <row r="315" spans="1:10" x14ac:dyDescent="0.25">
      <c r="A315" t="s">
        <v>4164</v>
      </c>
      <c r="B315" t="s">
        <v>4036</v>
      </c>
      <c r="C315" s="3">
        <v>45800</v>
      </c>
      <c r="D315" s="3">
        <v>45830</v>
      </c>
      <c r="E315" s="1">
        <v>18838.28</v>
      </c>
      <c r="F315" t="s">
        <v>4037</v>
      </c>
      <c r="G315" t="str">
        <f>_xlfn.XLOOKUP(B315,tblVendors[VendorID],tblVendors[VendorName],"Unmapped")</f>
        <v>Cloud Services LLC</v>
      </c>
      <c r="H315">
        <f t="shared" si="12"/>
        <v>30</v>
      </c>
      <c r="I315" s="1">
        <f t="shared" si="13"/>
        <v>0</v>
      </c>
      <c r="J315" t="str">
        <f t="shared" ca="1" si="14"/>
        <v>Paid</v>
      </c>
    </row>
    <row r="316" spans="1:10" x14ac:dyDescent="0.25">
      <c r="A316" t="s">
        <v>4538</v>
      </c>
      <c r="B316" t="s">
        <v>4042</v>
      </c>
      <c r="C316" s="3">
        <v>45803</v>
      </c>
      <c r="D316" s="3">
        <v>45833</v>
      </c>
      <c r="E316" s="1">
        <v>11104.36</v>
      </c>
      <c r="F316" t="s">
        <v>4037</v>
      </c>
      <c r="G316" t="str">
        <f>_xlfn.XLOOKUP(B316,tblVendors[VendorID],tblVendors[VendorName],"Unmapped")</f>
        <v>Cocoa World Inc.</v>
      </c>
      <c r="H316">
        <f t="shared" si="12"/>
        <v>30</v>
      </c>
      <c r="I316" s="1">
        <f t="shared" si="13"/>
        <v>0</v>
      </c>
      <c r="J316" t="str">
        <f t="shared" ca="1" si="14"/>
        <v>Paid</v>
      </c>
    </row>
    <row r="317" spans="1:10" x14ac:dyDescent="0.25">
      <c r="A317" t="s">
        <v>4203</v>
      </c>
      <c r="B317" t="s">
        <v>4047</v>
      </c>
      <c r="C317" s="3">
        <v>45804</v>
      </c>
      <c r="D317" s="3">
        <v>45834</v>
      </c>
      <c r="E317" s="1">
        <v>4214.01</v>
      </c>
      <c r="F317" t="s">
        <v>4037</v>
      </c>
      <c r="G317" t="str">
        <f>_xlfn.XLOOKUP(B317,tblVendors[VendorID],tblVendors[VendorName],"Unmapped")</f>
        <v>Global Sweeteners</v>
      </c>
      <c r="H317">
        <f t="shared" si="12"/>
        <v>30</v>
      </c>
      <c r="I317" s="1">
        <f t="shared" si="13"/>
        <v>0</v>
      </c>
      <c r="J317" t="str">
        <f t="shared" ca="1" si="14"/>
        <v>Paid</v>
      </c>
    </row>
    <row r="318" spans="1:10" x14ac:dyDescent="0.25">
      <c r="A318" t="s">
        <v>4441</v>
      </c>
      <c r="B318" t="s">
        <v>4047</v>
      </c>
      <c r="C318" s="3">
        <v>45808</v>
      </c>
      <c r="D318" s="3">
        <v>45838</v>
      </c>
      <c r="E318" s="1">
        <v>19078.93</v>
      </c>
      <c r="F318" t="s">
        <v>4040</v>
      </c>
      <c r="G318" t="str">
        <f>_xlfn.XLOOKUP(B318,tblVendors[VendorID],tblVendors[VendorName],"Unmapped")</f>
        <v>Global Sweeteners</v>
      </c>
      <c r="H318">
        <f t="shared" si="12"/>
        <v>30</v>
      </c>
      <c r="I318" s="1">
        <f t="shared" si="13"/>
        <v>19078.93</v>
      </c>
      <c r="J318" t="str">
        <f t="shared" ca="1" si="14"/>
        <v>Overdue</v>
      </c>
    </row>
    <row r="319" spans="1:10" x14ac:dyDescent="0.25">
      <c r="A319" t="s">
        <v>4338</v>
      </c>
      <c r="B319" t="s">
        <v>4042</v>
      </c>
      <c r="C319" s="3">
        <v>45809</v>
      </c>
      <c r="D319" s="3">
        <v>45839</v>
      </c>
      <c r="E319" s="1">
        <v>19661.96</v>
      </c>
      <c r="F319" t="s">
        <v>4037</v>
      </c>
      <c r="G319" t="str">
        <f>_xlfn.XLOOKUP(B319,tblVendors[VendorID],tblVendors[VendorName],"Unmapped")</f>
        <v>Cocoa World Inc.</v>
      </c>
      <c r="H319">
        <f t="shared" si="12"/>
        <v>30</v>
      </c>
      <c r="I319" s="1">
        <f t="shared" si="13"/>
        <v>0</v>
      </c>
      <c r="J319" t="str">
        <f t="shared" ca="1" si="14"/>
        <v>Paid</v>
      </c>
    </row>
    <row r="320" spans="1:10" x14ac:dyDescent="0.25">
      <c r="A320" t="s">
        <v>4046</v>
      </c>
      <c r="B320" t="s">
        <v>4047</v>
      </c>
      <c r="C320" s="3">
        <v>45816</v>
      </c>
      <c r="D320" s="3">
        <v>45846</v>
      </c>
      <c r="E320" s="1">
        <v>16725.689999999999</v>
      </c>
      <c r="F320" t="s">
        <v>4040</v>
      </c>
      <c r="G320" t="str">
        <f>_xlfn.XLOOKUP(B320,tblVendors[VendorID],tblVendors[VendorName],"Unmapped")</f>
        <v>Global Sweeteners</v>
      </c>
      <c r="H320">
        <f t="shared" si="12"/>
        <v>30</v>
      </c>
      <c r="I320" s="1">
        <f t="shared" si="13"/>
        <v>16725.689999999999</v>
      </c>
      <c r="J320" t="str">
        <f t="shared" ca="1" si="14"/>
        <v>Overdue</v>
      </c>
    </row>
    <row r="321" spans="1:10" x14ac:dyDescent="0.25">
      <c r="A321" t="s">
        <v>4327</v>
      </c>
      <c r="B321" t="s">
        <v>4039</v>
      </c>
      <c r="C321" s="3">
        <v>45819</v>
      </c>
      <c r="D321" s="3">
        <v>45849</v>
      </c>
      <c r="E321" s="1">
        <v>12353.81</v>
      </c>
      <c r="F321" t="s">
        <v>4037</v>
      </c>
      <c r="G321" t="str">
        <f>_xlfn.XLOOKUP(B321,tblVendors[VendorID],tblVendors[VendorName],"Unmapped")</f>
        <v>Dairy Farms United</v>
      </c>
      <c r="H321">
        <f t="shared" si="12"/>
        <v>30</v>
      </c>
      <c r="I321" s="1">
        <f t="shared" si="13"/>
        <v>0</v>
      </c>
      <c r="J321" t="str">
        <f t="shared" ca="1" si="14"/>
        <v>Paid</v>
      </c>
    </row>
    <row r="322" spans="1:10" x14ac:dyDescent="0.25">
      <c r="A322" t="s">
        <v>4306</v>
      </c>
      <c r="B322" t="s">
        <v>4042</v>
      </c>
      <c r="C322" s="3">
        <v>45820</v>
      </c>
      <c r="D322" s="3">
        <v>45850</v>
      </c>
      <c r="E322" s="1">
        <v>17398.73</v>
      </c>
      <c r="F322" t="s">
        <v>4037</v>
      </c>
      <c r="G322" t="str">
        <f>_xlfn.XLOOKUP(B322,tblVendors[VendorID],tblVendors[VendorName],"Unmapped")</f>
        <v>Cocoa World Inc.</v>
      </c>
      <c r="H322">
        <f t="shared" ref="H322:H385" si="15">D322-C322</f>
        <v>30</v>
      </c>
      <c r="I322" s="1">
        <f t="shared" ref="I322:I385" si="16">IF(F322="Unpaid",E322,0)</f>
        <v>0</v>
      </c>
      <c r="J322" t="str">
        <f t="shared" ref="J322:J385" ca="1" si="17">IF(F322="Paid","Paid",IF(D322&lt;TODAY(),"Overdue","Open"))</f>
        <v>Paid</v>
      </c>
    </row>
    <row r="323" spans="1:10" x14ac:dyDescent="0.25">
      <c r="A323" t="s">
        <v>4362</v>
      </c>
      <c r="B323" t="s">
        <v>4062</v>
      </c>
      <c r="C323" s="3">
        <v>45824</v>
      </c>
      <c r="D323" s="3">
        <v>45854</v>
      </c>
      <c r="E323" s="1">
        <v>12808.68</v>
      </c>
      <c r="F323" t="s">
        <v>4040</v>
      </c>
      <c r="G323" t="str">
        <f>_xlfn.XLOOKUP(B323,tblVendors[VendorID],tblVendors[VendorName],"Unmapped")</f>
        <v>Packaging Pros</v>
      </c>
      <c r="H323">
        <f t="shared" si="15"/>
        <v>30</v>
      </c>
      <c r="I323" s="1">
        <f t="shared" si="16"/>
        <v>12808.68</v>
      </c>
      <c r="J323" t="str">
        <f t="shared" ca="1" si="17"/>
        <v>Overdue</v>
      </c>
    </row>
    <row r="324" spans="1:10" x14ac:dyDescent="0.25">
      <c r="A324" t="s">
        <v>4103</v>
      </c>
      <c r="B324" t="s">
        <v>4062</v>
      </c>
      <c r="C324" s="3">
        <v>45841</v>
      </c>
      <c r="D324" s="3">
        <v>45871</v>
      </c>
      <c r="E324" s="1">
        <v>3397.67</v>
      </c>
      <c r="F324" t="s">
        <v>4037</v>
      </c>
      <c r="G324" t="str">
        <f>_xlfn.XLOOKUP(B324,tblVendors[VendorID],tblVendors[VendorName],"Unmapped")</f>
        <v>Packaging Pros</v>
      </c>
      <c r="H324">
        <f t="shared" si="15"/>
        <v>30</v>
      </c>
      <c r="I324" s="1">
        <f t="shared" si="16"/>
        <v>0</v>
      </c>
      <c r="J324" t="str">
        <f t="shared" ca="1" si="17"/>
        <v>Paid</v>
      </c>
    </row>
    <row r="325" spans="1:10" x14ac:dyDescent="0.25">
      <c r="A325" t="s">
        <v>4142</v>
      </c>
      <c r="B325" t="s">
        <v>4042</v>
      </c>
      <c r="C325" s="3">
        <v>45841</v>
      </c>
      <c r="D325" s="3">
        <v>45871</v>
      </c>
      <c r="E325" s="1">
        <v>6105.84</v>
      </c>
      <c r="F325" t="s">
        <v>4037</v>
      </c>
      <c r="G325" t="str">
        <f>_xlfn.XLOOKUP(B325,tblVendors[VendorID],tblVendors[VendorName],"Unmapped")</f>
        <v>Cocoa World Inc.</v>
      </c>
      <c r="H325">
        <f t="shared" si="15"/>
        <v>30</v>
      </c>
      <c r="I325" s="1">
        <f t="shared" si="16"/>
        <v>0</v>
      </c>
      <c r="J325" t="str">
        <f t="shared" ca="1" si="17"/>
        <v>Paid</v>
      </c>
    </row>
    <row r="326" spans="1:10" x14ac:dyDescent="0.25">
      <c r="A326" t="s">
        <v>4446</v>
      </c>
      <c r="B326" t="s">
        <v>4045</v>
      </c>
      <c r="C326" s="3">
        <v>45842</v>
      </c>
      <c r="D326" s="3">
        <v>45872</v>
      </c>
      <c r="E326" s="1">
        <v>5135.04</v>
      </c>
      <c r="F326" t="s">
        <v>4037</v>
      </c>
      <c r="G326" t="str">
        <f>_xlfn.XLOOKUP(B326,tblVendors[VendorID],tblVendors[VendorName],"Unmapped")</f>
        <v>Office Supplies Co.</v>
      </c>
      <c r="H326">
        <f t="shared" si="15"/>
        <v>30</v>
      </c>
      <c r="I326" s="1">
        <f t="shared" si="16"/>
        <v>0</v>
      </c>
      <c r="J326" t="str">
        <f t="shared" ca="1" si="17"/>
        <v>Paid</v>
      </c>
    </row>
    <row r="327" spans="1:10" x14ac:dyDescent="0.25">
      <c r="A327" t="s">
        <v>4463</v>
      </c>
      <c r="B327" t="s">
        <v>4045</v>
      </c>
      <c r="C327" s="3">
        <v>45846</v>
      </c>
      <c r="D327" s="3">
        <v>45876</v>
      </c>
      <c r="E327" s="1">
        <v>1869.64</v>
      </c>
      <c r="F327" t="s">
        <v>4037</v>
      </c>
      <c r="G327" t="str">
        <f>_xlfn.XLOOKUP(B327,tblVendors[VendorID],tblVendors[VendorName],"Unmapped")</f>
        <v>Office Supplies Co.</v>
      </c>
      <c r="H327">
        <f t="shared" si="15"/>
        <v>30</v>
      </c>
      <c r="I327" s="1">
        <f t="shared" si="16"/>
        <v>0</v>
      </c>
      <c r="J327" t="str">
        <f t="shared" ca="1" si="17"/>
        <v>Paid</v>
      </c>
    </row>
    <row r="328" spans="1:10" x14ac:dyDescent="0.25">
      <c r="A328" t="s">
        <v>4165</v>
      </c>
      <c r="B328" t="s">
        <v>4042</v>
      </c>
      <c r="C328" s="3">
        <v>45849</v>
      </c>
      <c r="D328" s="3">
        <v>45879</v>
      </c>
      <c r="E328" s="1">
        <v>848.63</v>
      </c>
      <c r="F328" t="s">
        <v>4040</v>
      </c>
      <c r="G328" t="str">
        <f>_xlfn.XLOOKUP(B328,tblVendors[VendorID],tblVendors[VendorName],"Unmapped")</f>
        <v>Cocoa World Inc.</v>
      </c>
      <c r="H328">
        <f t="shared" si="15"/>
        <v>30</v>
      </c>
      <c r="I328" s="1">
        <f t="shared" si="16"/>
        <v>848.63</v>
      </c>
      <c r="J328" t="str">
        <f t="shared" ca="1" si="17"/>
        <v>Overdue</v>
      </c>
    </row>
    <row r="329" spans="1:10" x14ac:dyDescent="0.25">
      <c r="A329" t="s">
        <v>4173</v>
      </c>
      <c r="B329" t="s">
        <v>4036</v>
      </c>
      <c r="C329" s="3">
        <v>45850</v>
      </c>
      <c r="D329" s="3">
        <v>45880</v>
      </c>
      <c r="E329" s="1">
        <v>6830.38</v>
      </c>
      <c r="F329" t="s">
        <v>4037</v>
      </c>
      <c r="G329" t="str">
        <f>_xlfn.XLOOKUP(B329,tblVendors[VendorID],tblVendors[VendorName],"Unmapped")</f>
        <v>Cloud Services LLC</v>
      </c>
      <c r="H329">
        <f t="shared" si="15"/>
        <v>30</v>
      </c>
      <c r="I329" s="1">
        <f t="shared" si="16"/>
        <v>0</v>
      </c>
      <c r="J329" t="str">
        <f t="shared" ca="1" si="17"/>
        <v>Paid</v>
      </c>
    </row>
    <row r="330" spans="1:10" x14ac:dyDescent="0.25">
      <c r="A330" t="s">
        <v>4169</v>
      </c>
      <c r="B330" t="s">
        <v>4045</v>
      </c>
      <c r="C330" s="3">
        <v>45852</v>
      </c>
      <c r="D330" s="3">
        <v>45882</v>
      </c>
      <c r="E330" s="1">
        <v>615.78</v>
      </c>
      <c r="F330" t="s">
        <v>4040</v>
      </c>
      <c r="G330" t="str">
        <f>_xlfn.XLOOKUP(B330,tblVendors[VendorID],tblVendors[VendorName],"Unmapped")</f>
        <v>Office Supplies Co.</v>
      </c>
      <c r="H330">
        <f t="shared" si="15"/>
        <v>30</v>
      </c>
      <c r="I330" s="1">
        <f t="shared" si="16"/>
        <v>615.78</v>
      </c>
      <c r="J330" t="str">
        <f t="shared" ca="1" si="17"/>
        <v>Overdue</v>
      </c>
    </row>
    <row r="331" spans="1:10" x14ac:dyDescent="0.25">
      <c r="A331" t="s">
        <v>4225</v>
      </c>
      <c r="B331" t="s">
        <v>4045</v>
      </c>
      <c r="C331" s="3">
        <v>45856</v>
      </c>
      <c r="D331" s="3">
        <v>45886</v>
      </c>
      <c r="E331" s="1">
        <v>1712</v>
      </c>
      <c r="F331" t="s">
        <v>4037</v>
      </c>
      <c r="G331" t="str">
        <f>_xlfn.XLOOKUP(B331,tblVendors[VendorID],tblVendors[VendorName],"Unmapped")</f>
        <v>Office Supplies Co.</v>
      </c>
      <c r="H331">
        <f t="shared" si="15"/>
        <v>30</v>
      </c>
      <c r="I331" s="1">
        <f t="shared" si="16"/>
        <v>0</v>
      </c>
      <c r="J331" t="str">
        <f t="shared" ca="1" si="17"/>
        <v>Paid</v>
      </c>
    </row>
    <row r="332" spans="1:10" x14ac:dyDescent="0.25">
      <c r="A332" t="s">
        <v>4096</v>
      </c>
      <c r="B332" t="s">
        <v>4042</v>
      </c>
      <c r="C332" s="3">
        <v>45857</v>
      </c>
      <c r="D332" s="3">
        <v>45887</v>
      </c>
      <c r="E332" s="1">
        <v>17782.71</v>
      </c>
      <c r="F332" t="s">
        <v>4040</v>
      </c>
      <c r="G332" t="str">
        <f>_xlfn.XLOOKUP(B332,tblVendors[VendorID],tblVendors[VendorName],"Unmapped")</f>
        <v>Cocoa World Inc.</v>
      </c>
      <c r="H332">
        <f t="shared" si="15"/>
        <v>30</v>
      </c>
      <c r="I332" s="1">
        <f t="shared" si="16"/>
        <v>17782.71</v>
      </c>
      <c r="J332" t="str">
        <f t="shared" ca="1" si="17"/>
        <v>Overdue</v>
      </c>
    </row>
    <row r="333" spans="1:10" x14ac:dyDescent="0.25">
      <c r="A333" t="s">
        <v>4258</v>
      </c>
      <c r="B333" t="s">
        <v>4062</v>
      </c>
      <c r="C333" s="3">
        <v>45862</v>
      </c>
      <c r="D333" s="3">
        <v>45892</v>
      </c>
      <c r="E333" s="1">
        <v>3460.89</v>
      </c>
      <c r="F333" t="s">
        <v>4037</v>
      </c>
      <c r="G333" t="str">
        <f>_xlfn.XLOOKUP(B333,tblVendors[VendorID],tblVendors[VendorName],"Unmapped")</f>
        <v>Packaging Pros</v>
      </c>
      <c r="H333">
        <f t="shared" si="15"/>
        <v>30</v>
      </c>
      <c r="I333" s="1">
        <f t="shared" si="16"/>
        <v>0</v>
      </c>
      <c r="J333" t="str">
        <f t="shared" ca="1" si="17"/>
        <v>Paid</v>
      </c>
    </row>
    <row r="334" spans="1:10" x14ac:dyDescent="0.25">
      <c r="A334" t="s">
        <v>4121</v>
      </c>
      <c r="B334" t="s">
        <v>4045</v>
      </c>
      <c r="C334" s="3">
        <v>45866</v>
      </c>
      <c r="D334" s="3">
        <v>45896</v>
      </c>
      <c r="E334" s="1">
        <v>11128.94</v>
      </c>
      <c r="F334" t="s">
        <v>4037</v>
      </c>
      <c r="G334" t="str">
        <f>_xlfn.XLOOKUP(B334,tblVendors[VendorID],tblVendors[VendorName],"Unmapped")</f>
        <v>Office Supplies Co.</v>
      </c>
      <c r="H334">
        <f t="shared" si="15"/>
        <v>30</v>
      </c>
      <c r="I334" s="1">
        <f t="shared" si="16"/>
        <v>0</v>
      </c>
      <c r="J334" t="str">
        <f t="shared" ca="1" si="17"/>
        <v>Paid</v>
      </c>
    </row>
    <row r="335" spans="1:10" x14ac:dyDescent="0.25">
      <c r="A335" t="s">
        <v>4365</v>
      </c>
      <c r="B335" t="s">
        <v>4045</v>
      </c>
      <c r="C335" s="3">
        <v>45874</v>
      </c>
      <c r="D335" s="3">
        <v>45904</v>
      </c>
      <c r="E335" s="1">
        <v>12514.04</v>
      </c>
      <c r="F335" t="s">
        <v>4037</v>
      </c>
      <c r="G335" t="str">
        <f>_xlfn.XLOOKUP(B335,tblVendors[VendorID],tblVendors[VendorName],"Unmapped")</f>
        <v>Office Supplies Co.</v>
      </c>
      <c r="H335">
        <f t="shared" si="15"/>
        <v>30</v>
      </c>
      <c r="I335" s="1">
        <f t="shared" si="16"/>
        <v>0</v>
      </c>
      <c r="J335" t="str">
        <f t="shared" ca="1" si="17"/>
        <v>Paid</v>
      </c>
    </row>
    <row r="336" spans="1:10" x14ac:dyDescent="0.25">
      <c r="A336" t="s">
        <v>4125</v>
      </c>
      <c r="B336" t="s">
        <v>4042</v>
      </c>
      <c r="C336" s="3">
        <v>45877</v>
      </c>
      <c r="D336" s="3">
        <v>45907</v>
      </c>
      <c r="E336" s="1">
        <v>11614.68</v>
      </c>
      <c r="F336" t="s">
        <v>4037</v>
      </c>
      <c r="G336" t="str">
        <f>_xlfn.XLOOKUP(B336,tblVendors[VendorID],tblVendors[VendorName],"Unmapped")</f>
        <v>Cocoa World Inc.</v>
      </c>
      <c r="H336">
        <f t="shared" si="15"/>
        <v>30</v>
      </c>
      <c r="I336" s="1">
        <f t="shared" si="16"/>
        <v>0</v>
      </c>
      <c r="J336" t="str">
        <f t="shared" ca="1" si="17"/>
        <v>Paid</v>
      </c>
    </row>
    <row r="337" spans="1:10" x14ac:dyDescent="0.25">
      <c r="A337" t="s">
        <v>4079</v>
      </c>
      <c r="B337" t="s">
        <v>4047</v>
      </c>
      <c r="C337" s="3">
        <v>45878</v>
      </c>
      <c r="D337" s="3">
        <v>45908</v>
      </c>
      <c r="E337" s="1">
        <v>15109.44</v>
      </c>
      <c r="F337" t="s">
        <v>4037</v>
      </c>
      <c r="G337" t="str">
        <f>_xlfn.XLOOKUP(B337,tblVendors[VendorID],tblVendors[VendorName],"Unmapped")</f>
        <v>Global Sweeteners</v>
      </c>
      <c r="H337">
        <f t="shared" si="15"/>
        <v>30</v>
      </c>
      <c r="I337" s="1">
        <f t="shared" si="16"/>
        <v>0</v>
      </c>
      <c r="J337" t="str">
        <f t="shared" ca="1" si="17"/>
        <v>Paid</v>
      </c>
    </row>
    <row r="338" spans="1:10" x14ac:dyDescent="0.25">
      <c r="A338" t="s">
        <v>4352</v>
      </c>
      <c r="B338" t="s">
        <v>4042</v>
      </c>
      <c r="C338" s="3">
        <v>45888</v>
      </c>
      <c r="D338" s="3">
        <v>45918</v>
      </c>
      <c r="E338" s="1">
        <v>17466.07</v>
      </c>
      <c r="F338" t="s">
        <v>4040</v>
      </c>
      <c r="G338" t="str">
        <f>_xlfn.XLOOKUP(B338,tblVendors[VendorID],tblVendors[VendorName],"Unmapped")</f>
        <v>Cocoa World Inc.</v>
      </c>
      <c r="H338">
        <f t="shared" si="15"/>
        <v>30</v>
      </c>
      <c r="I338" s="1">
        <f t="shared" si="16"/>
        <v>17466.07</v>
      </c>
      <c r="J338" t="str">
        <f t="shared" ca="1" si="17"/>
        <v>Overdue</v>
      </c>
    </row>
    <row r="339" spans="1:10" x14ac:dyDescent="0.25">
      <c r="A339" t="s">
        <v>4235</v>
      </c>
      <c r="B339" t="s">
        <v>4042</v>
      </c>
      <c r="C339" s="3">
        <v>45890</v>
      </c>
      <c r="D339" s="3">
        <v>45920</v>
      </c>
      <c r="E339" s="1">
        <v>19635.73</v>
      </c>
      <c r="F339" t="s">
        <v>4037</v>
      </c>
      <c r="G339" t="str">
        <f>_xlfn.XLOOKUP(B339,tblVendors[VendorID],tblVendors[VendorName],"Unmapped")</f>
        <v>Cocoa World Inc.</v>
      </c>
      <c r="H339">
        <f t="shared" si="15"/>
        <v>30</v>
      </c>
      <c r="I339" s="1">
        <f t="shared" si="16"/>
        <v>0</v>
      </c>
      <c r="J339" t="str">
        <f t="shared" ca="1" si="17"/>
        <v>Paid</v>
      </c>
    </row>
    <row r="340" spans="1:10" x14ac:dyDescent="0.25">
      <c r="A340" t="s">
        <v>4284</v>
      </c>
      <c r="B340" t="s">
        <v>4042</v>
      </c>
      <c r="C340" s="3">
        <v>45890</v>
      </c>
      <c r="D340" s="3">
        <v>45920</v>
      </c>
      <c r="E340" s="1">
        <v>6729.34</v>
      </c>
      <c r="F340" t="s">
        <v>4037</v>
      </c>
      <c r="G340" t="str">
        <f>_xlfn.XLOOKUP(B340,tblVendors[VendorID],tblVendors[VendorName],"Unmapped")</f>
        <v>Cocoa World Inc.</v>
      </c>
      <c r="H340">
        <f t="shared" si="15"/>
        <v>30</v>
      </c>
      <c r="I340" s="1">
        <f t="shared" si="16"/>
        <v>0</v>
      </c>
      <c r="J340" t="str">
        <f t="shared" ca="1" si="17"/>
        <v>Paid</v>
      </c>
    </row>
    <row r="341" spans="1:10" x14ac:dyDescent="0.25">
      <c r="A341" t="s">
        <v>4328</v>
      </c>
      <c r="B341" t="s">
        <v>4047</v>
      </c>
      <c r="C341" s="3">
        <v>45890</v>
      </c>
      <c r="D341" s="3">
        <v>45920</v>
      </c>
      <c r="E341" s="1">
        <v>15379.13</v>
      </c>
      <c r="F341" t="s">
        <v>4037</v>
      </c>
      <c r="G341" t="str">
        <f>_xlfn.XLOOKUP(B341,tblVendors[VendorID],tblVendors[VendorName],"Unmapped")</f>
        <v>Global Sweeteners</v>
      </c>
      <c r="H341">
        <f t="shared" si="15"/>
        <v>30</v>
      </c>
      <c r="I341" s="1">
        <f t="shared" si="16"/>
        <v>0</v>
      </c>
      <c r="J341" t="str">
        <f t="shared" ca="1" si="17"/>
        <v>Paid</v>
      </c>
    </row>
    <row r="342" spans="1:10" x14ac:dyDescent="0.25">
      <c r="A342" t="s">
        <v>4385</v>
      </c>
      <c r="B342" t="s">
        <v>4042</v>
      </c>
      <c r="C342" s="3">
        <v>45890</v>
      </c>
      <c r="D342" s="3">
        <v>45920</v>
      </c>
      <c r="E342" s="1">
        <v>11370.1</v>
      </c>
      <c r="F342" t="s">
        <v>4040</v>
      </c>
      <c r="G342" t="str">
        <f>_xlfn.XLOOKUP(B342,tblVendors[VendorID],tblVendors[VendorName],"Unmapped")</f>
        <v>Cocoa World Inc.</v>
      </c>
      <c r="H342">
        <f t="shared" si="15"/>
        <v>30</v>
      </c>
      <c r="I342" s="1">
        <f t="shared" si="16"/>
        <v>11370.1</v>
      </c>
      <c r="J342" t="str">
        <f t="shared" ca="1" si="17"/>
        <v>Overdue</v>
      </c>
    </row>
    <row r="343" spans="1:10" x14ac:dyDescent="0.25">
      <c r="A343" t="s">
        <v>4322</v>
      </c>
      <c r="B343" t="s">
        <v>4047</v>
      </c>
      <c r="C343" s="3">
        <v>45894</v>
      </c>
      <c r="D343" s="3">
        <v>45924</v>
      </c>
      <c r="E343" s="1">
        <v>5461.76</v>
      </c>
      <c r="F343" t="s">
        <v>4037</v>
      </c>
      <c r="G343" t="str">
        <f>_xlfn.XLOOKUP(B343,tblVendors[VendorID],tblVendors[VendorName],"Unmapped")</f>
        <v>Global Sweeteners</v>
      </c>
      <c r="H343">
        <f t="shared" si="15"/>
        <v>30</v>
      </c>
      <c r="I343" s="1">
        <f t="shared" si="16"/>
        <v>0</v>
      </c>
      <c r="J343" t="str">
        <f t="shared" ca="1" si="17"/>
        <v>Paid</v>
      </c>
    </row>
    <row r="344" spans="1:10" x14ac:dyDescent="0.25">
      <c r="A344" t="s">
        <v>4536</v>
      </c>
      <c r="B344" t="s">
        <v>4062</v>
      </c>
      <c r="C344" s="3">
        <v>45895</v>
      </c>
      <c r="D344" s="3">
        <v>45925</v>
      </c>
      <c r="E344" s="1">
        <v>12090.48</v>
      </c>
      <c r="F344" t="s">
        <v>4040</v>
      </c>
      <c r="G344" t="str">
        <f>_xlfn.XLOOKUP(B344,tblVendors[VendorID],tblVendors[VendorName],"Unmapped")</f>
        <v>Packaging Pros</v>
      </c>
      <c r="H344">
        <f t="shared" si="15"/>
        <v>30</v>
      </c>
      <c r="I344" s="1">
        <f t="shared" si="16"/>
        <v>12090.48</v>
      </c>
      <c r="J344" t="str">
        <f t="shared" ca="1" si="17"/>
        <v>Overdue</v>
      </c>
    </row>
    <row r="345" spans="1:10" x14ac:dyDescent="0.25">
      <c r="A345" t="s">
        <v>4289</v>
      </c>
      <c r="B345" t="s">
        <v>4042</v>
      </c>
      <c r="C345" s="3">
        <v>45897</v>
      </c>
      <c r="D345" s="3">
        <v>45927</v>
      </c>
      <c r="E345" s="1">
        <v>2938.45</v>
      </c>
      <c r="F345" t="s">
        <v>4037</v>
      </c>
      <c r="G345" t="str">
        <f>_xlfn.XLOOKUP(B345,tblVendors[VendorID],tblVendors[VendorName],"Unmapped")</f>
        <v>Cocoa World Inc.</v>
      </c>
      <c r="H345">
        <f t="shared" si="15"/>
        <v>30</v>
      </c>
      <c r="I345" s="1">
        <f t="shared" si="16"/>
        <v>0</v>
      </c>
      <c r="J345" t="str">
        <f t="shared" ca="1" si="17"/>
        <v>Paid</v>
      </c>
    </row>
    <row r="346" spans="1:10" x14ac:dyDescent="0.25">
      <c r="A346" t="s">
        <v>4334</v>
      </c>
      <c r="B346" t="s">
        <v>4036</v>
      </c>
      <c r="C346" s="3">
        <v>45897</v>
      </c>
      <c r="D346" s="3">
        <v>45927</v>
      </c>
      <c r="E346" s="1">
        <v>7071.66</v>
      </c>
      <c r="F346" t="s">
        <v>4037</v>
      </c>
      <c r="G346" t="str">
        <f>_xlfn.XLOOKUP(B346,tblVendors[VendorID],tblVendors[VendorName],"Unmapped")</f>
        <v>Cloud Services LLC</v>
      </c>
      <c r="H346">
        <f t="shared" si="15"/>
        <v>30</v>
      </c>
      <c r="I346" s="1">
        <f t="shared" si="16"/>
        <v>0</v>
      </c>
      <c r="J346" t="str">
        <f t="shared" ca="1" si="17"/>
        <v>Paid</v>
      </c>
    </row>
    <row r="347" spans="1:10" x14ac:dyDescent="0.25">
      <c r="A347" t="s">
        <v>4144</v>
      </c>
      <c r="B347" t="s">
        <v>4039</v>
      </c>
      <c r="C347" s="3">
        <v>45898</v>
      </c>
      <c r="D347" s="3">
        <v>45928</v>
      </c>
      <c r="E347" s="1">
        <v>1740.84</v>
      </c>
      <c r="F347" t="s">
        <v>4037</v>
      </c>
      <c r="G347" t="str">
        <f>_xlfn.XLOOKUP(B347,tblVendors[VendorID],tblVendors[VendorName],"Unmapped")</f>
        <v>Dairy Farms United</v>
      </c>
      <c r="H347">
        <f t="shared" si="15"/>
        <v>30</v>
      </c>
      <c r="I347" s="1">
        <f t="shared" si="16"/>
        <v>0</v>
      </c>
      <c r="J347" t="str">
        <f t="shared" ca="1" si="17"/>
        <v>Paid</v>
      </c>
    </row>
    <row r="348" spans="1:10" x14ac:dyDescent="0.25">
      <c r="A348" t="s">
        <v>4135</v>
      </c>
      <c r="B348" t="s">
        <v>4042</v>
      </c>
      <c r="C348" s="3">
        <v>45902</v>
      </c>
      <c r="D348" s="3">
        <v>45932</v>
      </c>
      <c r="E348" s="1">
        <v>5905.59</v>
      </c>
      <c r="F348" t="s">
        <v>4037</v>
      </c>
      <c r="G348" t="str">
        <f>_xlfn.XLOOKUP(B348,tblVendors[VendorID],tblVendors[VendorName],"Unmapped")</f>
        <v>Cocoa World Inc.</v>
      </c>
      <c r="H348">
        <f t="shared" si="15"/>
        <v>30</v>
      </c>
      <c r="I348" s="1">
        <f t="shared" si="16"/>
        <v>0</v>
      </c>
      <c r="J348" t="str">
        <f t="shared" ca="1" si="17"/>
        <v>Paid</v>
      </c>
    </row>
    <row r="349" spans="1:10" x14ac:dyDescent="0.25">
      <c r="A349" t="s">
        <v>4464</v>
      </c>
      <c r="B349" t="s">
        <v>4062</v>
      </c>
      <c r="C349" s="3">
        <v>45908</v>
      </c>
      <c r="D349" s="3">
        <v>45938</v>
      </c>
      <c r="E349" s="1">
        <v>10320.200000000001</v>
      </c>
      <c r="F349" t="s">
        <v>4040</v>
      </c>
      <c r="G349" t="str">
        <f>_xlfn.XLOOKUP(B349,tblVendors[VendorID],tblVendors[VendorName],"Unmapped")</f>
        <v>Packaging Pros</v>
      </c>
      <c r="H349">
        <f t="shared" si="15"/>
        <v>30</v>
      </c>
      <c r="I349" s="1">
        <f t="shared" si="16"/>
        <v>10320.200000000001</v>
      </c>
      <c r="J349" t="str">
        <f t="shared" ca="1" si="17"/>
        <v>Overdue</v>
      </c>
    </row>
    <row r="350" spans="1:10" x14ac:dyDescent="0.25">
      <c r="A350" t="s">
        <v>4302</v>
      </c>
      <c r="B350" t="s">
        <v>4036</v>
      </c>
      <c r="C350" s="3">
        <v>45910</v>
      </c>
      <c r="D350" s="3">
        <v>45940</v>
      </c>
      <c r="E350" s="1">
        <v>6765.39</v>
      </c>
      <c r="F350" t="s">
        <v>4037</v>
      </c>
      <c r="G350" t="str">
        <f>_xlfn.XLOOKUP(B350,tblVendors[VendorID],tblVendors[VendorName],"Unmapped")</f>
        <v>Cloud Services LLC</v>
      </c>
      <c r="H350">
        <f t="shared" si="15"/>
        <v>30</v>
      </c>
      <c r="I350" s="1">
        <f t="shared" si="16"/>
        <v>0</v>
      </c>
      <c r="J350" t="str">
        <f t="shared" ca="1" si="17"/>
        <v>Paid</v>
      </c>
    </row>
    <row r="351" spans="1:10" x14ac:dyDescent="0.25">
      <c r="A351" t="s">
        <v>4445</v>
      </c>
      <c r="B351" t="s">
        <v>4062</v>
      </c>
      <c r="C351" s="3">
        <v>45912</v>
      </c>
      <c r="D351" s="3">
        <v>45942</v>
      </c>
      <c r="E351" s="1">
        <v>4700.6499999999996</v>
      </c>
      <c r="F351" t="s">
        <v>4037</v>
      </c>
      <c r="G351" t="str">
        <f>_xlfn.XLOOKUP(B351,tblVendors[VendorID],tblVendors[VendorName],"Unmapped")</f>
        <v>Packaging Pros</v>
      </c>
      <c r="H351">
        <f t="shared" si="15"/>
        <v>30</v>
      </c>
      <c r="I351" s="1">
        <f t="shared" si="16"/>
        <v>0</v>
      </c>
      <c r="J351" t="str">
        <f t="shared" ca="1" si="17"/>
        <v>Paid</v>
      </c>
    </row>
    <row r="352" spans="1:10" x14ac:dyDescent="0.25">
      <c r="A352" t="s">
        <v>4269</v>
      </c>
      <c r="B352" t="s">
        <v>4045</v>
      </c>
      <c r="C352" s="3">
        <v>45914</v>
      </c>
      <c r="D352" s="3">
        <v>45944</v>
      </c>
      <c r="E352" s="1">
        <v>5443.84</v>
      </c>
      <c r="F352" t="s">
        <v>4037</v>
      </c>
      <c r="G352" t="str">
        <f>_xlfn.XLOOKUP(B352,tblVendors[VendorID],tblVendors[VendorName],"Unmapped")</f>
        <v>Office Supplies Co.</v>
      </c>
      <c r="H352">
        <f t="shared" si="15"/>
        <v>30</v>
      </c>
      <c r="I352" s="1">
        <f t="shared" si="16"/>
        <v>0</v>
      </c>
      <c r="J352" t="str">
        <f t="shared" ca="1" si="17"/>
        <v>Paid</v>
      </c>
    </row>
    <row r="353" spans="1:10" x14ac:dyDescent="0.25">
      <c r="A353" t="s">
        <v>4509</v>
      </c>
      <c r="B353" t="s">
        <v>4062</v>
      </c>
      <c r="C353" s="3">
        <v>45914</v>
      </c>
      <c r="D353" s="3">
        <v>45944</v>
      </c>
      <c r="E353" s="1">
        <v>755.51</v>
      </c>
      <c r="F353" t="s">
        <v>4037</v>
      </c>
      <c r="G353" t="str">
        <f>_xlfn.XLOOKUP(B353,tblVendors[VendorID],tblVendors[VendorName],"Unmapped")</f>
        <v>Packaging Pros</v>
      </c>
      <c r="H353">
        <f t="shared" si="15"/>
        <v>30</v>
      </c>
      <c r="I353" s="1">
        <f t="shared" si="16"/>
        <v>0</v>
      </c>
      <c r="J353" t="str">
        <f t="shared" ca="1" si="17"/>
        <v>Paid</v>
      </c>
    </row>
    <row r="354" spans="1:10" x14ac:dyDescent="0.25">
      <c r="A354" t="s">
        <v>4126</v>
      </c>
      <c r="B354" t="s">
        <v>4062</v>
      </c>
      <c r="C354" s="3">
        <v>45915</v>
      </c>
      <c r="D354" s="3">
        <v>45945</v>
      </c>
      <c r="E354" s="1">
        <v>10691.06</v>
      </c>
      <c r="F354" t="s">
        <v>4040</v>
      </c>
      <c r="G354" t="str">
        <f>_xlfn.XLOOKUP(B354,tblVendors[VendorID],tblVendors[VendorName],"Unmapped")</f>
        <v>Packaging Pros</v>
      </c>
      <c r="H354">
        <f t="shared" si="15"/>
        <v>30</v>
      </c>
      <c r="I354" s="1">
        <f t="shared" si="16"/>
        <v>10691.06</v>
      </c>
      <c r="J354" t="str">
        <f t="shared" ca="1" si="17"/>
        <v>Overdue</v>
      </c>
    </row>
    <row r="355" spans="1:10" x14ac:dyDescent="0.25">
      <c r="A355" t="s">
        <v>4415</v>
      </c>
      <c r="B355" t="s">
        <v>4039</v>
      </c>
      <c r="C355" s="3">
        <v>45919</v>
      </c>
      <c r="D355" s="3">
        <v>45949</v>
      </c>
      <c r="E355" s="1">
        <v>6322.37</v>
      </c>
      <c r="F355" t="s">
        <v>4037</v>
      </c>
      <c r="G355" t="str">
        <f>_xlfn.XLOOKUP(B355,tblVendors[VendorID],tblVendors[VendorName],"Unmapped")</f>
        <v>Dairy Farms United</v>
      </c>
      <c r="H355">
        <f t="shared" si="15"/>
        <v>30</v>
      </c>
      <c r="I355" s="1">
        <f t="shared" si="16"/>
        <v>0</v>
      </c>
      <c r="J355" t="str">
        <f t="shared" ca="1" si="17"/>
        <v>Paid</v>
      </c>
    </row>
    <row r="356" spans="1:10" x14ac:dyDescent="0.25">
      <c r="A356" t="s">
        <v>4168</v>
      </c>
      <c r="B356" t="s">
        <v>4045</v>
      </c>
      <c r="C356" s="3">
        <v>45920</v>
      </c>
      <c r="D356" s="3">
        <v>45950</v>
      </c>
      <c r="E356" s="1">
        <v>15412.52</v>
      </c>
      <c r="F356" t="s">
        <v>4037</v>
      </c>
      <c r="G356" t="str">
        <f>_xlfn.XLOOKUP(B356,tblVendors[VendorID],tblVendors[VendorName],"Unmapped")</f>
        <v>Office Supplies Co.</v>
      </c>
      <c r="H356">
        <f t="shared" si="15"/>
        <v>30</v>
      </c>
      <c r="I356" s="1">
        <f t="shared" si="16"/>
        <v>0</v>
      </c>
      <c r="J356" t="str">
        <f t="shared" ca="1" si="17"/>
        <v>Paid</v>
      </c>
    </row>
    <row r="357" spans="1:10" x14ac:dyDescent="0.25">
      <c r="A357" t="s">
        <v>4300</v>
      </c>
      <c r="B357" t="s">
        <v>4062</v>
      </c>
      <c r="C357" s="3">
        <v>45920</v>
      </c>
      <c r="D357" s="3">
        <v>45950</v>
      </c>
      <c r="E357" s="1">
        <v>14745.61</v>
      </c>
      <c r="F357" t="s">
        <v>4037</v>
      </c>
      <c r="G357" t="str">
        <f>_xlfn.XLOOKUP(B357,tblVendors[VendorID],tblVendors[VendorName],"Unmapped")</f>
        <v>Packaging Pros</v>
      </c>
      <c r="H357">
        <f t="shared" si="15"/>
        <v>30</v>
      </c>
      <c r="I357" s="1">
        <f t="shared" si="16"/>
        <v>0</v>
      </c>
      <c r="J357" t="str">
        <f t="shared" ca="1" si="17"/>
        <v>Paid</v>
      </c>
    </row>
    <row r="358" spans="1:10" x14ac:dyDescent="0.25">
      <c r="A358" t="s">
        <v>4305</v>
      </c>
      <c r="B358" t="s">
        <v>4045</v>
      </c>
      <c r="C358" s="3">
        <v>45923</v>
      </c>
      <c r="D358" s="3">
        <v>45953</v>
      </c>
      <c r="E358" s="1">
        <v>19310.189999999999</v>
      </c>
      <c r="F358" t="s">
        <v>4037</v>
      </c>
      <c r="G358" t="str">
        <f>_xlfn.XLOOKUP(B358,tblVendors[VendorID],tblVendors[VendorName],"Unmapped")</f>
        <v>Office Supplies Co.</v>
      </c>
      <c r="H358">
        <f t="shared" si="15"/>
        <v>30</v>
      </c>
      <c r="I358" s="1">
        <f t="shared" si="16"/>
        <v>0</v>
      </c>
      <c r="J358" t="str">
        <f t="shared" ca="1" si="17"/>
        <v>Paid</v>
      </c>
    </row>
    <row r="359" spans="1:10" x14ac:dyDescent="0.25">
      <c r="A359" t="s">
        <v>4177</v>
      </c>
      <c r="B359" t="s">
        <v>4039</v>
      </c>
      <c r="C359" s="3">
        <v>45926</v>
      </c>
      <c r="D359" s="3">
        <v>45956</v>
      </c>
      <c r="E359" s="1">
        <v>12571.65</v>
      </c>
      <c r="F359" t="s">
        <v>4037</v>
      </c>
      <c r="G359" t="str">
        <f>_xlfn.XLOOKUP(B359,tblVendors[VendorID],tblVendors[VendorName],"Unmapped")</f>
        <v>Dairy Farms United</v>
      </c>
      <c r="H359">
        <f t="shared" si="15"/>
        <v>30</v>
      </c>
      <c r="I359" s="1">
        <f t="shared" si="16"/>
        <v>0</v>
      </c>
      <c r="J359" t="str">
        <f t="shared" ca="1" si="17"/>
        <v>Paid</v>
      </c>
    </row>
    <row r="360" spans="1:10" x14ac:dyDescent="0.25">
      <c r="A360" t="s">
        <v>4043</v>
      </c>
      <c r="B360" t="s">
        <v>4036</v>
      </c>
      <c r="C360" s="3">
        <v>45929</v>
      </c>
      <c r="D360" s="3">
        <v>45959</v>
      </c>
      <c r="E360" s="1">
        <v>11228.89</v>
      </c>
      <c r="F360" t="s">
        <v>4037</v>
      </c>
      <c r="G360" t="str">
        <f>_xlfn.XLOOKUP(B360,tblVendors[VendorID],tblVendors[VendorName],"Unmapped")</f>
        <v>Cloud Services LLC</v>
      </c>
      <c r="H360">
        <f t="shared" si="15"/>
        <v>30</v>
      </c>
      <c r="I360" s="1">
        <f t="shared" si="16"/>
        <v>0</v>
      </c>
      <c r="J360" t="str">
        <f t="shared" ca="1" si="17"/>
        <v>Paid</v>
      </c>
    </row>
    <row r="361" spans="1:10" x14ac:dyDescent="0.25">
      <c r="A361" t="s">
        <v>4418</v>
      </c>
      <c r="B361" t="s">
        <v>4039</v>
      </c>
      <c r="C361" s="3">
        <v>45937</v>
      </c>
      <c r="D361" s="3">
        <v>45967</v>
      </c>
      <c r="E361" s="1">
        <v>2946.72</v>
      </c>
      <c r="F361" t="s">
        <v>4040</v>
      </c>
      <c r="G361" t="str">
        <f>_xlfn.XLOOKUP(B361,tblVendors[VendorID],tblVendors[VendorName],"Unmapped")</f>
        <v>Dairy Farms United</v>
      </c>
      <c r="H361">
        <f t="shared" si="15"/>
        <v>30</v>
      </c>
      <c r="I361" s="1">
        <f t="shared" si="16"/>
        <v>2946.72</v>
      </c>
      <c r="J361" t="str">
        <f t="shared" ca="1" si="17"/>
        <v>Overdue</v>
      </c>
    </row>
    <row r="362" spans="1:10" x14ac:dyDescent="0.25">
      <c r="A362" t="s">
        <v>4118</v>
      </c>
      <c r="B362" t="s">
        <v>4045</v>
      </c>
      <c r="C362" s="3">
        <v>45940</v>
      </c>
      <c r="D362" s="3">
        <v>45970</v>
      </c>
      <c r="E362" s="1">
        <v>2970.46</v>
      </c>
      <c r="F362" t="s">
        <v>4037</v>
      </c>
      <c r="G362" t="str">
        <f>_xlfn.XLOOKUP(B362,tblVendors[VendorID],tblVendors[VendorName],"Unmapped")</f>
        <v>Office Supplies Co.</v>
      </c>
      <c r="H362">
        <f t="shared" si="15"/>
        <v>30</v>
      </c>
      <c r="I362" s="1">
        <f t="shared" si="16"/>
        <v>0</v>
      </c>
      <c r="J362" t="str">
        <f t="shared" ca="1" si="17"/>
        <v>Paid</v>
      </c>
    </row>
    <row r="363" spans="1:10" x14ac:dyDescent="0.25">
      <c r="A363" t="s">
        <v>4424</v>
      </c>
      <c r="B363" t="s">
        <v>4062</v>
      </c>
      <c r="C363" s="3">
        <v>45944</v>
      </c>
      <c r="D363" s="3">
        <v>45974</v>
      </c>
      <c r="E363" s="1">
        <v>8299.7800000000007</v>
      </c>
      <c r="F363" t="s">
        <v>4040</v>
      </c>
      <c r="G363" t="str">
        <f>_xlfn.XLOOKUP(B363,tblVendors[VendorID],tblVendors[VendorName],"Unmapped")</f>
        <v>Packaging Pros</v>
      </c>
      <c r="H363">
        <f t="shared" si="15"/>
        <v>30</v>
      </c>
      <c r="I363" s="1">
        <f t="shared" si="16"/>
        <v>8299.7800000000007</v>
      </c>
      <c r="J363" t="str">
        <f t="shared" ca="1" si="17"/>
        <v>Overdue</v>
      </c>
    </row>
    <row r="364" spans="1:10" x14ac:dyDescent="0.25">
      <c r="A364" t="s">
        <v>4179</v>
      </c>
      <c r="B364" t="s">
        <v>4036</v>
      </c>
      <c r="C364" s="3">
        <v>45947</v>
      </c>
      <c r="D364" s="3">
        <v>45977</v>
      </c>
      <c r="E364" s="1">
        <v>8698.6200000000008</v>
      </c>
      <c r="F364" t="s">
        <v>4037</v>
      </c>
      <c r="G364" t="str">
        <f>_xlfn.XLOOKUP(B364,tblVendors[VendorID],tblVendors[VendorName],"Unmapped")</f>
        <v>Cloud Services LLC</v>
      </c>
      <c r="H364">
        <f t="shared" si="15"/>
        <v>30</v>
      </c>
      <c r="I364" s="1">
        <f t="shared" si="16"/>
        <v>0</v>
      </c>
      <c r="J364" t="str">
        <f t="shared" ca="1" si="17"/>
        <v>Paid</v>
      </c>
    </row>
    <row r="365" spans="1:10" x14ac:dyDescent="0.25">
      <c r="A365" t="s">
        <v>4388</v>
      </c>
      <c r="B365" t="s">
        <v>4062</v>
      </c>
      <c r="C365" s="3">
        <v>45951</v>
      </c>
      <c r="D365" s="3">
        <v>45981</v>
      </c>
      <c r="E365" s="1">
        <v>1256.4000000000001</v>
      </c>
      <c r="F365" t="s">
        <v>4037</v>
      </c>
      <c r="G365" t="str">
        <f>_xlfn.XLOOKUP(B365,tblVendors[VendorID],tblVendors[VendorName],"Unmapped")</f>
        <v>Packaging Pros</v>
      </c>
      <c r="H365">
        <f t="shared" si="15"/>
        <v>30</v>
      </c>
      <c r="I365" s="1">
        <f t="shared" si="16"/>
        <v>0</v>
      </c>
      <c r="J365" t="str">
        <f t="shared" ca="1" si="17"/>
        <v>Paid</v>
      </c>
    </row>
    <row r="366" spans="1:10" x14ac:dyDescent="0.25">
      <c r="A366" t="s">
        <v>4056</v>
      </c>
      <c r="B366" t="s">
        <v>4047</v>
      </c>
      <c r="C366" s="3">
        <v>45953</v>
      </c>
      <c r="D366" s="3">
        <v>45983</v>
      </c>
      <c r="E366" s="1">
        <v>7058.2</v>
      </c>
      <c r="F366" t="s">
        <v>4037</v>
      </c>
      <c r="G366" t="str">
        <f>_xlfn.XLOOKUP(B366,tblVendors[VendorID],tblVendors[VendorName],"Unmapped")</f>
        <v>Global Sweeteners</v>
      </c>
      <c r="H366">
        <f t="shared" si="15"/>
        <v>30</v>
      </c>
      <c r="I366" s="1">
        <f t="shared" si="16"/>
        <v>0</v>
      </c>
      <c r="J366" t="str">
        <f t="shared" ca="1" si="17"/>
        <v>Paid</v>
      </c>
    </row>
    <row r="367" spans="1:10" x14ac:dyDescent="0.25">
      <c r="A367" t="s">
        <v>4343</v>
      </c>
      <c r="B367" t="s">
        <v>4062</v>
      </c>
      <c r="C367" s="3">
        <v>45956</v>
      </c>
      <c r="D367" s="3">
        <v>45986</v>
      </c>
      <c r="E367" s="1">
        <v>5664.06</v>
      </c>
      <c r="F367" t="s">
        <v>4037</v>
      </c>
      <c r="G367" t="str">
        <f>_xlfn.XLOOKUP(B367,tblVendors[VendorID],tblVendors[VendorName],"Unmapped")</f>
        <v>Packaging Pros</v>
      </c>
      <c r="H367">
        <f t="shared" si="15"/>
        <v>30</v>
      </c>
      <c r="I367" s="1">
        <f t="shared" si="16"/>
        <v>0</v>
      </c>
      <c r="J367" t="str">
        <f t="shared" ca="1" si="17"/>
        <v>Paid</v>
      </c>
    </row>
    <row r="368" spans="1:10" x14ac:dyDescent="0.25">
      <c r="A368" t="s">
        <v>4209</v>
      </c>
      <c r="B368" t="s">
        <v>4045</v>
      </c>
      <c r="C368" s="3">
        <v>45960</v>
      </c>
      <c r="D368" s="3">
        <v>45990</v>
      </c>
      <c r="E368" s="1">
        <v>12742.54</v>
      </c>
      <c r="F368" t="s">
        <v>4037</v>
      </c>
      <c r="G368" t="str">
        <f>_xlfn.XLOOKUP(B368,tblVendors[VendorID],tblVendors[VendorName],"Unmapped")</f>
        <v>Office Supplies Co.</v>
      </c>
      <c r="H368">
        <f t="shared" si="15"/>
        <v>30</v>
      </c>
      <c r="I368" s="1">
        <f t="shared" si="16"/>
        <v>0</v>
      </c>
      <c r="J368" t="str">
        <f t="shared" ca="1" si="17"/>
        <v>Paid</v>
      </c>
    </row>
    <row r="369" spans="1:10" x14ac:dyDescent="0.25">
      <c r="A369" t="s">
        <v>4313</v>
      </c>
      <c r="B369" t="s">
        <v>4039</v>
      </c>
      <c r="C369" s="3">
        <v>45961</v>
      </c>
      <c r="D369" s="3">
        <v>45991</v>
      </c>
      <c r="E369" s="1">
        <v>15268.01</v>
      </c>
      <c r="F369" t="s">
        <v>4037</v>
      </c>
      <c r="G369" t="str">
        <f>_xlfn.XLOOKUP(B369,tblVendors[VendorID],tblVendors[VendorName],"Unmapped")</f>
        <v>Dairy Farms United</v>
      </c>
      <c r="H369">
        <f t="shared" si="15"/>
        <v>30</v>
      </c>
      <c r="I369" s="1">
        <f t="shared" si="16"/>
        <v>0</v>
      </c>
      <c r="J369" t="str">
        <f t="shared" ca="1" si="17"/>
        <v>Paid</v>
      </c>
    </row>
    <row r="370" spans="1:10" x14ac:dyDescent="0.25">
      <c r="A370" t="s">
        <v>4490</v>
      </c>
      <c r="B370" t="s">
        <v>4047</v>
      </c>
      <c r="C370" s="3">
        <v>45964</v>
      </c>
      <c r="D370" s="3">
        <v>45994</v>
      </c>
      <c r="E370" s="1">
        <v>4953.8599999999997</v>
      </c>
      <c r="F370" t="s">
        <v>4037</v>
      </c>
      <c r="G370" t="str">
        <f>_xlfn.XLOOKUP(B370,tblVendors[VendorID],tblVendors[VendorName],"Unmapped")</f>
        <v>Global Sweeteners</v>
      </c>
      <c r="H370">
        <f t="shared" si="15"/>
        <v>30</v>
      </c>
      <c r="I370" s="1">
        <f t="shared" si="16"/>
        <v>0</v>
      </c>
      <c r="J370" t="str">
        <f t="shared" ca="1" si="17"/>
        <v>Paid</v>
      </c>
    </row>
    <row r="371" spans="1:10" x14ac:dyDescent="0.25">
      <c r="A371" t="s">
        <v>4496</v>
      </c>
      <c r="B371" t="s">
        <v>4062</v>
      </c>
      <c r="C371" s="3">
        <v>45968</v>
      </c>
      <c r="D371" s="3">
        <v>45998</v>
      </c>
      <c r="E371" s="1">
        <v>1122.82</v>
      </c>
      <c r="F371" t="s">
        <v>4040</v>
      </c>
      <c r="G371" t="str">
        <f>_xlfn.XLOOKUP(B371,tblVendors[VendorID],tblVendors[VendorName],"Unmapped")</f>
        <v>Packaging Pros</v>
      </c>
      <c r="H371">
        <f t="shared" si="15"/>
        <v>30</v>
      </c>
      <c r="I371" s="1">
        <f t="shared" si="16"/>
        <v>1122.82</v>
      </c>
      <c r="J371" t="str">
        <f t="shared" ca="1" si="17"/>
        <v>Overdue</v>
      </c>
    </row>
    <row r="372" spans="1:10" x14ac:dyDescent="0.25">
      <c r="A372" t="s">
        <v>4383</v>
      </c>
      <c r="B372" t="s">
        <v>4042</v>
      </c>
      <c r="C372" s="3">
        <v>45970</v>
      </c>
      <c r="D372" s="3">
        <v>46000</v>
      </c>
      <c r="E372" s="1">
        <v>18703.03</v>
      </c>
      <c r="F372" t="s">
        <v>4037</v>
      </c>
      <c r="G372" t="str">
        <f>_xlfn.XLOOKUP(B372,tblVendors[VendorID],tblVendors[VendorName],"Unmapped")</f>
        <v>Cocoa World Inc.</v>
      </c>
      <c r="H372">
        <f t="shared" si="15"/>
        <v>30</v>
      </c>
      <c r="I372" s="1">
        <f t="shared" si="16"/>
        <v>0</v>
      </c>
      <c r="J372" t="str">
        <f t="shared" ca="1" si="17"/>
        <v>Paid</v>
      </c>
    </row>
    <row r="373" spans="1:10" x14ac:dyDescent="0.25">
      <c r="A373" t="s">
        <v>4492</v>
      </c>
      <c r="B373" t="s">
        <v>4045</v>
      </c>
      <c r="C373" s="3">
        <v>45972</v>
      </c>
      <c r="D373" s="3">
        <v>46002</v>
      </c>
      <c r="E373" s="1">
        <v>3900.35</v>
      </c>
      <c r="F373" t="s">
        <v>4037</v>
      </c>
      <c r="G373" t="str">
        <f>_xlfn.XLOOKUP(B373,tblVendors[VendorID],tblVendors[VendorName],"Unmapped")</f>
        <v>Office Supplies Co.</v>
      </c>
      <c r="H373">
        <f t="shared" si="15"/>
        <v>30</v>
      </c>
      <c r="I373" s="1">
        <f t="shared" si="16"/>
        <v>0</v>
      </c>
      <c r="J373" t="str">
        <f t="shared" ca="1" si="17"/>
        <v>Paid</v>
      </c>
    </row>
    <row r="374" spans="1:10" x14ac:dyDescent="0.25">
      <c r="A374" t="s">
        <v>4342</v>
      </c>
      <c r="B374" t="s">
        <v>4039</v>
      </c>
      <c r="C374" s="3">
        <v>45974</v>
      </c>
      <c r="D374" s="3">
        <v>46004</v>
      </c>
      <c r="E374" s="1">
        <v>12312.19</v>
      </c>
      <c r="F374" t="s">
        <v>4037</v>
      </c>
      <c r="G374" t="str">
        <f>_xlfn.XLOOKUP(B374,tblVendors[VendorID],tblVendors[VendorName],"Unmapped")</f>
        <v>Dairy Farms United</v>
      </c>
      <c r="H374">
        <f t="shared" si="15"/>
        <v>30</v>
      </c>
      <c r="I374" s="1">
        <f t="shared" si="16"/>
        <v>0</v>
      </c>
      <c r="J374" t="str">
        <f t="shared" ca="1" si="17"/>
        <v>Paid</v>
      </c>
    </row>
    <row r="375" spans="1:10" x14ac:dyDescent="0.25">
      <c r="A375" t="s">
        <v>4130</v>
      </c>
      <c r="B375" t="s">
        <v>4045</v>
      </c>
      <c r="C375" s="3">
        <v>45975</v>
      </c>
      <c r="D375" s="3">
        <v>46005</v>
      </c>
      <c r="E375" s="1">
        <v>5315.92</v>
      </c>
      <c r="F375" t="s">
        <v>4037</v>
      </c>
      <c r="G375" t="str">
        <f>_xlfn.XLOOKUP(B375,tblVendors[VendorID],tblVendors[VendorName],"Unmapped")</f>
        <v>Office Supplies Co.</v>
      </c>
      <c r="H375">
        <f t="shared" si="15"/>
        <v>30</v>
      </c>
      <c r="I375" s="1">
        <f t="shared" si="16"/>
        <v>0</v>
      </c>
      <c r="J375" t="str">
        <f t="shared" ca="1" si="17"/>
        <v>Paid</v>
      </c>
    </row>
    <row r="376" spans="1:10" x14ac:dyDescent="0.25">
      <c r="A376" t="s">
        <v>4535</v>
      </c>
      <c r="B376" t="s">
        <v>4042</v>
      </c>
      <c r="C376" s="3">
        <v>45977</v>
      </c>
      <c r="D376" s="3">
        <v>46007</v>
      </c>
      <c r="E376" s="1">
        <v>669.31</v>
      </c>
      <c r="F376" t="s">
        <v>4037</v>
      </c>
      <c r="G376" t="str">
        <f>_xlfn.XLOOKUP(B376,tblVendors[VendorID],tblVendors[VendorName],"Unmapped")</f>
        <v>Cocoa World Inc.</v>
      </c>
      <c r="H376">
        <f t="shared" si="15"/>
        <v>30</v>
      </c>
      <c r="I376" s="1">
        <f t="shared" si="16"/>
        <v>0</v>
      </c>
      <c r="J376" t="str">
        <f t="shared" ca="1" si="17"/>
        <v>Paid</v>
      </c>
    </row>
    <row r="377" spans="1:10" x14ac:dyDescent="0.25">
      <c r="A377" t="s">
        <v>4095</v>
      </c>
      <c r="B377" t="s">
        <v>4047</v>
      </c>
      <c r="C377" s="3">
        <v>45979</v>
      </c>
      <c r="D377" s="3">
        <v>46009</v>
      </c>
      <c r="E377" s="1">
        <v>14893.88</v>
      </c>
      <c r="F377" t="s">
        <v>4040</v>
      </c>
      <c r="G377" t="str">
        <f>_xlfn.XLOOKUP(B377,tblVendors[VendorID],tblVendors[VendorName],"Unmapped")</f>
        <v>Global Sweeteners</v>
      </c>
      <c r="H377">
        <f t="shared" si="15"/>
        <v>30</v>
      </c>
      <c r="I377" s="1">
        <f t="shared" si="16"/>
        <v>14893.88</v>
      </c>
      <c r="J377" t="str">
        <f t="shared" ca="1" si="17"/>
        <v>Overdue</v>
      </c>
    </row>
    <row r="378" spans="1:10" x14ac:dyDescent="0.25">
      <c r="A378" t="s">
        <v>4340</v>
      </c>
      <c r="B378" t="s">
        <v>4047</v>
      </c>
      <c r="C378" s="3">
        <v>45979</v>
      </c>
      <c r="D378" s="3">
        <v>46009</v>
      </c>
      <c r="E378" s="1">
        <v>15715.02</v>
      </c>
      <c r="F378" t="s">
        <v>4040</v>
      </c>
      <c r="G378" t="str">
        <f>_xlfn.XLOOKUP(B378,tblVendors[VendorID],tblVendors[VendorName],"Unmapped")</f>
        <v>Global Sweeteners</v>
      </c>
      <c r="H378">
        <f t="shared" si="15"/>
        <v>30</v>
      </c>
      <c r="I378" s="1">
        <f t="shared" si="16"/>
        <v>15715.02</v>
      </c>
      <c r="J378" t="str">
        <f t="shared" ca="1" si="17"/>
        <v>Overdue</v>
      </c>
    </row>
    <row r="379" spans="1:10" x14ac:dyDescent="0.25">
      <c r="A379" t="s">
        <v>4275</v>
      </c>
      <c r="B379" t="s">
        <v>4042</v>
      </c>
      <c r="C379" s="3">
        <v>45980</v>
      </c>
      <c r="D379" s="3">
        <v>46010</v>
      </c>
      <c r="E379" s="1">
        <v>1635.11</v>
      </c>
      <c r="F379" t="s">
        <v>4037</v>
      </c>
      <c r="G379" t="str">
        <f>_xlfn.XLOOKUP(B379,tblVendors[VendorID],tblVendors[VendorName],"Unmapped")</f>
        <v>Cocoa World Inc.</v>
      </c>
      <c r="H379">
        <f t="shared" si="15"/>
        <v>30</v>
      </c>
      <c r="I379" s="1">
        <f t="shared" si="16"/>
        <v>0</v>
      </c>
      <c r="J379" t="str">
        <f t="shared" ca="1" si="17"/>
        <v>Paid</v>
      </c>
    </row>
    <row r="380" spans="1:10" x14ac:dyDescent="0.25">
      <c r="A380" t="s">
        <v>4332</v>
      </c>
      <c r="B380" t="s">
        <v>4039</v>
      </c>
      <c r="C380" s="3">
        <v>45982</v>
      </c>
      <c r="D380" s="3">
        <v>46012</v>
      </c>
      <c r="E380" s="1">
        <v>4050.23</v>
      </c>
      <c r="F380" t="s">
        <v>4037</v>
      </c>
      <c r="G380" t="str">
        <f>_xlfn.XLOOKUP(B380,tblVendors[VendorID],tblVendors[VendorName],"Unmapped")</f>
        <v>Dairy Farms United</v>
      </c>
      <c r="H380">
        <f t="shared" si="15"/>
        <v>30</v>
      </c>
      <c r="I380" s="1">
        <f t="shared" si="16"/>
        <v>0</v>
      </c>
      <c r="J380" t="str">
        <f t="shared" ca="1" si="17"/>
        <v>Paid</v>
      </c>
    </row>
    <row r="381" spans="1:10" x14ac:dyDescent="0.25">
      <c r="A381" t="s">
        <v>4256</v>
      </c>
      <c r="B381" t="s">
        <v>4045</v>
      </c>
      <c r="C381" s="3">
        <v>45984</v>
      </c>
      <c r="D381" s="3">
        <v>46014</v>
      </c>
      <c r="E381" s="1">
        <v>3937.64</v>
      </c>
      <c r="F381" t="s">
        <v>4037</v>
      </c>
      <c r="G381" t="str">
        <f>_xlfn.XLOOKUP(B381,tblVendors[VendorID],tblVendors[VendorName],"Unmapped")</f>
        <v>Office Supplies Co.</v>
      </c>
      <c r="H381">
        <f t="shared" si="15"/>
        <v>30</v>
      </c>
      <c r="I381" s="1">
        <f t="shared" si="16"/>
        <v>0</v>
      </c>
      <c r="J381" t="str">
        <f t="shared" ca="1" si="17"/>
        <v>Paid</v>
      </c>
    </row>
    <row r="382" spans="1:10" x14ac:dyDescent="0.25">
      <c r="A382" t="s">
        <v>4502</v>
      </c>
      <c r="B382" t="s">
        <v>4047</v>
      </c>
      <c r="C382" s="3">
        <v>45984</v>
      </c>
      <c r="D382" s="3">
        <v>46014</v>
      </c>
      <c r="E382" s="1">
        <v>19006.37</v>
      </c>
      <c r="F382" t="s">
        <v>4037</v>
      </c>
      <c r="G382" t="str">
        <f>_xlfn.XLOOKUP(B382,tblVendors[VendorID],tblVendors[VendorName],"Unmapped")</f>
        <v>Global Sweeteners</v>
      </c>
      <c r="H382">
        <f t="shared" si="15"/>
        <v>30</v>
      </c>
      <c r="I382" s="1">
        <f t="shared" si="16"/>
        <v>0</v>
      </c>
      <c r="J382" t="str">
        <f t="shared" ca="1" si="17"/>
        <v>Paid</v>
      </c>
    </row>
    <row r="383" spans="1:10" x14ac:dyDescent="0.25">
      <c r="A383" t="s">
        <v>4503</v>
      </c>
      <c r="B383" t="s">
        <v>4047</v>
      </c>
      <c r="C383" s="3">
        <v>45988</v>
      </c>
      <c r="D383" s="3">
        <v>46018</v>
      </c>
      <c r="E383" s="1">
        <v>3064.09</v>
      </c>
      <c r="F383" t="s">
        <v>4037</v>
      </c>
      <c r="G383" t="str">
        <f>_xlfn.XLOOKUP(B383,tblVendors[VendorID],tblVendors[VendorName],"Unmapped")</f>
        <v>Global Sweeteners</v>
      </c>
      <c r="H383">
        <f t="shared" si="15"/>
        <v>30</v>
      </c>
      <c r="I383" s="1">
        <f t="shared" si="16"/>
        <v>0</v>
      </c>
      <c r="J383" t="str">
        <f t="shared" ca="1" si="17"/>
        <v>Paid</v>
      </c>
    </row>
    <row r="384" spans="1:10" x14ac:dyDescent="0.25">
      <c r="A384" t="s">
        <v>4426</v>
      </c>
      <c r="B384" t="s">
        <v>4042</v>
      </c>
      <c r="C384" s="3">
        <v>45992</v>
      </c>
      <c r="D384" s="3">
        <v>46022</v>
      </c>
      <c r="E384" s="1">
        <v>18154.169999999998</v>
      </c>
      <c r="F384" t="s">
        <v>4037</v>
      </c>
      <c r="G384" t="str">
        <f>_xlfn.XLOOKUP(B384,tblVendors[VendorID],tblVendors[VendorName],"Unmapped")</f>
        <v>Cocoa World Inc.</v>
      </c>
      <c r="H384">
        <f t="shared" si="15"/>
        <v>30</v>
      </c>
      <c r="I384" s="1">
        <f t="shared" si="16"/>
        <v>0</v>
      </c>
      <c r="J384" t="str">
        <f t="shared" ca="1" si="17"/>
        <v>Paid</v>
      </c>
    </row>
    <row r="385" spans="1:10" x14ac:dyDescent="0.25">
      <c r="A385" t="s">
        <v>4324</v>
      </c>
      <c r="B385" t="s">
        <v>4045</v>
      </c>
      <c r="C385" s="3">
        <v>45993</v>
      </c>
      <c r="D385" s="3">
        <v>46023</v>
      </c>
      <c r="E385" s="1">
        <v>18132.87</v>
      </c>
      <c r="F385" t="s">
        <v>4037</v>
      </c>
      <c r="G385" t="str">
        <f>_xlfn.XLOOKUP(B385,tblVendors[VendorID],tblVendors[VendorName],"Unmapped")</f>
        <v>Office Supplies Co.</v>
      </c>
      <c r="H385">
        <f t="shared" si="15"/>
        <v>30</v>
      </c>
      <c r="I385" s="1">
        <f t="shared" si="16"/>
        <v>0</v>
      </c>
      <c r="J385" t="str">
        <f t="shared" ca="1" si="17"/>
        <v>Paid</v>
      </c>
    </row>
    <row r="386" spans="1:10" x14ac:dyDescent="0.25">
      <c r="A386" t="s">
        <v>4288</v>
      </c>
      <c r="B386" t="s">
        <v>4039</v>
      </c>
      <c r="C386" s="3">
        <v>45995</v>
      </c>
      <c r="D386" s="3">
        <v>46025</v>
      </c>
      <c r="E386" s="1">
        <v>7515.88</v>
      </c>
      <c r="F386" t="s">
        <v>4037</v>
      </c>
      <c r="G386" t="str">
        <f>_xlfn.XLOOKUP(B386,tblVendors[VendorID],tblVendors[VendorName],"Unmapped")</f>
        <v>Dairy Farms United</v>
      </c>
      <c r="H386">
        <f t="shared" ref="H386:H449" si="18">D386-C386</f>
        <v>30</v>
      </c>
      <c r="I386" s="1">
        <f t="shared" ref="I386:I449" si="19">IF(F386="Unpaid",E386,0)</f>
        <v>0</v>
      </c>
      <c r="J386" t="str">
        <f t="shared" ref="J386:J449" ca="1" si="20">IF(F386="Paid","Paid",IF(D386&lt;TODAY(),"Overdue","Open"))</f>
        <v>Paid</v>
      </c>
    </row>
    <row r="387" spans="1:10" x14ac:dyDescent="0.25">
      <c r="A387" t="s">
        <v>4360</v>
      </c>
      <c r="B387" t="s">
        <v>4036</v>
      </c>
      <c r="C387" s="3">
        <v>45997</v>
      </c>
      <c r="D387" s="3">
        <v>46027</v>
      </c>
      <c r="E387" s="1">
        <v>10512.78</v>
      </c>
      <c r="F387" t="s">
        <v>4037</v>
      </c>
      <c r="G387" t="str">
        <f>_xlfn.XLOOKUP(B387,tblVendors[VendorID],tblVendors[VendorName],"Unmapped")</f>
        <v>Cloud Services LLC</v>
      </c>
      <c r="H387">
        <f t="shared" si="18"/>
        <v>30</v>
      </c>
      <c r="I387" s="1">
        <f t="shared" si="19"/>
        <v>0</v>
      </c>
      <c r="J387" t="str">
        <f t="shared" ca="1" si="20"/>
        <v>Paid</v>
      </c>
    </row>
    <row r="388" spans="1:10" x14ac:dyDescent="0.25">
      <c r="A388" t="s">
        <v>4078</v>
      </c>
      <c r="B388" t="s">
        <v>4062</v>
      </c>
      <c r="C388" s="3">
        <v>46000</v>
      </c>
      <c r="D388" s="3">
        <v>46030</v>
      </c>
      <c r="E388" s="1">
        <v>7316.27</v>
      </c>
      <c r="F388" t="s">
        <v>4037</v>
      </c>
      <c r="G388" t="str">
        <f>_xlfn.XLOOKUP(B388,tblVendors[VendorID],tblVendors[VendorName],"Unmapped")</f>
        <v>Packaging Pros</v>
      </c>
      <c r="H388">
        <f t="shared" si="18"/>
        <v>30</v>
      </c>
      <c r="I388" s="1">
        <f t="shared" si="19"/>
        <v>0</v>
      </c>
      <c r="J388" t="str">
        <f t="shared" ca="1" si="20"/>
        <v>Paid</v>
      </c>
    </row>
    <row r="389" spans="1:10" x14ac:dyDescent="0.25">
      <c r="A389" t="s">
        <v>4233</v>
      </c>
      <c r="B389" t="s">
        <v>4047</v>
      </c>
      <c r="C389" s="3">
        <v>46003</v>
      </c>
      <c r="D389" s="3">
        <v>46033</v>
      </c>
      <c r="E389" s="1">
        <v>19903.47</v>
      </c>
      <c r="F389" t="s">
        <v>4037</v>
      </c>
      <c r="G389" t="str">
        <f>_xlfn.XLOOKUP(B389,tblVendors[VendorID],tblVendors[VendorName],"Unmapped")</f>
        <v>Global Sweeteners</v>
      </c>
      <c r="H389">
        <f t="shared" si="18"/>
        <v>30</v>
      </c>
      <c r="I389" s="1">
        <f t="shared" si="19"/>
        <v>0</v>
      </c>
      <c r="J389" t="str">
        <f t="shared" ca="1" si="20"/>
        <v>Paid</v>
      </c>
    </row>
    <row r="390" spans="1:10" x14ac:dyDescent="0.25">
      <c r="A390" t="s">
        <v>4175</v>
      </c>
      <c r="B390" t="s">
        <v>4062</v>
      </c>
      <c r="C390" s="3">
        <v>46004</v>
      </c>
      <c r="D390" s="3">
        <v>46034</v>
      </c>
      <c r="E390" s="1">
        <v>15960.27</v>
      </c>
      <c r="F390" t="s">
        <v>4037</v>
      </c>
      <c r="G390" t="str">
        <f>_xlfn.XLOOKUP(B390,tblVendors[VendorID],tblVendors[VendorName],"Unmapped")</f>
        <v>Packaging Pros</v>
      </c>
      <c r="H390">
        <f t="shared" si="18"/>
        <v>30</v>
      </c>
      <c r="I390" s="1">
        <f t="shared" si="19"/>
        <v>0</v>
      </c>
      <c r="J390" t="str">
        <f t="shared" ca="1" si="20"/>
        <v>Paid</v>
      </c>
    </row>
    <row r="391" spans="1:10" x14ac:dyDescent="0.25">
      <c r="A391" t="s">
        <v>4224</v>
      </c>
      <c r="B391" t="s">
        <v>4042</v>
      </c>
      <c r="C391" s="3">
        <v>46012</v>
      </c>
      <c r="D391" s="3">
        <v>46042</v>
      </c>
      <c r="E391" s="1">
        <v>6063.39</v>
      </c>
      <c r="F391" t="s">
        <v>4040</v>
      </c>
      <c r="G391" t="str">
        <f>_xlfn.XLOOKUP(B391,tblVendors[VendorID],tblVendors[VendorName],"Unmapped")</f>
        <v>Cocoa World Inc.</v>
      </c>
      <c r="H391">
        <f t="shared" si="18"/>
        <v>30</v>
      </c>
      <c r="I391" s="1">
        <f t="shared" si="19"/>
        <v>6063.39</v>
      </c>
      <c r="J391" t="str">
        <f t="shared" ca="1" si="20"/>
        <v>Overdue</v>
      </c>
    </row>
    <row r="392" spans="1:10" x14ac:dyDescent="0.25">
      <c r="A392" t="s">
        <v>4147</v>
      </c>
      <c r="B392" t="s">
        <v>4042</v>
      </c>
      <c r="C392" s="3">
        <v>46017</v>
      </c>
      <c r="D392" s="3">
        <v>46047</v>
      </c>
      <c r="E392" s="1">
        <v>2290.67</v>
      </c>
      <c r="F392" t="s">
        <v>4040</v>
      </c>
      <c r="G392" t="str">
        <f>_xlfn.XLOOKUP(B392,tblVendors[VendorID],tblVendors[VendorName],"Unmapped")</f>
        <v>Cocoa World Inc.</v>
      </c>
      <c r="H392">
        <f t="shared" si="18"/>
        <v>30</v>
      </c>
      <c r="I392" s="1">
        <f t="shared" si="19"/>
        <v>2290.67</v>
      </c>
      <c r="J392" t="str">
        <f t="shared" ca="1" si="20"/>
        <v>Overdue</v>
      </c>
    </row>
    <row r="393" spans="1:10" x14ac:dyDescent="0.25">
      <c r="A393" t="s">
        <v>4086</v>
      </c>
      <c r="B393" t="s">
        <v>4042</v>
      </c>
      <c r="C393" s="3">
        <v>46020</v>
      </c>
      <c r="D393" s="3">
        <v>46050</v>
      </c>
      <c r="E393" s="1">
        <v>17399.189999999999</v>
      </c>
      <c r="F393" t="s">
        <v>4037</v>
      </c>
      <c r="G393" t="str">
        <f>_xlfn.XLOOKUP(B393,tblVendors[VendorID],tblVendors[VendorName],"Unmapped")</f>
        <v>Cocoa World Inc.</v>
      </c>
      <c r="H393">
        <f t="shared" si="18"/>
        <v>30</v>
      </c>
      <c r="I393" s="1">
        <f t="shared" si="19"/>
        <v>0</v>
      </c>
      <c r="J393" t="str">
        <f t="shared" ca="1" si="20"/>
        <v>Paid</v>
      </c>
    </row>
    <row r="394" spans="1:10" x14ac:dyDescent="0.25">
      <c r="A394" t="s">
        <v>4469</v>
      </c>
      <c r="B394" t="s">
        <v>4047</v>
      </c>
      <c r="C394" s="3">
        <v>46023</v>
      </c>
      <c r="D394" s="3">
        <v>46053</v>
      </c>
      <c r="E394" s="1">
        <v>11135.59</v>
      </c>
      <c r="F394" t="s">
        <v>4040</v>
      </c>
      <c r="G394" t="str">
        <f>_xlfn.XLOOKUP(B394,tblVendors[VendorID],tblVendors[VendorName],"Unmapped")</f>
        <v>Global Sweeteners</v>
      </c>
      <c r="H394">
        <f t="shared" si="18"/>
        <v>30</v>
      </c>
      <c r="I394" s="1">
        <f t="shared" si="19"/>
        <v>11135.59</v>
      </c>
      <c r="J394" t="str">
        <f t="shared" ca="1" si="20"/>
        <v>Overdue</v>
      </c>
    </row>
    <row r="395" spans="1:10" x14ac:dyDescent="0.25">
      <c r="A395" t="s">
        <v>4295</v>
      </c>
      <c r="B395" t="s">
        <v>4047</v>
      </c>
      <c r="C395" s="3">
        <v>46026</v>
      </c>
      <c r="D395" s="3">
        <v>46056</v>
      </c>
      <c r="E395" s="1">
        <v>12804.98</v>
      </c>
      <c r="F395" t="s">
        <v>4040</v>
      </c>
      <c r="G395" t="str">
        <f>_xlfn.XLOOKUP(B395,tblVendors[VendorID],tblVendors[VendorName],"Unmapped")</f>
        <v>Global Sweeteners</v>
      </c>
      <c r="H395">
        <f t="shared" si="18"/>
        <v>30</v>
      </c>
      <c r="I395" s="1">
        <f t="shared" si="19"/>
        <v>12804.98</v>
      </c>
      <c r="J395" t="str">
        <f t="shared" ca="1" si="20"/>
        <v>Overdue</v>
      </c>
    </row>
    <row r="396" spans="1:10" x14ac:dyDescent="0.25">
      <c r="A396" t="s">
        <v>4412</v>
      </c>
      <c r="B396" t="s">
        <v>4047</v>
      </c>
      <c r="C396" s="3">
        <v>46030</v>
      </c>
      <c r="D396" s="3">
        <v>46060</v>
      </c>
      <c r="E396" s="1">
        <v>19766.23</v>
      </c>
      <c r="F396" t="s">
        <v>4037</v>
      </c>
      <c r="G396" t="str">
        <f>_xlfn.XLOOKUP(B396,tblVendors[VendorID],tblVendors[VendorName],"Unmapped")</f>
        <v>Global Sweeteners</v>
      </c>
      <c r="H396">
        <f t="shared" si="18"/>
        <v>30</v>
      </c>
      <c r="I396" s="1">
        <f t="shared" si="19"/>
        <v>0</v>
      </c>
      <c r="J396" t="str">
        <f t="shared" ca="1" si="20"/>
        <v>Paid</v>
      </c>
    </row>
    <row r="397" spans="1:10" x14ac:dyDescent="0.25">
      <c r="A397" t="s">
        <v>4131</v>
      </c>
      <c r="B397" t="s">
        <v>4039</v>
      </c>
      <c r="C397" s="3">
        <v>46033</v>
      </c>
      <c r="D397" s="3">
        <v>46063</v>
      </c>
      <c r="E397" s="1">
        <v>6089.53</v>
      </c>
      <c r="F397" t="s">
        <v>4040</v>
      </c>
      <c r="G397" t="str">
        <f>_xlfn.XLOOKUP(B397,tblVendors[VendorID],tblVendors[VendorName],"Unmapped")</f>
        <v>Dairy Farms United</v>
      </c>
      <c r="H397">
        <f t="shared" si="18"/>
        <v>30</v>
      </c>
      <c r="I397" s="1">
        <f t="shared" si="19"/>
        <v>6089.53</v>
      </c>
      <c r="J397" t="str">
        <f t="shared" ca="1" si="20"/>
        <v>Overdue</v>
      </c>
    </row>
    <row r="398" spans="1:10" x14ac:dyDescent="0.25">
      <c r="A398" t="s">
        <v>4145</v>
      </c>
      <c r="B398" t="s">
        <v>4047</v>
      </c>
      <c r="C398" s="3">
        <v>46034</v>
      </c>
      <c r="D398" s="3">
        <v>46064</v>
      </c>
      <c r="E398" s="1">
        <v>6259.39</v>
      </c>
      <c r="F398" t="s">
        <v>4037</v>
      </c>
      <c r="G398" t="str">
        <f>_xlfn.XLOOKUP(B398,tblVendors[VendorID],tblVendors[VendorName],"Unmapped")</f>
        <v>Global Sweeteners</v>
      </c>
      <c r="H398">
        <f t="shared" si="18"/>
        <v>30</v>
      </c>
      <c r="I398" s="1">
        <f t="shared" si="19"/>
        <v>0</v>
      </c>
      <c r="J398" t="str">
        <f t="shared" ca="1" si="20"/>
        <v>Paid</v>
      </c>
    </row>
    <row r="399" spans="1:10" x14ac:dyDescent="0.25">
      <c r="A399" t="s">
        <v>4345</v>
      </c>
      <c r="B399" t="s">
        <v>4045</v>
      </c>
      <c r="C399" s="3">
        <v>46035</v>
      </c>
      <c r="D399" s="3">
        <v>46065</v>
      </c>
      <c r="E399" s="1">
        <v>18755.060000000001</v>
      </c>
      <c r="F399" t="s">
        <v>4037</v>
      </c>
      <c r="G399" t="str">
        <f>_xlfn.XLOOKUP(B399,tblVendors[VendorID],tblVendors[VendorName],"Unmapped")</f>
        <v>Office Supplies Co.</v>
      </c>
      <c r="H399">
        <f t="shared" si="18"/>
        <v>30</v>
      </c>
      <c r="I399" s="1">
        <f t="shared" si="19"/>
        <v>0</v>
      </c>
      <c r="J399" t="str">
        <f t="shared" ca="1" si="20"/>
        <v>Paid</v>
      </c>
    </row>
    <row r="400" spans="1:10" x14ac:dyDescent="0.25">
      <c r="A400" t="s">
        <v>4460</v>
      </c>
      <c r="B400" t="s">
        <v>4047</v>
      </c>
      <c r="C400" s="3">
        <v>46035</v>
      </c>
      <c r="D400" s="3">
        <v>46065</v>
      </c>
      <c r="E400" s="1">
        <v>19724.68</v>
      </c>
      <c r="F400" t="s">
        <v>4037</v>
      </c>
      <c r="G400" t="str">
        <f>_xlfn.XLOOKUP(B400,tblVendors[VendorID],tblVendors[VendorName],"Unmapped")</f>
        <v>Global Sweeteners</v>
      </c>
      <c r="H400">
        <f t="shared" si="18"/>
        <v>30</v>
      </c>
      <c r="I400" s="1">
        <f t="shared" si="19"/>
        <v>0</v>
      </c>
      <c r="J400" t="str">
        <f t="shared" ca="1" si="20"/>
        <v>Paid</v>
      </c>
    </row>
    <row r="401" spans="1:10" x14ac:dyDescent="0.25">
      <c r="A401" t="s">
        <v>4136</v>
      </c>
      <c r="B401" t="s">
        <v>4045</v>
      </c>
      <c r="C401" s="3">
        <v>46038</v>
      </c>
      <c r="D401" s="3">
        <v>46068</v>
      </c>
      <c r="E401" s="1">
        <v>3640.43</v>
      </c>
      <c r="F401" t="s">
        <v>4040</v>
      </c>
      <c r="G401" t="str">
        <f>_xlfn.XLOOKUP(B401,tblVendors[VendorID],tblVendors[VendorName],"Unmapped")</f>
        <v>Office Supplies Co.</v>
      </c>
      <c r="H401">
        <f t="shared" si="18"/>
        <v>30</v>
      </c>
      <c r="I401" s="1">
        <f t="shared" si="19"/>
        <v>3640.43</v>
      </c>
      <c r="J401" t="str">
        <f t="shared" ca="1" si="20"/>
        <v>Overdue</v>
      </c>
    </row>
    <row r="402" spans="1:10" x14ac:dyDescent="0.25">
      <c r="A402" t="s">
        <v>4349</v>
      </c>
      <c r="B402" t="s">
        <v>4039</v>
      </c>
      <c r="C402" s="3">
        <v>46043</v>
      </c>
      <c r="D402" s="3">
        <v>46073</v>
      </c>
      <c r="E402" s="1">
        <v>12545.94</v>
      </c>
      <c r="F402" t="s">
        <v>4040</v>
      </c>
      <c r="G402" t="str">
        <f>_xlfn.XLOOKUP(B402,tblVendors[VendorID],tblVendors[VendorName],"Unmapped")</f>
        <v>Dairy Farms United</v>
      </c>
      <c r="H402">
        <f t="shared" si="18"/>
        <v>30</v>
      </c>
      <c r="I402" s="1">
        <f t="shared" si="19"/>
        <v>12545.94</v>
      </c>
      <c r="J402" t="str">
        <f t="shared" ca="1" si="20"/>
        <v>Overdue</v>
      </c>
    </row>
    <row r="403" spans="1:10" x14ac:dyDescent="0.25">
      <c r="A403" t="s">
        <v>4231</v>
      </c>
      <c r="B403" t="s">
        <v>4042</v>
      </c>
      <c r="C403" s="3">
        <v>46046</v>
      </c>
      <c r="D403" s="3">
        <v>46076</v>
      </c>
      <c r="E403" s="1">
        <v>13575.18</v>
      </c>
      <c r="F403" t="s">
        <v>4040</v>
      </c>
      <c r="G403" t="str">
        <f>_xlfn.XLOOKUP(B403,tblVendors[VendorID],tblVendors[VendorName],"Unmapped")</f>
        <v>Cocoa World Inc.</v>
      </c>
      <c r="H403">
        <f t="shared" si="18"/>
        <v>30</v>
      </c>
      <c r="I403" s="1">
        <f t="shared" si="19"/>
        <v>13575.18</v>
      </c>
      <c r="J403" t="str">
        <f t="shared" ca="1" si="20"/>
        <v>Overdue</v>
      </c>
    </row>
    <row r="404" spans="1:10" x14ac:dyDescent="0.25">
      <c r="A404" t="s">
        <v>4198</v>
      </c>
      <c r="B404" t="s">
        <v>4039</v>
      </c>
      <c r="C404" s="3">
        <v>46048</v>
      </c>
      <c r="D404" s="3">
        <v>46078</v>
      </c>
      <c r="E404" s="1">
        <v>18221.349999999999</v>
      </c>
      <c r="F404" t="s">
        <v>4037</v>
      </c>
      <c r="G404" t="str">
        <f>_xlfn.XLOOKUP(B404,tblVendors[VendorID],tblVendors[VendorName],"Unmapped")</f>
        <v>Dairy Farms United</v>
      </c>
      <c r="H404">
        <f t="shared" si="18"/>
        <v>30</v>
      </c>
      <c r="I404" s="1">
        <f t="shared" si="19"/>
        <v>0</v>
      </c>
      <c r="J404" t="str">
        <f t="shared" ca="1" si="20"/>
        <v>Paid</v>
      </c>
    </row>
    <row r="405" spans="1:10" x14ac:dyDescent="0.25">
      <c r="A405" t="s">
        <v>4220</v>
      </c>
      <c r="B405" t="s">
        <v>4047</v>
      </c>
      <c r="C405" s="3">
        <v>46049</v>
      </c>
      <c r="D405" s="3">
        <v>46079</v>
      </c>
      <c r="E405" s="1">
        <v>17113.55</v>
      </c>
      <c r="F405" t="s">
        <v>4037</v>
      </c>
      <c r="G405" t="str">
        <f>_xlfn.XLOOKUP(B405,tblVendors[VendorID],tblVendors[VendorName],"Unmapped")</f>
        <v>Global Sweeteners</v>
      </c>
      <c r="H405">
        <f t="shared" si="18"/>
        <v>30</v>
      </c>
      <c r="I405" s="1">
        <f t="shared" si="19"/>
        <v>0</v>
      </c>
      <c r="J405" t="str">
        <f t="shared" ca="1" si="20"/>
        <v>Paid</v>
      </c>
    </row>
    <row r="406" spans="1:10" x14ac:dyDescent="0.25">
      <c r="A406" t="s">
        <v>4054</v>
      </c>
      <c r="B406" t="s">
        <v>4042</v>
      </c>
      <c r="C406" s="3">
        <v>46055</v>
      </c>
      <c r="D406" s="3">
        <v>46085</v>
      </c>
      <c r="E406" s="1">
        <v>13580.31</v>
      </c>
      <c r="F406" t="s">
        <v>4037</v>
      </c>
      <c r="G406" t="str">
        <f>_xlfn.XLOOKUP(B406,tblVendors[VendorID],tblVendors[VendorName],"Unmapped")</f>
        <v>Cocoa World Inc.</v>
      </c>
      <c r="H406">
        <f t="shared" si="18"/>
        <v>30</v>
      </c>
      <c r="I406" s="1">
        <f t="shared" si="19"/>
        <v>0</v>
      </c>
      <c r="J406" t="str">
        <f t="shared" ca="1" si="20"/>
        <v>Paid</v>
      </c>
    </row>
    <row r="407" spans="1:10" x14ac:dyDescent="0.25">
      <c r="A407" t="s">
        <v>4298</v>
      </c>
      <c r="B407" t="s">
        <v>4047</v>
      </c>
      <c r="C407" s="3">
        <v>46061</v>
      </c>
      <c r="D407" s="3">
        <v>46091</v>
      </c>
      <c r="E407" s="1">
        <v>9417.42</v>
      </c>
      <c r="F407" t="s">
        <v>4037</v>
      </c>
      <c r="G407" t="str">
        <f>_xlfn.XLOOKUP(B407,tblVendors[VendorID],tblVendors[VendorName],"Unmapped")</f>
        <v>Global Sweeteners</v>
      </c>
      <c r="H407">
        <f t="shared" si="18"/>
        <v>30</v>
      </c>
      <c r="I407" s="1">
        <f t="shared" si="19"/>
        <v>0</v>
      </c>
      <c r="J407" t="str">
        <f t="shared" ca="1" si="20"/>
        <v>Paid</v>
      </c>
    </row>
    <row r="408" spans="1:10" x14ac:dyDescent="0.25">
      <c r="A408" t="s">
        <v>4287</v>
      </c>
      <c r="B408" t="s">
        <v>4036</v>
      </c>
      <c r="C408" s="3">
        <v>46063</v>
      </c>
      <c r="D408" s="3">
        <v>46093</v>
      </c>
      <c r="E408" s="1">
        <v>5005.8900000000003</v>
      </c>
      <c r="F408" t="s">
        <v>4037</v>
      </c>
      <c r="G408" t="str">
        <f>_xlfn.XLOOKUP(B408,tblVendors[VendorID],tblVendors[VendorName],"Unmapped")</f>
        <v>Cloud Services LLC</v>
      </c>
      <c r="H408">
        <f t="shared" si="18"/>
        <v>30</v>
      </c>
      <c r="I408" s="1">
        <f t="shared" si="19"/>
        <v>0</v>
      </c>
      <c r="J408" t="str">
        <f t="shared" ca="1" si="20"/>
        <v>Paid</v>
      </c>
    </row>
    <row r="409" spans="1:10" x14ac:dyDescent="0.25">
      <c r="A409" t="s">
        <v>4194</v>
      </c>
      <c r="B409" t="s">
        <v>4039</v>
      </c>
      <c r="C409" s="3">
        <v>46065</v>
      </c>
      <c r="D409" s="3">
        <v>46095</v>
      </c>
      <c r="E409" s="1">
        <v>8139.08</v>
      </c>
      <c r="F409" t="s">
        <v>4037</v>
      </c>
      <c r="G409" t="str">
        <f>_xlfn.XLOOKUP(B409,tblVendors[VendorID],tblVendors[VendorName],"Unmapped")</f>
        <v>Dairy Farms United</v>
      </c>
      <c r="H409">
        <f t="shared" si="18"/>
        <v>30</v>
      </c>
      <c r="I409" s="1">
        <f t="shared" si="19"/>
        <v>0</v>
      </c>
      <c r="J409" t="str">
        <f t="shared" ca="1" si="20"/>
        <v>Paid</v>
      </c>
    </row>
    <row r="410" spans="1:10" x14ac:dyDescent="0.25">
      <c r="A410" t="s">
        <v>4428</v>
      </c>
      <c r="B410" t="s">
        <v>4036</v>
      </c>
      <c r="C410" s="3">
        <v>46069</v>
      </c>
      <c r="D410" s="3">
        <v>46099</v>
      </c>
      <c r="E410" s="1">
        <v>8360.5499999999993</v>
      </c>
      <c r="F410" t="s">
        <v>4037</v>
      </c>
      <c r="G410" t="str">
        <f>_xlfn.XLOOKUP(B410,tblVendors[VendorID],tblVendors[VendorName],"Unmapped")</f>
        <v>Cloud Services LLC</v>
      </c>
      <c r="H410">
        <f t="shared" si="18"/>
        <v>30</v>
      </c>
      <c r="I410" s="1">
        <f t="shared" si="19"/>
        <v>0</v>
      </c>
      <c r="J410" t="str">
        <f t="shared" ca="1" si="20"/>
        <v>Paid</v>
      </c>
    </row>
    <row r="411" spans="1:10" x14ac:dyDescent="0.25">
      <c r="A411" t="s">
        <v>4050</v>
      </c>
      <c r="B411" t="s">
        <v>4047</v>
      </c>
      <c r="C411" s="3">
        <v>46071</v>
      </c>
      <c r="D411" s="3">
        <v>46101</v>
      </c>
      <c r="E411" s="1">
        <v>2407.17</v>
      </c>
      <c r="F411" t="s">
        <v>4037</v>
      </c>
      <c r="G411" t="str">
        <f>_xlfn.XLOOKUP(B411,tblVendors[VendorID],tblVendors[VendorName],"Unmapped")</f>
        <v>Global Sweeteners</v>
      </c>
      <c r="H411">
        <f t="shared" si="18"/>
        <v>30</v>
      </c>
      <c r="I411" s="1">
        <f t="shared" si="19"/>
        <v>0</v>
      </c>
      <c r="J411" t="str">
        <f t="shared" ca="1" si="20"/>
        <v>Paid</v>
      </c>
    </row>
    <row r="412" spans="1:10" x14ac:dyDescent="0.25">
      <c r="A412" t="s">
        <v>4073</v>
      </c>
      <c r="B412" t="s">
        <v>4042</v>
      </c>
      <c r="C412" s="3">
        <v>46074</v>
      </c>
      <c r="D412" s="3">
        <v>46104</v>
      </c>
      <c r="E412" s="1">
        <v>12394.19</v>
      </c>
      <c r="F412" t="s">
        <v>4037</v>
      </c>
      <c r="G412" t="str">
        <f>_xlfn.XLOOKUP(B412,tblVendors[VendorID],tblVendors[VendorName],"Unmapped")</f>
        <v>Cocoa World Inc.</v>
      </c>
      <c r="H412">
        <f t="shared" si="18"/>
        <v>30</v>
      </c>
      <c r="I412" s="1">
        <f t="shared" si="19"/>
        <v>0</v>
      </c>
      <c r="J412" t="str">
        <f t="shared" ca="1" si="20"/>
        <v>Paid</v>
      </c>
    </row>
    <row r="413" spans="1:10" x14ac:dyDescent="0.25">
      <c r="A413" t="s">
        <v>4440</v>
      </c>
      <c r="B413" t="s">
        <v>4042</v>
      </c>
      <c r="C413" s="3">
        <v>46074</v>
      </c>
      <c r="D413" s="3">
        <v>46104</v>
      </c>
      <c r="E413" s="1">
        <v>14486.14</v>
      </c>
      <c r="F413" t="s">
        <v>4040</v>
      </c>
      <c r="G413" t="str">
        <f>_xlfn.XLOOKUP(B413,tblVendors[VendorID],tblVendors[VendorName],"Unmapped")</f>
        <v>Cocoa World Inc.</v>
      </c>
      <c r="H413">
        <f t="shared" si="18"/>
        <v>30</v>
      </c>
      <c r="I413" s="1">
        <f t="shared" si="19"/>
        <v>14486.14</v>
      </c>
      <c r="J413" t="str">
        <f t="shared" ca="1" si="20"/>
        <v>Overdue</v>
      </c>
    </row>
    <row r="414" spans="1:10" x14ac:dyDescent="0.25">
      <c r="A414" t="s">
        <v>4063</v>
      </c>
      <c r="B414" t="s">
        <v>4045</v>
      </c>
      <c r="C414" s="3">
        <v>46076</v>
      </c>
      <c r="D414" s="3">
        <v>46106</v>
      </c>
      <c r="E414" s="1">
        <v>10200.540000000001</v>
      </c>
      <c r="F414" t="s">
        <v>4037</v>
      </c>
      <c r="G414" t="str">
        <f>_xlfn.XLOOKUP(B414,tblVendors[VendorID],tblVendors[VendorName],"Unmapped")</f>
        <v>Office Supplies Co.</v>
      </c>
      <c r="H414">
        <f t="shared" si="18"/>
        <v>30</v>
      </c>
      <c r="I414" s="1">
        <f t="shared" si="19"/>
        <v>0</v>
      </c>
      <c r="J414" t="str">
        <f t="shared" ca="1" si="20"/>
        <v>Paid</v>
      </c>
    </row>
    <row r="415" spans="1:10" x14ac:dyDescent="0.25">
      <c r="A415" t="s">
        <v>4215</v>
      </c>
      <c r="B415" t="s">
        <v>4042</v>
      </c>
      <c r="C415" s="3">
        <v>46077</v>
      </c>
      <c r="D415" s="3">
        <v>46107</v>
      </c>
      <c r="E415" s="1">
        <v>2326.48</v>
      </c>
      <c r="F415" t="s">
        <v>4037</v>
      </c>
      <c r="G415" t="str">
        <f>_xlfn.XLOOKUP(B415,tblVendors[VendorID],tblVendors[VendorName],"Unmapped")</f>
        <v>Cocoa World Inc.</v>
      </c>
      <c r="H415">
        <f t="shared" si="18"/>
        <v>30</v>
      </c>
      <c r="I415" s="1">
        <f t="shared" si="19"/>
        <v>0</v>
      </c>
      <c r="J415" t="str">
        <f t="shared" ca="1" si="20"/>
        <v>Paid</v>
      </c>
    </row>
    <row r="416" spans="1:10" x14ac:dyDescent="0.25">
      <c r="A416" t="s">
        <v>4138</v>
      </c>
      <c r="B416" t="s">
        <v>4042</v>
      </c>
      <c r="C416" s="3">
        <v>46078</v>
      </c>
      <c r="D416" s="3">
        <v>46108</v>
      </c>
      <c r="E416" s="1">
        <v>3251.5</v>
      </c>
      <c r="F416" t="s">
        <v>4037</v>
      </c>
      <c r="G416" t="str">
        <f>_xlfn.XLOOKUP(B416,tblVendors[VendorID],tblVendors[VendorName],"Unmapped")</f>
        <v>Cocoa World Inc.</v>
      </c>
      <c r="H416">
        <f t="shared" si="18"/>
        <v>30</v>
      </c>
      <c r="I416" s="1">
        <f t="shared" si="19"/>
        <v>0</v>
      </c>
      <c r="J416" t="str">
        <f t="shared" ca="1" si="20"/>
        <v>Paid</v>
      </c>
    </row>
    <row r="417" spans="1:10" x14ac:dyDescent="0.25">
      <c r="A417" t="s">
        <v>4485</v>
      </c>
      <c r="B417" t="s">
        <v>4047</v>
      </c>
      <c r="C417" s="3">
        <v>46080</v>
      </c>
      <c r="D417" s="3">
        <v>46110</v>
      </c>
      <c r="E417" s="1">
        <v>7258.81</v>
      </c>
      <c r="F417" t="s">
        <v>4037</v>
      </c>
      <c r="G417" t="str">
        <f>_xlfn.XLOOKUP(B417,tblVendors[VendorID],tblVendors[VendorName],"Unmapped")</f>
        <v>Global Sweeteners</v>
      </c>
      <c r="H417">
        <f t="shared" si="18"/>
        <v>30</v>
      </c>
      <c r="I417" s="1">
        <f t="shared" si="19"/>
        <v>0</v>
      </c>
      <c r="J417" t="str">
        <f t="shared" ca="1" si="20"/>
        <v>Paid</v>
      </c>
    </row>
    <row r="418" spans="1:10" x14ac:dyDescent="0.25">
      <c r="A418" t="s">
        <v>4187</v>
      </c>
      <c r="B418" t="s">
        <v>4062</v>
      </c>
      <c r="C418" s="3">
        <v>46081</v>
      </c>
      <c r="D418" s="3">
        <v>46111</v>
      </c>
      <c r="E418" s="1">
        <v>11724.81</v>
      </c>
      <c r="F418" t="s">
        <v>4037</v>
      </c>
      <c r="G418" t="str">
        <f>_xlfn.XLOOKUP(B418,tblVendors[VendorID],tblVendors[VendorName],"Unmapped")</f>
        <v>Packaging Pros</v>
      </c>
      <c r="H418">
        <f t="shared" si="18"/>
        <v>30</v>
      </c>
      <c r="I418" s="1">
        <f t="shared" si="19"/>
        <v>0</v>
      </c>
      <c r="J418" t="str">
        <f t="shared" ca="1" si="20"/>
        <v>Paid</v>
      </c>
    </row>
    <row r="419" spans="1:10" x14ac:dyDescent="0.25">
      <c r="A419" t="s">
        <v>4479</v>
      </c>
      <c r="B419" t="s">
        <v>4039</v>
      </c>
      <c r="C419" s="3">
        <v>46081</v>
      </c>
      <c r="D419" s="3">
        <v>46111</v>
      </c>
      <c r="E419" s="1">
        <v>11758.57</v>
      </c>
      <c r="F419" t="s">
        <v>4037</v>
      </c>
      <c r="G419" t="str">
        <f>_xlfn.XLOOKUP(B419,tblVendors[VendorID],tblVendors[VendorName],"Unmapped")</f>
        <v>Dairy Farms United</v>
      </c>
      <c r="H419">
        <f t="shared" si="18"/>
        <v>30</v>
      </c>
      <c r="I419" s="1">
        <f t="shared" si="19"/>
        <v>0</v>
      </c>
      <c r="J419" t="str">
        <f t="shared" ca="1" si="20"/>
        <v>Paid</v>
      </c>
    </row>
    <row r="420" spans="1:10" x14ac:dyDescent="0.25">
      <c r="A420" t="s">
        <v>4068</v>
      </c>
      <c r="B420" t="s">
        <v>4039</v>
      </c>
      <c r="C420" s="3">
        <v>46083</v>
      </c>
      <c r="D420" s="3">
        <v>46113</v>
      </c>
      <c r="E420" s="1">
        <v>748.46</v>
      </c>
      <c r="F420" t="s">
        <v>4037</v>
      </c>
      <c r="G420" t="str">
        <f>_xlfn.XLOOKUP(B420,tblVendors[VendorID],tblVendors[VendorName],"Unmapped")</f>
        <v>Dairy Farms United</v>
      </c>
      <c r="H420">
        <f t="shared" si="18"/>
        <v>30</v>
      </c>
      <c r="I420" s="1">
        <f t="shared" si="19"/>
        <v>0</v>
      </c>
      <c r="J420" t="str">
        <f t="shared" ca="1" si="20"/>
        <v>Paid</v>
      </c>
    </row>
    <row r="421" spans="1:10" x14ac:dyDescent="0.25">
      <c r="A421" t="s">
        <v>4106</v>
      </c>
      <c r="B421" t="s">
        <v>4039</v>
      </c>
      <c r="C421" s="3">
        <v>46083</v>
      </c>
      <c r="D421" s="3">
        <v>46113</v>
      </c>
      <c r="E421" s="1">
        <v>10702.62</v>
      </c>
      <c r="F421" t="s">
        <v>4037</v>
      </c>
      <c r="G421" t="str">
        <f>_xlfn.XLOOKUP(B421,tblVendors[VendorID],tblVendors[VendorName],"Unmapped")</f>
        <v>Dairy Farms United</v>
      </c>
      <c r="H421">
        <f t="shared" si="18"/>
        <v>30</v>
      </c>
      <c r="I421" s="1">
        <f t="shared" si="19"/>
        <v>0</v>
      </c>
      <c r="J421" t="str">
        <f t="shared" ca="1" si="20"/>
        <v>Paid</v>
      </c>
    </row>
    <row r="422" spans="1:10" x14ac:dyDescent="0.25">
      <c r="A422" t="s">
        <v>4109</v>
      </c>
      <c r="B422" t="s">
        <v>4045</v>
      </c>
      <c r="C422" s="3">
        <v>46088</v>
      </c>
      <c r="D422" s="3">
        <v>46118</v>
      </c>
      <c r="E422" s="1">
        <v>11997.53</v>
      </c>
      <c r="F422" t="s">
        <v>4040</v>
      </c>
      <c r="G422" t="str">
        <f>_xlfn.XLOOKUP(B422,tblVendors[VendorID],tblVendors[VendorName],"Unmapped")</f>
        <v>Office Supplies Co.</v>
      </c>
      <c r="H422">
        <f t="shared" si="18"/>
        <v>30</v>
      </c>
      <c r="I422" s="1">
        <f t="shared" si="19"/>
        <v>11997.53</v>
      </c>
      <c r="J422" t="str">
        <f t="shared" ca="1" si="20"/>
        <v>Overdue</v>
      </c>
    </row>
    <row r="423" spans="1:10" x14ac:dyDescent="0.25">
      <c r="A423" t="s">
        <v>4417</v>
      </c>
      <c r="B423" t="s">
        <v>4047</v>
      </c>
      <c r="C423" s="3">
        <v>46089</v>
      </c>
      <c r="D423" s="3">
        <v>46119</v>
      </c>
      <c r="E423" s="1">
        <v>8009.05</v>
      </c>
      <c r="F423" t="s">
        <v>4040</v>
      </c>
      <c r="G423" t="str">
        <f>_xlfn.XLOOKUP(B423,tblVendors[VendorID],tblVendors[VendorName],"Unmapped")</f>
        <v>Global Sweeteners</v>
      </c>
      <c r="H423">
        <f t="shared" si="18"/>
        <v>30</v>
      </c>
      <c r="I423" s="1">
        <f t="shared" si="19"/>
        <v>8009.05</v>
      </c>
      <c r="J423" t="str">
        <f t="shared" ca="1" si="20"/>
        <v>Overdue</v>
      </c>
    </row>
    <row r="424" spans="1:10" x14ac:dyDescent="0.25">
      <c r="A424" t="s">
        <v>4434</v>
      </c>
      <c r="B424" t="s">
        <v>4062</v>
      </c>
      <c r="C424" s="3">
        <v>46097</v>
      </c>
      <c r="D424" s="3">
        <v>46127</v>
      </c>
      <c r="E424" s="1">
        <v>12134.57</v>
      </c>
      <c r="F424" t="s">
        <v>4037</v>
      </c>
      <c r="G424" t="str">
        <f>_xlfn.XLOOKUP(B424,tblVendors[VendorID],tblVendors[VendorName],"Unmapped")</f>
        <v>Packaging Pros</v>
      </c>
      <c r="H424">
        <f t="shared" si="18"/>
        <v>30</v>
      </c>
      <c r="I424" s="1">
        <f t="shared" si="19"/>
        <v>0</v>
      </c>
      <c r="J424" t="str">
        <f t="shared" ca="1" si="20"/>
        <v>Paid</v>
      </c>
    </row>
    <row r="425" spans="1:10" x14ac:dyDescent="0.25">
      <c r="A425" t="s">
        <v>4333</v>
      </c>
      <c r="B425" t="s">
        <v>4039</v>
      </c>
      <c r="C425" s="3">
        <v>46100</v>
      </c>
      <c r="D425" s="3">
        <v>46130</v>
      </c>
      <c r="E425" s="1">
        <v>14004.33</v>
      </c>
      <c r="F425" t="s">
        <v>4037</v>
      </c>
      <c r="G425" t="str">
        <f>_xlfn.XLOOKUP(B425,tblVendors[VendorID],tblVendors[VendorName],"Unmapped")</f>
        <v>Dairy Farms United</v>
      </c>
      <c r="H425">
        <f t="shared" si="18"/>
        <v>30</v>
      </c>
      <c r="I425" s="1">
        <f t="shared" si="19"/>
        <v>0</v>
      </c>
      <c r="J425" t="str">
        <f t="shared" ca="1" si="20"/>
        <v>Paid</v>
      </c>
    </row>
    <row r="426" spans="1:10" x14ac:dyDescent="0.25">
      <c r="A426" t="s">
        <v>4355</v>
      </c>
      <c r="B426" t="s">
        <v>4042</v>
      </c>
      <c r="C426" s="3">
        <v>46100</v>
      </c>
      <c r="D426" s="3">
        <v>46130</v>
      </c>
      <c r="E426" s="1">
        <v>15384.05</v>
      </c>
      <c r="F426" t="s">
        <v>4037</v>
      </c>
      <c r="G426" t="str">
        <f>_xlfn.XLOOKUP(B426,tblVendors[VendorID],tblVendors[VendorName],"Unmapped")</f>
        <v>Cocoa World Inc.</v>
      </c>
      <c r="H426">
        <f t="shared" si="18"/>
        <v>30</v>
      </c>
      <c r="I426" s="1">
        <f t="shared" si="19"/>
        <v>0</v>
      </c>
      <c r="J426" t="str">
        <f t="shared" ca="1" si="20"/>
        <v>Paid</v>
      </c>
    </row>
    <row r="427" spans="1:10" x14ac:dyDescent="0.25">
      <c r="A427" t="s">
        <v>4117</v>
      </c>
      <c r="B427" t="s">
        <v>4039</v>
      </c>
      <c r="C427" s="3">
        <v>46101</v>
      </c>
      <c r="D427" s="3">
        <v>46131</v>
      </c>
      <c r="E427" s="1">
        <v>7978.29</v>
      </c>
      <c r="F427" t="s">
        <v>4040</v>
      </c>
      <c r="G427" t="str">
        <f>_xlfn.XLOOKUP(B427,tblVendors[VendorID],tblVendors[VendorName],"Unmapped")</f>
        <v>Dairy Farms United</v>
      </c>
      <c r="H427">
        <f t="shared" si="18"/>
        <v>30</v>
      </c>
      <c r="I427" s="1">
        <f t="shared" si="19"/>
        <v>7978.29</v>
      </c>
      <c r="J427" t="str">
        <f t="shared" ca="1" si="20"/>
        <v>Overdue</v>
      </c>
    </row>
    <row r="428" spans="1:10" x14ac:dyDescent="0.25">
      <c r="A428" t="s">
        <v>4474</v>
      </c>
      <c r="B428" t="s">
        <v>4039</v>
      </c>
      <c r="C428" s="3">
        <v>46101</v>
      </c>
      <c r="D428" s="3">
        <v>46131</v>
      </c>
      <c r="E428" s="1">
        <v>10383.530000000001</v>
      </c>
      <c r="F428" t="s">
        <v>4037</v>
      </c>
      <c r="G428" t="str">
        <f>_xlfn.XLOOKUP(B428,tblVendors[VendorID],tblVendors[VendorName],"Unmapped")</f>
        <v>Dairy Farms United</v>
      </c>
      <c r="H428">
        <f t="shared" si="18"/>
        <v>30</v>
      </c>
      <c r="I428" s="1">
        <f t="shared" si="19"/>
        <v>0</v>
      </c>
      <c r="J428" t="str">
        <f t="shared" ca="1" si="20"/>
        <v>Paid</v>
      </c>
    </row>
    <row r="429" spans="1:10" x14ac:dyDescent="0.25">
      <c r="A429" t="s">
        <v>4523</v>
      </c>
      <c r="B429" t="s">
        <v>4039</v>
      </c>
      <c r="C429" s="3">
        <v>46102</v>
      </c>
      <c r="D429" s="3">
        <v>46132</v>
      </c>
      <c r="E429" s="1">
        <v>14010.05</v>
      </c>
      <c r="F429" t="s">
        <v>4037</v>
      </c>
      <c r="G429" t="str">
        <f>_xlfn.XLOOKUP(B429,tblVendors[VendorID],tblVendors[VendorName],"Unmapped")</f>
        <v>Dairy Farms United</v>
      </c>
      <c r="H429">
        <f t="shared" si="18"/>
        <v>30</v>
      </c>
      <c r="I429" s="1">
        <f t="shared" si="19"/>
        <v>0</v>
      </c>
      <c r="J429" t="str">
        <f t="shared" ca="1" si="20"/>
        <v>Paid</v>
      </c>
    </row>
    <row r="430" spans="1:10" x14ac:dyDescent="0.25">
      <c r="A430" t="s">
        <v>4077</v>
      </c>
      <c r="B430" t="s">
        <v>4039</v>
      </c>
      <c r="C430" s="3">
        <v>46105</v>
      </c>
      <c r="D430" s="3">
        <v>46135</v>
      </c>
      <c r="E430" s="1">
        <v>14883.07</v>
      </c>
      <c r="F430" t="s">
        <v>4037</v>
      </c>
      <c r="G430" t="str">
        <f>_xlfn.XLOOKUP(B430,tblVendors[VendorID],tblVendors[VendorName],"Unmapped")</f>
        <v>Dairy Farms United</v>
      </c>
      <c r="H430">
        <f t="shared" si="18"/>
        <v>30</v>
      </c>
      <c r="I430" s="1">
        <f t="shared" si="19"/>
        <v>0</v>
      </c>
      <c r="J430" t="str">
        <f t="shared" ca="1" si="20"/>
        <v>Paid</v>
      </c>
    </row>
    <row r="431" spans="1:10" x14ac:dyDescent="0.25">
      <c r="A431" t="s">
        <v>4392</v>
      </c>
      <c r="B431" t="s">
        <v>4045</v>
      </c>
      <c r="C431" s="3">
        <v>46106</v>
      </c>
      <c r="D431" s="3">
        <v>46136</v>
      </c>
      <c r="E431" s="1">
        <v>8162.57</v>
      </c>
      <c r="F431" t="s">
        <v>4037</v>
      </c>
      <c r="G431" t="str">
        <f>_xlfn.XLOOKUP(B431,tblVendors[VendorID],tblVendors[VendorName],"Unmapped")</f>
        <v>Office Supplies Co.</v>
      </c>
      <c r="H431">
        <f t="shared" si="18"/>
        <v>30</v>
      </c>
      <c r="I431" s="1">
        <f t="shared" si="19"/>
        <v>0</v>
      </c>
      <c r="J431" t="str">
        <f t="shared" ca="1" si="20"/>
        <v>Paid</v>
      </c>
    </row>
    <row r="432" spans="1:10" x14ac:dyDescent="0.25">
      <c r="A432" t="s">
        <v>4468</v>
      </c>
      <c r="B432" t="s">
        <v>4045</v>
      </c>
      <c r="C432" s="3">
        <v>46112</v>
      </c>
      <c r="D432" s="3">
        <v>46142</v>
      </c>
      <c r="E432" s="1">
        <v>6629.79</v>
      </c>
      <c r="F432" t="s">
        <v>4037</v>
      </c>
      <c r="G432" t="str">
        <f>_xlfn.XLOOKUP(B432,tblVendors[VendorID],tblVendors[VendorName],"Unmapped")</f>
        <v>Office Supplies Co.</v>
      </c>
      <c r="H432">
        <f t="shared" si="18"/>
        <v>30</v>
      </c>
      <c r="I432" s="1">
        <f t="shared" si="19"/>
        <v>0</v>
      </c>
      <c r="J432" t="str">
        <f t="shared" ca="1" si="20"/>
        <v>Paid</v>
      </c>
    </row>
    <row r="433" spans="1:10" x14ac:dyDescent="0.25">
      <c r="A433" t="s">
        <v>4476</v>
      </c>
      <c r="B433" t="s">
        <v>4062</v>
      </c>
      <c r="C433" s="3">
        <v>46117</v>
      </c>
      <c r="D433" s="3">
        <v>46147</v>
      </c>
      <c r="E433" s="1">
        <v>11074.94</v>
      </c>
      <c r="F433" t="s">
        <v>4037</v>
      </c>
      <c r="G433" t="str">
        <f>_xlfn.XLOOKUP(B433,tblVendors[VendorID],tblVendors[VendorName],"Unmapped")</f>
        <v>Packaging Pros</v>
      </c>
      <c r="H433">
        <f t="shared" si="18"/>
        <v>30</v>
      </c>
      <c r="I433" s="1">
        <f t="shared" si="19"/>
        <v>0</v>
      </c>
      <c r="J433" t="str">
        <f t="shared" ca="1" si="20"/>
        <v>Paid</v>
      </c>
    </row>
    <row r="434" spans="1:10" x14ac:dyDescent="0.25">
      <c r="A434" t="s">
        <v>4075</v>
      </c>
      <c r="B434" t="s">
        <v>4045</v>
      </c>
      <c r="C434" s="3">
        <v>46122</v>
      </c>
      <c r="D434" s="3">
        <v>46152</v>
      </c>
      <c r="E434" s="1">
        <v>6612.42</v>
      </c>
      <c r="F434" t="s">
        <v>4037</v>
      </c>
      <c r="G434" t="str">
        <f>_xlfn.XLOOKUP(B434,tblVendors[VendorID],tblVendors[VendorName],"Unmapped")</f>
        <v>Office Supplies Co.</v>
      </c>
      <c r="H434">
        <f t="shared" si="18"/>
        <v>30</v>
      </c>
      <c r="I434" s="1">
        <f t="shared" si="19"/>
        <v>0</v>
      </c>
      <c r="J434" t="str">
        <f t="shared" ca="1" si="20"/>
        <v>Paid</v>
      </c>
    </row>
    <row r="435" spans="1:10" x14ac:dyDescent="0.25">
      <c r="A435" t="s">
        <v>4433</v>
      </c>
      <c r="B435" t="s">
        <v>4045</v>
      </c>
      <c r="C435" s="3">
        <v>46124</v>
      </c>
      <c r="D435" s="3">
        <v>46154</v>
      </c>
      <c r="E435" s="1">
        <v>8582</v>
      </c>
      <c r="F435" t="s">
        <v>4040</v>
      </c>
      <c r="G435" t="str">
        <f>_xlfn.XLOOKUP(B435,tblVendors[VendorID],tblVendors[VendorName],"Unmapped")</f>
        <v>Office Supplies Co.</v>
      </c>
      <c r="H435">
        <f t="shared" si="18"/>
        <v>30</v>
      </c>
      <c r="I435" s="1">
        <f t="shared" si="19"/>
        <v>8582</v>
      </c>
      <c r="J435" t="str">
        <f t="shared" ca="1" si="20"/>
        <v>Overdue</v>
      </c>
    </row>
    <row r="436" spans="1:10" x14ac:dyDescent="0.25">
      <c r="A436" t="s">
        <v>4439</v>
      </c>
      <c r="B436" t="s">
        <v>4062</v>
      </c>
      <c r="C436" s="3">
        <v>46124</v>
      </c>
      <c r="D436" s="3">
        <v>46154</v>
      </c>
      <c r="E436" s="1">
        <v>14701.26</v>
      </c>
      <c r="F436" t="s">
        <v>4037</v>
      </c>
      <c r="G436" t="str">
        <f>_xlfn.XLOOKUP(B436,tblVendors[VendorID],tblVendors[VendorName],"Unmapped")</f>
        <v>Packaging Pros</v>
      </c>
      <c r="H436">
        <f t="shared" si="18"/>
        <v>30</v>
      </c>
      <c r="I436" s="1">
        <f t="shared" si="19"/>
        <v>0</v>
      </c>
      <c r="J436" t="str">
        <f t="shared" ca="1" si="20"/>
        <v>Paid</v>
      </c>
    </row>
    <row r="437" spans="1:10" x14ac:dyDescent="0.25">
      <c r="A437" t="s">
        <v>4119</v>
      </c>
      <c r="B437" t="s">
        <v>4047</v>
      </c>
      <c r="C437" s="3">
        <v>46125</v>
      </c>
      <c r="D437" s="3">
        <v>46155</v>
      </c>
      <c r="E437" s="1">
        <v>18482.5</v>
      </c>
      <c r="F437" t="s">
        <v>4037</v>
      </c>
      <c r="G437" t="str">
        <f>_xlfn.XLOOKUP(B437,tblVendors[VendorID],tblVendors[VendorName],"Unmapped")</f>
        <v>Global Sweeteners</v>
      </c>
      <c r="H437">
        <f t="shared" si="18"/>
        <v>30</v>
      </c>
      <c r="I437" s="1">
        <f t="shared" si="19"/>
        <v>0</v>
      </c>
      <c r="J437" t="str">
        <f t="shared" ca="1" si="20"/>
        <v>Paid</v>
      </c>
    </row>
    <row r="438" spans="1:10" x14ac:dyDescent="0.25">
      <c r="A438" t="s">
        <v>4064</v>
      </c>
      <c r="B438" t="s">
        <v>4045</v>
      </c>
      <c r="C438" s="3">
        <v>46127</v>
      </c>
      <c r="D438" s="3">
        <v>46157</v>
      </c>
      <c r="E438" s="1">
        <v>1541.05</v>
      </c>
      <c r="F438" t="s">
        <v>4037</v>
      </c>
      <c r="G438" t="str">
        <f>_xlfn.XLOOKUP(B438,tblVendors[VendorID],tblVendors[VendorName],"Unmapped")</f>
        <v>Office Supplies Co.</v>
      </c>
      <c r="H438">
        <f t="shared" si="18"/>
        <v>30</v>
      </c>
      <c r="I438" s="1">
        <f t="shared" si="19"/>
        <v>0</v>
      </c>
      <c r="J438" t="str">
        <f t="shared" ca="1" si="20"/>
        <v>Paid</v>
      </c>
    </row>
    <row r="439" spans="1:10" x14ac:dyDescent="0.25">
      <c r="A439" t="s">
        <v>4320</v>
      </c>
      <c r="B439" t="s">
        <v>4062</v>
      </c>
      <c r="C439" s="3">
        <v>46128</v>
      </c>
      <c r="D439" s="3">
        <v>46158</v>
      </c>
      <c r="E439" s="1">
        <v>1898.01</v>
      </c>
      <c r="F439" t="s">
        <v>4037</v>
      </c>
      <c r="G439" t="str">
        <f>_xlfn.XLOOKUP(B439,tblVendors[VendorID],tblVendors[VendorName],"Unmapped")</f>
        <v>Packaging Pros</v>
      </c>
      <c r="H439">
        <f t="shared" si="18"/>
        <v>30</v>
      </c>
      <c r="I439" s="1">
        <f t="shared" si="19"/>
        <v>0</v>
      </c>
      <c r="J439" t="str">
        <f t="shared" ca="1" si="20"/>
        <v>Paid</v>
      </c>
    </row>
    <row r="440" spans="1:10" x14ac:dyDescent="0.25">
      <c r="A440" t="s">
        <v>4336</v>
      </c>
      <c r="B440" t="s">
        <v>4039</v>
      </c>
      <c r="C440" s="3">
        <v>46129</v>
      </c>
      <c r="D440" s="3">
        <v>46159</v>
      </c>
      <c r="E440" s="1">
        <v>3438.35</v>
      </c>
      <c r="F440" t="s">
        <v>4037</v>
      </c>
      <c r="G440" t="str">
        <f>_xlfn.XLOOKUP(B440,tblVendors[VendorID],tblVendors[VendorName],"Unmapped")</f>
        <v>Dairy Farms United</v>
      </c>
      <c r="H440">
        <f t="shared" si="18"/>
        <v>30</v>
      </c>
      <c r="I440" s="1">
        <f t="shared" si="19"/>
        <v>0</v>
      </c>
      <c r="J440" t="str">
        <f t="shared" ca="1" si="20"/>
        <v>Paid</v>
      </c>
    </row>
    <row r="441" spans="1:10" x14ac:dyDescent="0.25">
      <c r="A441" t="s">
        <v>4321</v>
      </c>
      <c r="B441" t="s">
        <v>4042</v>
      </c>
      <c r="C441" s="3">
        <v>46131</v>
      </c>
      <c r="D441" s="3">
        <v>46161</v>
      </c>
      <c r="E441" s="1">
        <v>725.87</v>
      </c>
      <c r="F441" t="s">
        <v>4040</v>
      </c>
      <c r="G441" t="str">
        <f>_xlfn.XLOOKUP(B441,tblVendors[VendorID],tblVendors[VendorName],"Unmapped")</f>
        <v>Cocoa World Inc.</v>
      </c>
      <c r="H441">
        <f t="shared" si="18"/>
        <v>30</v>
      </c>
      <c r="I441" s="1">
        <f t="shared" si="19"/>
        <v>725.87</v>
      </c>
      <c r="J441" t="str">
        <f t="shared" ca="1" si="20"/>
        <v>Overdue</v>
      </c>
    </row>
    <row r="442" spans="1:10" x14ac:dyDescent="0.25">
      <c r="A442" t="s">
        <v>4219</v>
      </c>
      <c r="B442" t="s">
        <v>4042</v>
      </c>
      <c r="C442" s="3">
        <v>46135</v>
      </c>
      <c r="D442" s="3">
        <v>46165</v>
      </c>
      <c r="E442" s="1">
        <v>1185.42</v>
      </c>
      <c r="F442" t="s">
        <v>4037</v>
      </c>
      <c r="G442" t="str">
        <f>_xlfn.XLOOKUP(B442,tblVendors[VendorID],tblVendors[VendorName],"Unmapped")</f>
        <v>Cocoa World Inc.</v>
      </c>
      <c r="H442">
        <f t="shared" si="18"/>
        <v>30</v>
      </c>
      <c r="I442" s="1">
        <f t="shared" si="19"/>
        <v>0</v>
      </c>
      <c r="J442" t="str">
        <f t="shared" ca="1" si="20"/>
        <v>Paid</v>
      </c>
    </row>
    <row r="443" spans="1:10" x14ac:dyDescent="0.25">
      <c r="A443" t="s">
        <v>4255</v>
      </c>
      <c r="B443" t="s">
        <v>4042</v>
      </c>
      <c r="C443" s="3">
        <v>46135</v>
      </c>
      <c r="D443" s="3">
        <v>46165</v>
      </c>
      <c r="E443" s="1">
        <v>18458.46</v>
      </c>
      <c r="F443" t="s">
        <v>4037</v>
      </c>
      <c r="G443" t="str">
        <f>_xlfn.XLOOKUP(B443,tblVendors[VendorID],tblVendors[VendorName],"Unmapped")</f>
        <v>Cocoa World Inc.</v>
      </c>
      <c r="H443">
        <f t="shared" si="18"/>
        <v>30</v>
      </c>
      <c r="I443" s="1">
        <f t="shared" si="19"/>
        <v>0</v>
      </c>
      <c r="J443" t="str">
        <f t="shared" ca="1" si="20"/>
        <v>Paid</v>
      </c>
    </row>
    <row r="444" spans="1:10" x14ac:dyDescent="0.25">
      <c r="A444" t="s">
        <v>4499</v>
      </c>
      <c r="B444" t="s">
        <v>4047</v>
      </c>
      <c r="C444" s="3">
        <v>46139</v>
      </c>
      <c r="D444" s="3">
        <v>46169</v>
      </c>
      <c r="E444" s="1">
        <v>1225.94</v>
      </c>
      <c r="F444" t="s">
        <v>4040</v>
      </c>
      <c r="G444" t="str">
        <f>_xlfn.XLOOKUP(B444,tblVendors[VendorID],tblVendors[VendorName],"Unmapped")</f>
        <v>Global Sweeteners</v>
      </c>
      <c r="H444">
        <f t="shared" si="18"/>
        <v>30</v>
      </c>
      <c r="I444" s="1">
        <f t="shared" si="19"/>
        <v>1225.94</v>
      </c>
      <c r="J444" t="str">
        <f t="shared" ca="1" si="20"/>
        <v>Overdue</v>
      </c>
    </row>
    <row r="445" spans="1:10" x14ac:dyDescent="0.25">
      <c r="A445" t="s">
        <v>4189</v>
      </c>
      <c r="B445" t="s">
        <v>4062</v>
      </c>
      <c r="C445" s="3">
        <v>46141</v>
      </c>
      <c r="D445" s="3">
        <v>46171</v>
      </c>
      <c r="E445" s="1">
        <v>4114.8100000000004</v>
      </c>
      <c r="F445" t="s">
        <v>4037</v>
      </c>
      <c r="G445" t="str">
        <f>_xlfn.XLOOKUP(B445,tblVendors[VendorID],tblVendors[VendorName],"Unmapped")</f>
        <v>Packaging Pros</v>
      </c>
      <c r="H445">
        <f t="shared" si="18"/>
        <v>30</v>
      </c>
      <c r="I445" s="1">
        <f t="shared" si="19"/>
        <v>0</v>
      </c>
      <c r="J445" t="str">
        <f t="shared" ca="1" si="20"/>
        <v>Paid</v>
      </c>
    </row>
    <row r="446" spans="1:10" x14ac:dyDescent="0.25">
      <c r="A446" t="s">
        <v>4245</v>
      </c>
      <c r="B446" t="s">
        <v>4036</v>
      </c>
      <c r="C446" s="3">
        <v>46141</v>
      </c>
      <c r="D446" s="3">
        <v>46171</v>
      </c>
      <c r="E446" s="1">
        <v>1344.37</v>
      </c>
      <c r="F446" t="s">
        <v>4040</v>
      </c>
      <c r="G446" t="str">
        <f>_xlfn.XLOOKUP(B446,tblVendors[VendorID],tblVendors[VendorName],"Unmapped")</f>
        <v>Cloud Services LLC</v>
      </c>
      <c r="H446">
        <f t="shared" si="18"/>
        <v>30</v>
      </c>
      <c r="I446" s="1">
        <f t="shared" si="19"/>
        <v>1344.37</v>
      </c>
      <c r="J446" t="str">
        <f t="shared" ca="1" si="20"/>
        <v>Overdue</v>
      </c>
    </row>
    <row r="447" spans="1:10" x14ac:dyDescent="0.25">
      <c r="A447" t="s">
        <v>4150</v>
      </c>
      <c r="B447" t="s">
        <v>4062</v>
      </c>
      <c r="C447" s="3">
        <v>46148</v>
      </c>
      <c r="D447" s="3">
        <v>46178</v>
      </c>
      <c r="E447" s="1">
        <v>6140</v>
      </c>
      <c r="F447" t="s">
        <v>4037</v>
      </c>
      <c r="G447" t="str">
        <f>_xlfn.XLOOKUP(B447,tblVendors[VendorID],tblVendors[VendorName],"Unmapped")</f>
        <v>Packaging Pros</v>
      </c>
      <c r="H447">
        <f t="shared" si="18"/>
        <v>30</v>
      </c>
      <c r="I447" s="1">
        <f t="shared" si="19"/>
        <v>0</v>
      </c>
      <c r="J447" t="str">
        <f t="shared" ca="1" si="20"/>
        <v>Paid</v>
      </c>
    </row>
    <row r="448" spans="1:10" x14ac:dyDescent="0.25">
      <c r="A448" t="s">
        <v>4082</v>
      </c>
      <c r="B448" t="s">
        <v>4062</v>
      </c>
      <c r="C448" s="3">
        <v>46162</v>
      </c>
      <c r="D448" s="3">
        <v>46192</v>
      </c>
      <c r="E448" s="1">
        <v>18941.439999999999</v>
      </c>
      <c r="F448" t="s">
        <v>4037</v>
      </c>
      <c r="G448" t="str">
        <f>_xlfn.XLOOKUP(B448,tblVendors[VendorID],tblVendors[VendorName],"Unmapped")</f>
        <v>Packaging Pros</v>
      </c>
      <c r="H448">
        <f t="shared" si="18"/>
        <v>30</v>
      </c>
      <c r="I448" s="1">
        <f t="shared" si="19"/>
        <v>0</v>
      </c>
      <c r="J448" t="str">
        <f t="shared" ca="1" si="20"/>
        <v>Paid</v>
      </c>
    </row>
    <row r="449" spans="1:10" x14ac:dyDescent="0.25">
      <c r="A449" t="s">
        <v>4326</v>
      </c>
      <c r="B449" t="s">
        <v>4036</v>
      </c>
      <c r="C449" s="3">
        <v>46166</v>
      </c>
      <c r="D449" s="3">
        <v>46196</v>
      </c>
      <c r="E449" s="1">
        <v>2213.61</v>
      </c>
      <c r="F449" t="s">
        <v>4037</v>
      </c>
      <c r="G449" t="str">
        <f>_xlfn.XLOOKUP(B449,tblVendors[VendorID],tblVendors[VendorName],"Unmapped")</f>
        <v>Cloud Services LLC</v>
      </c>
      <c r="H449">
        <f t="shared" si="18"/>
        <v>30</v>
      </c>
      <c r="I449" s="1">
        <f t="shared" si="19"/>
        <v>0</v>
      </c>
      <c r="J449" t="str">
        <f t="shared" ca="1" si="20"/>
        <v>Paid</v>
      </c>
    </row>
    <row r="450" spans="1:10" x14ac:dyDescent="0.25">
      <c r="A450" t="s">
        <v>4093</v>
      </c>
      <c r="B450" t="s">
        <v>4047</v>
      </c>
      <c r="C450" s="3">
        <v>46174</v>
      </c>
      <c r="D450" s="3">
        <v>46204</v>
      </c>
      <c r="E450" s="1">
        <v>6105.55</v>
      </c>
      <c r="F450" t="s">
        <v>4037</v>
      </c>
      <c r="G450" t="str">
        <f>_xlfn.XLOOKUP(B450,tblVendors[VendorID],tblVendors[VendorName],"Unmapped")</f>
        <v>Global Sweeteners</v>
      </c>
      <c r="H450">
        <f t="shared" ref="H450:H501" si="21">D450-C450</f>
        <v>30</v>
      </c>
      <c r="I450" s="1">
        <f t="shared" ref="I450:I501" si="22">IF(F450="Unpaid",E450,0)</f>
        <v>0</v>
      </c>
      <c r="J450" t="str">
        <f t="shared" ref="J450:J501" ca="1" si="23">IF(F450="Paid","Paid",IF(D450&lt;TODAY(),"Overdue","Open"))</f>
        <v>Paid</v>
      </c>
    </row>
    <row r="451" spans="1:10" x14ac:dyDescent="0.25">
      <c r="A451" t="s">
        <v>4448</v>
      </c>
      <c r="B451" t="s">
        <v>4036</v>
      </c>
      <c r="C451" s="3">
        <v>46174</v>
      </c>
      <c r="D451" s="3">
        <v>46204</v>
      </c>
      <c r="E451" s="1">
        <v>9576.74</v>
      </c>
      <c r="F451" t="s">
        <v>4037</v>
      </c>
      <c r="G451" t="str">
        <f>_xlfn.XLOOKUP(B451,tblVendors[VendorID],tblVendors[VendorName],"Unmapped")</f>
        <v>Cloud Services LLC</v>
      </c>
      <c r="H451">
        <f t="shared" si="21"/>
        <v>30</v>
      </c>
      <c r="I451" s="1">
        <f t="shared" si="22"/>
        <v>0</v>
      </c>
      <c r="J451" t="str">
        <f t="shared" ca="1" si="23"/>
        <v>Paid</v>
      </c>
    </row>
    <row r="452" spans="1:10" x14ac:dyDescent="0.25">
      <c r="A452" t="s">
        <v>4207</v>
      </c>
      <c r="B452" t="s">
        <v>4047</v>
      </c>
      <c r="C452" s="3">
        <v>46175</v>
      </c>
      <c r="D452" s="3">
        <v>46205</v>
      </c>
      <c r="E452" s="1">
        <v>15386.75</v>
      </c>
      <c r="F452" t="s">
        <v>4037</v>
      </c>
      <c r="G452" t="str">
        <f>_xlfn.XLOOKUP(B452,tblVendors[VendorID],tblVendors[VendorName],"Unmapped")</f>
        <v>Global Sweeteners</v>
      </c>
      <c r="H452">
        <f t="shared" si="21"/>
        <v>30</v>
      </c>
      <c r="I452" s="1">
        <f t="shared" si="22"/>
        <v>0</v>
      </c>
      <c r="J452" t="str">
        <f t="shared" ca="1" si="23"/>
        <v>Paid</v>
      </c>
    </row>
    <row r="453" spans="1:10" x14ac:dyDescent="0.25">
      <c r="A453" t="s">
        <v>4192</v>
      </c>
      <c r="B453" t="s">
        <v>4039</v>
      </c>
      <c r="C453" s="3">
        <v>46181</v>
      </c>
      <c r="D453" s="3">
        <v>46211</v>
      </c>
      <c r="E453" s="1">
        <v>11806.97</v>
      </c>
      <c r="F453" t="s">
        <v>4037</v>
      </c>
      <c r="G453" t="str">
        <f>_xlfn.XLOOKUP(B453,tblVendors[VendorID],tblVendors[VendorName],"Unmapped")</f>
        <v>Dairy Farms United</v>
      </c>
      <c r="H453">
        <f t="shared" si="21"/>
        <v>30</v>
      </c>
      <c r="I453" s="1">
        <f t="shared" si="22"/>
        <v>0</v>
      </c>
      <c r="J453" t="str">
        <f t="shared" ca="1" si="23"/>
        <v>Paid</v>
      </c>
    </row>
    <row r="454" spans="1:10" x14ac:dyDescent="0.25">
      <c r="A454" t="s">
        <v>4244</v>
      </c>
      <c r="B454" t="s">
        <v>4042</v>
      </c>
      <c r="C454" s="3">
        <v>46185</v>
      </c>
      <c r="D454" s="3">
        <v>46215</v>
      </c>
      <c r="E454" s="1">
        <v>12294.38</v>
      </c>
      <c r="F454" t="s">
        <v>4037</v>
      </c>
      <c r="G454" t="str">
        <f>_xlfn.XLOOKUP(B454,tblVendors[VendorID],tblVendors[VendorName],"Unmapped")</f>
        <v>Cocoa World Inc.</v>
      </c>
      <c r="H454">
        <f t="shared" si="21"/>
        <v>30</v>
      </c>
      <c r="I454" s="1">
        <f t="shared" si="22"/>
        <v>0</v>
      </c>
      <c r="J454" t="str">
        <f t="shared" ca="1" si="23"/>
        <v>Paid</v>
      </c>
    </row>
    <row r="455" spans="1:10" x14ac:dyDescent="0.25">
      <c r="A455" t="s">
        <v>4071</v>
      </c>
      <c r="B455" t="s">
        <v>4062</v>
      </c>
      <c r="C455" s="3">
        <v>46186</v>
      </c>
      <c r="D455" s="3">
        <v>46216</v>
      </c>
      <c r="E455" s="1">
        <v>11205.37</v>
      </c>
      <c r="F455" t="s">
        <v>4037</v>
      </c>
      <c r="G455" t="str">
        <f>_xlfn.XLOOKUP(B455,tblVendors[VendorID],tblVendors[VendorName],"Unmapped")</f>
        <v>Packaging Pros</v>
      </c>
      <c r="H455">
        <f t="shared" si="21"/>
        <v>30</v>
      </c>
      <c r="I455" s="1">
        <f t="shared" si="22"/>
        <v>0</v>
      </c>
      <c r="J455" t="str">
        <f t="shared" ca="1" si="23"/>
        <v>Paid</v>
      </c>
    </row>
    <row r="456" spans="1:10" x14ac:dyDescent="0.25">
      <c r="A456" t="s">
        <v>4429</v>
      </c>
      <c r="B456" t="s">
        <v>4062</v>
      </c>
      <c r="C456" s="3">
        <v>46186</v>
      </c>
      <c r="D456" s="3">
        <v>46216</v>
      </c>
      <c r="E456" s="1">
        <v>5832.09</v>
      </c>
      <c r="F456" t="s">
        <v>4037</v>
      </c>
      <c r="G456" t="str">
        <f>_xlfn.XLOOKUP(B456,tblVendors[VendorID],tblVendors[VendorName],"Unmapped")</f>
        <v>Packaging Pros</v>
      </c>
      <c r="H456">
        <f t="shared" si="21"/>
        <v>30</v>
      </c>
      <c r="I456" s="1">
        <f t="shared" si="22"/>
        <v>0</v>
      </c>
      <c r="J456" t="str">
        <f t="shared" ca="1" si="23"/>
        <v>Paid</v>
      </c>
    </row>
    <row r="457" spans="1:10" x14ac:dyDescent="0.25">
      <c r="A457" t="s">
        <v>4493</v>
      </c>
      <c r="B457" t="s">
        <v>4036</v>
      </c>
      <c r="C457" s="3">
        <v>46186</v>
      </c>
      <c r="D457" s="3">
        <v>46216</v>
      </c>
      <c r="E457" s="1">
        <v>13440.07</v>
      </c>
      <c r="F457" t="s">
        <v>4037</v>
      </c>
      <c r="G457" t="str">
        <f>_xlfn.XLOOKUP(B457,tblVendors[VendorID],tblVendors[VendorName],"Unmapped")</f>
        <v>Cloud Services LLC</v>
      </c>
      <c r="H457">
        <f t="shared" si="21"/>
        <v>30</v>
      </c>
      <c r="I457" s="1">
        <f t="shared" si="22"/>
        <v>0</v>
      </c>
      <c r="J457" t="str">
        <f t="shared" ca="1" si="23"/>
        <v>Paid</v>
      </c>
    </row>
    <row r="458" spans="1:10" x14ac:dyDescent="0.25">
      <c r="A458" t="s">
        <v>4221</v>
      </c>
      <c r="B458" t="s">
        <v>4036</v>
      </c>
      <c r="C458" s="3">
        <v>46188</v>
      </c>
      <c r="D458" s="3">
        <v>46218</v>
      </c>
      <c r="E458" s="1">
        <v>9098.99</v>
      </c>
      <c r="F458" t="s">
        <v>4037</v>
      </c>
      <c r="G458" t="str">
        <f>_xlfn.XLOOKUP(B458,tblVendors[VendorID],tblVendors[VendorName],"Unmapped")</f>
        <v>Cloud Services LLC</v>
      </c>
      <c r="H458">
        <f t="shared" si="21"/>
        <v>30</v>
      </c>
      <c r="I458" s="1">
        <f t="shared" si="22"/>
        <v>0</v>
      </c>
      <c r="J458" t="str">
        <f t="shared" ca="1" si="23"/>
        <v>Paid</v>
      </c>
    </row>
    <row r="459" spans="1:10" x14ac:dyDescent="0.25">
      <c r="A459" t="s">
        <v>4278</v>
      </c>
      <c r="B459" t="s">
        <v>4042</v>
      </c>
      <c r="C459" s="3">
        <v>46190</v>
      </c>
      <c r="D459" s="3">
        <v>46220</v>
      </c>
      <c r="E459" s="1">
        <v>12390.46</v>
      </c>
      <c r="F459" t="s">
        <v>4040</v>
      </c>
      <c r="G459" t="str">
        <f>_xlfn.XLOOKUP(B459,tblVendors[VendorID],tblVendors[VendorName],"Unmapped")</f>
        <v>Cocoa World Inc.</v>
      </c>
      <c r="H459">
        <f t="shared" si="21"/>
        <v>30</v>
      </c>
      <c r="I459" s="1">
        <f t="shared" si="22"/>
        <v>12390.46</v>
      </c>
      <c r="J459" t="str">
        <f t="shared" ca="1" si="23"/>
        <v>Overdue</v>
      </c>
    </row>
    <row r="460" spans="1:10" x14ac:dyDescent="0.25">
      <c r="A460" t="s">
        <v>4100</v>
      </c>
      <c r="B460" t="s">
        <v>4047</v>
      </c>
      <c r="C460" s="3">
        <v>46199</v>
      </c>
      <c r="D460" s="3">
        <v>46229</v>
      </c>
      <c r="E460" s="1">
        <v>13749.97</v>
      </c>
      <c r="F460" t="s">
        <v>4037</v>
      </c>
      <c r="G460" t="str">
        <f>_xlfn.XLOOKUP(B460,tblVendors[VendorID],tblVendors[VendorName],"Unmapped")</f>
        <v>Global Sweeteners</v>
      </c>
      <c r="H460">
        <f t="shared" si="21"/>
        <v>30</v>
      </c>
      <c r="I460" s="1">
        <f t="shared" si="22"/>
        <v>0</v>
      </c>
      <c r="J460" t="str">
        <f t="shared" ca="1" si="23"/>
        <v>Paid</v>
      </c>
    </row>
    <row r="461" spans="1:10" x14ac:dyDescent="0.25">
      <c r="A461" t="s">
        <v>4252</v>
      </c>
      <c r="B461" t="s">
        <v>4042</v>
      </c>
      <c r="C461" s="3">
        <v>46199</v>
      </c>
      <c r="D461" s="3">
        <v>46229</v>
      </c>
      <c r="E461" s="1">
        <v>3384.47</v>
      </c>
      <c r="F461" t="s">
        <v>4037</v>
      </c>
      <c r="G461" t="str">
        <f>_xlfn.XLOOKUP(B461,tblVendors[VendorID],tblVendors[VendorName],"Unmapped")</f>
        <v>Cocoa World Inc.</v>
      </c>
      <c r="H461">
        <f t="shared" si="21"/>
        <v>30</v>
      </c>
      <c r="I461" s="1">
        <f t="shared" si="22"/>
        <v>0</v>
      </c>
      <c r="J461" t="str">
        <f t="shared" ca="1" si="23"/>
        <v>Paid</v>
      </c>
    </row>
    <row r="462" spans="1:10" x14ac:dyDescent="0.25">
      <c r="A462" t="s">
        <v>4518</v>
      </c>
      <c r="B462" t="s">
        <v>4042</v>
      </c>
      <c r="C462" s="3">
        <v>46205</v>
      </c>
      <c r="D462" s="3">
        <v>46235</v>
      </c>
      <c r="E462" s="1">
        <v>2960.25</v>
      </c>
      <c r="F462" t="s">
        <v>4040</v>
      </c>
      <c r="G462" t="str">
        <f>_xlfn.XLOOKUP(B462,tblVendors[VendorID],tblVendors[VendorName],"Unmapped")</f>
        <v>Cocoa World Inc.</v>
      </c>
      <c r="H462">
        <f t="shared" si="21"/>
        <v>30</v>
      </c>
      <c r="I462" s="1">
        <f t="shared" si="22"/>
        <v>2960.25</v>
      </c>
      <c r="J462" t="str">
        <f t="shared" ca="1" si="23"/>
        <v>Overdue</v>
      </c>
    </row>
    <row r="463" spans="1:10" x14ac:dyDescent="0.25">
      <c r="A463" t="s">
        <v>4217</v>
      </c>
      <c r="B463" t="s">
        <v>4045</v>
      </c>
      <c r="C463" s="3">
        <v>46209</v>
      </c>
      <c r="D463" s="3">
        <v>46239</v>
      </c>
      <c r="E463" s="1">
        <v>2968.72</v>
      </c>
      <c r="F463" t="s">
        <v>4037</v>
      </c>
      <c r="G463" t="str">
        <f>_xlfn.XLOOKUP(B463,tblVendors[VendorID],tblVendors[VendorName],"Unmapped")</f>
        <v>Office Supplies Co.</v>
      </c>
      <c r="H463">
        <f t="shared" si="21"/>
        <v>30</v>
      </c>
      <c r="I463" s="1">
        <f t="shared" si="22"/>
        <v>0</v>
      </c>
      <c r="J463" t="str">
        <f t="shared" ca="1" si="23"/>
        <v>Paid</v>
      </c>
    </row>
    <row r="464" spans="1:10" x14ac:dyDescent="0.25">
      <c r="A464" t="s">
        <v>4311</v>
      </c>
      <c r="B464" t="s">
        <v>4042</v>
      </c>
      <c r="C464" s="3">
        <v>46209</v>
      </c>
      <c r="D464" s="3">
        <v>46239</v>
      </c>
      <c r="E464" s="1">
        <v>3986.88</v>
      </c>
      <c r="F464" t="s">
        <v>4037</v>
      </c>
      <c r="G464" t="str">
        <f>_xlfn.XLOOKUP(B464,tblVendors[VendorID],tblVendors[VendorName],"Unmapped")</f>
        <v>Cocoa World Inc.</v>
      </c>
      <c r="H464">
        <f t="shared" si="21"/>
        <v>30</v>
      </c>
      <c r="I464" s="1">
        <f t="shared" si="22"/>
        <v>0</v>
      </c>
      <c r="J464" t="str">
        <f t="shared" ca="1" si="23"/>
        <v>Paid</v>
      </c>
    </row>
    <row r="465" spans="1:10" x14ac:dyDescent="0.25">
      <c r="A465" t="s">
        <v>4540</v>
      </c>
      <c r="B465" t="s">
        <v>4042</v>
      </c>
      <c r="C465" s="3">
        <v>46209</v>
      </c>
      <c r="D465" s="3">
        <v>46239</v>
      </c>
      <c r="E465" s="1">
        <v>14094.79</v>
      </c>
      <c r="F465" t="s">
        <v>4037</v>
      </c>
      <c r="G465" t="str">
        <f>_xlfn.XLOOKUP(B465,tblVendors[VendorID],tblVendors[VendorName],"Unmapped")</f>
        <v>Cocoa World Inc.</v>
      </c>
      <c r="H465">
        <f t="shared" si="21"/>
        <v>30</v>
      </c>
      <c r="I465" s="1">
        <f t="shared" si="22"/>
        <v>0</v>
      </c>
      <c r="J465" t="str">
        <f t="shared" ca="1" si="23"/>
        <v>Paid</v>
      </c>
    </row>
    <row r="466" spans="1:10" x14ac:dyDescent="0.25">
      <c r="A466" t="s">
        <v>4432</v>
      </c>
      <c r="B466" t="s">
        <v>4042</v>
      </c>
      <c r="C466" s="3">
        <v>46212</v>
      </c>
      <c r="D466" s="3">
        <v>46242</v>
      </c>
      <c r="E466" s="1">
        <v>8014.86</v>
      </c>
      <c r="F466" t="s">
        <v>4037</v>
      </c>
      <c r="G466" t="str">
        <f>_xlfn.XLOOKUP(B466,tblVendors[VendorID],tblVendors[VendorName],"Unmapped")</f>
        <v>Cocoa World Inc.</v>
      </c>
      <c r="H466">
        <f t="shared" si="21"/>
        <v>30</v>
      </c>
      <c r="I466" s="1">
        <f t="shared" si="22"/>
        <v>0</v>
      </c>
      <c r="J466" t="str">
        <f t="shared" ca="1" si="23"/>
        <v>Paid</v>
      </c>
    </row>
    <row r="467" spans="1:10" x14ac:dyDescent="0.25">
      <c r="A467" t="s">
        <v>4487</v>
      </c>
      <c r="B467" t="s">
        <v>4062</v>
      </c>
      <c r="C467" s="3">
        <v>46214</v>
      </c>
      <c r="D467" s="3">
        <v>46244</v>
      </c>
      <c r="E467" s="1">
        <v>13857.71</v>
      </c>
      <c r="F467" t="s">
        <v>4037</v>
      </c>
      <c r="G467" t="str">
        <f>_xlfn.XLOOKUP(B467,tblVendors[VendorID],tblVendors[VendorName],"Unmapped")</f>
        <v>Packaging Pros</v>
      </c>
      <c r="H467">
        <f t="shared" si="21"/>
        <v>30</v>
      </c>
      <c r="I467" s="1">
        <f t="shared" si="22"/>
        <v>0</v>
      </c>
      <c r="J467" t="str">
        <f t="shared" ca="1" si="23"/>
        <v>Paid</v>
      </c>
    </row>
    <row r="468" spans="1:10" x14ac:dyDescent="0.25">
      <c r="A468" t="s">
        <v>4399</v>
      </c>
      <c r="B468" t="s">
        <v>4062</v>
      </c>
      <c r="C468" s="3">
        <v>46216</v>
      </c>
      <c r="D468" s="3">
        <v>46246</v>
      </c>
      <c r="E468" s="1">
        <v>8866.06</v>
      </c>
      <c r="F468" t="s">
        <v>4037</v>
      </c>
      <c r="G468" t="str">
        <f>_xlfn.XLOOKUP(B468,tblVendors[VendorID],tblVendors[VendorName],"Unmapped")</f>
        <v>Packaging Pros</v>
      </c>
      <c r="H468">
        <f t="shared" si="21"/>
        <v>30</v>
      </c>
      <c r="I468" s="1">
        <f t="shared" si="22"/>
        <v>0</v>
      </c>
      <c r="J468" t="str">
        <f t="shared" ca="1" si="23"/>
        <v>Paid</v>
      </c>
    </row>
    <row r="469" spans="1:10" x14ac:dyDescent="0.25">
      <c r="A469" t="s">
        <v>4482</v>
      </c>
      <c r="B469" t="s">
        <v>4036</v>
      </c>
      <c r="C469" s="3">
        <v>46216</v>
      </c>
      <c r="D469" s="3">
        <v>46246</v>
      </c>
      <c r="E469" s="1">
        <v>1133.25</v>
      </c>
      <c r="F469" t="s">
        <v>4037</v>
      </c>
      <c r="G469" t="str">
        <f>_xlfn.XLOOKUP(B469,tblVendors[VendorID],tblVendors[VendorName],"Unmapped")</f>
        <v>Cloud Services LLC</v>
      </c>
      <c r="H469">
        <f t="shared" si="21"/>
        <v>30</v>
      </c>
      <c r="I469" s="1">
        <f t="shared" si="22"/>
        <v>0</v>
      </c>
      <c r="J469" t="str">
        <f t="shared" ca="1" si="23"/>
        <v>Paid</v>
      </c>
    </row>
    <row r="470" spans="1:10" x14ac:dyDescent="0.25">
      <c r="A470" t="s">
        <v>4397</v>
      </c>
      <c r="B470" t="s">
        <v>4047</v>
      </c>
      <c r="C470" s="3">
        <v>46220</v>
      </c>
      <c r="D470" s="3">
        <v>46250</v>
      </c>
      <c r="E470" s="1">
        <v>14605.62</v>
      </c>
      <c r="F470" t="s">
        <v>4037</v>
      </c>
      <c r="G470" t="str">
        <f>_xlfn.XLOOKUP(B470,tblVendors[VendorID],tblVendors[VendorName],"Unmapped")</f>
        <v>Global Sweeteners</v>
      </c>
      <c r="H470">
        <f t="shared" si="21"/>
        <v>30</v>
      </c>
      <c r="I470" s="1">
        <f t="shared" si="22"/>
        <v>0</v>
      </c>
      <c r="J470" t="str">
        <f t="shared" ca="1" si="23"/>
        <v>Paid</v>
      </c>
    </row>
    <row r="471" spans="1:10" x14ac:dyDescent="0.25">
      <c r="A471" t="s">
        <v>4277</v>
      </c>
      <c r="B471" t="s">
        <v>4047</v>
      </c>
      <c r="C471" s="3">
        <v>46225</v>
      </c>
      <c r="D471" s="3">
        <v>46255</v>
      </c>
      <c r="E471" s="1">
        <v>16073.36</v>
      </c>
      <c r="F471" t="s">
        <v>4037</v>
      </c>
      <c r="G471" t="str">
        <f>_xlfn.XLOOKUP(B471,tblVendors[VendorID],tblVendors[VendorName],"Unmapped")</f>
        <v>Global Sweeteners</v>
      </c>
      <c r="H471">
        <f t="shared" si="21"/>
        <v>30</v>
      </c>
      <c r="I471" s="1">
        <f t="shared" si="22"/>
        <v>0</v>
      </c>
      <c r="J471" t="str">
        <f t="shared" ca="1" si="23"/>
        <v>Paid</v>
      </c>
    </row>
    <row r="472" spans="1:10" x14ac:dyDescent="0.25">
      <c r="A472" t="s">
        <v>4436</v>
      </c>
      <c r="B472" t="s">
        <v>4039</v>
      </c>
      <c r="C472" s="3">
        <v>46225</v>
      </c>
      <c r="D472" s="3">
        <v>46255</v>
      </c>
      <c r="E472" s="1">
        <v>17807.21</v>
      </c>
      <c r="F472" t="s">
        <v>4037</v>
      </c>
      <c r="G472" t="str">
        <f>_xlfn.XLOOKUP(B472,tblVendors[VendorID],tblVendors[VendorName],"Unmapped")</f>
        <v>Dairy Farms United</v>
      </c>
      <c r="H472">
        <f t="shared" si="21"/>
        <v>30</v>
      </c>
      <c r="I472" s="1">
        <f t="shared" si="22"/>
        <v>0</v>
      </c>
      <c r="J472" t="str">
        <f t="shared" ca="1" si="23"/>
        <v>Paid</v>
      </c>
    </row>
    <row r="473" spans="1:10" x14ac:dyDescent="0.25">
      <c r="A473" t="s">
        <v>4447</v>
      </c>
      <c r="B473" t="s">
        <v>4045</v>
      </c>
      <c r="C473" s="3">
        <v>46233</v>
      </c>
      <c r="D473" s="3">
        <v>46263</v>
      </c>
      <c r="E473" s="1">
        <v>3303.16</v>
      </c>
      <c r="F473" t="s">
        <v>4037</v>
      </c>
      <c r="G473" t="str">
        <f>_xlfn.XLOOKUP(B473,tblVendors[VendorID],tblVendors[VendorName],"Unmapped")</f>
        <v>Office Supplies Co.</v>
      </c>
      <c r="H473">
        <f t="shared" si="21"/>
        <v>30</v>
      </c>
      <c r="I473" s="1">
        <f t="shared" si="22"/>
        <v>0</v>
      </c>
      <c r="J473" t="str">
        <f t="shared" ca="1" si="23"/>
        <v>Paid</v>
      </c>
    </row>
    <row r="474" spans="1:10" x14ac:dyDescent="0.25">
      <c r="A474" t="s">
        <v>4521</v>
      </c>
      <c r="B474" t="s">
        <v>4062</v>
      </c>
      <c r="C474" s="3">
        <v>46233</v>
      </c>
      <c r="D474" s="3">
        <v>46263</v>
      </c>
      <c r="E474" s="1">
        <v>6241.32</v>
      </c>
      <c r="F474" t="s">
        <v>4037</v>
      </c>
      <c r="G474" t="str">
        <f>_xlfn.XLOOKUP(B474,tblVendors[VendorID],tblVendors[VendorName],"Unmapped")</f>
        <v>Packaging Pros</v>
      </c>
      <c r="H474">
        <f t="shared" si="21"/>
        <v>30</v>
      </c>
      <c r="I474" s="1">
        <f t="shared" si="22"/>
        <v>0</v>
      </c>
      <c r="J474" t="str">
        <f t="shared" ca="1" si="23"/>
        <v>Paid</v>
      </c>
    </row>
    <row r="475" spans="1:10" x14ac:dyDescent="0.25">
      <c r="A475" t="s">
        <v>4480</v>
      </c>
      <c r="B475" t="s">
        <v>4047</v>
      </c>
      <c r="C475" s="3">
        <v>46236</v>
      </c>
      <c r="D475" s="3">
        <v>46266</v>
      </c>
      <c r="E475" s="1">
        <v>18547.37</v>
      </c>
      <c r="F475" t="s">
        <v>4037</v>
      </c>
      <c r="G475" t="str">
        <f>_xlfn.XLOOKUP(B475,tblVendors[VendorID],tblVendors[VendorName],"Unmapped")</f>
        <v>Global Sweeteners</v>
      </c>
      <c r="H475">
        <f t="shared" si="21"/>
        <v>30</v>
      </c>
      <c r="I475" s="1">
        <f t="shared" si="22"/>
        <v>0</v>
      </c>
      <c r="J475" t="str">
        <f t="shared" ca="1" si="23"/>
        <v>Paid</v>
      </c>
    </row>
    <row r="476" spans="1:10" x14ac:dyDescent="0.25">
      <c r="A476" t="s">
        <v>4303</v>
      </c>
      <c r="B476" t="s">
        <v>4062</v>
      </c>
      <c r="C476" s="3">
        <v>46240</v>
      </c>
      <c r="D476" s="3">
        <v>46270</v>
      </c>
      <c r="E476" s="1">
        <v>12299.93</v>
      </c>
      <c r="F476" t="s">
        <v>4037</v>
      </c>
      <c r="G476" t="str">
        <f>_xlfn.XLOOKUP(B476,tblVendors[VendorID],tblVendors[VendorName],"Unmapped")</f>
        <v>Packaging Pros</v>
      </c>
      <c r="H476">
        <f t="shared" si="21"/>
        <v>30</v>
      </c>
      <c r="I476" s="1">
        <f t="shared" si="22"/>
        <v>0</v>
      </c>
      <c r="J476" t="str">
        <f t="shared" ca="1" si="23"/>
        <v>Paid</v>
      </c>
    </row>
    <row r="477" spans="1:10" x14ac:dyDescent="0.25">
      <c r="A477" t="s">
        <v>4449</v>
      </c>
      <c r="B477" t="s">
        <v>4047</v>
      </c>
      <c r="C477" s="3">
        <v>46244</v>
      </c>
      <c r="D477" s="3">
        <v>46274</v>
      </c>
      <c r="E477" s="1">
        <v>1227.6600000000001</v>
      </c>
      <c r="F477" t="s">
        <v>4037</v>
      </c>
      <c r="G477" t="str">
        <f>_xlfn.XLOOKUP(B477,tblVendors[VendorID],tblVendors[VendorName],"Unmapped")</f>
        <v>Global Sweeteners</v>
      </c>
      <c r="H477">
        <f t="shared" si="21"/>
        <v>30</v>
      </c>
      <c r="I477" s="1">
        <f t="shared" si="22"/>
        <v>0</v>
      </c>
      <c r="J477" t="str">
        <f t="shared" ca="1" si="23"/>
        <v>Paid</v>
      </c>
    </row>
    <row r="478" spans="1:10" x14ac:dyDescent="0.25">
      <c r="A478" t="s">
        <v>4241</v>
      </c>
      <c r="B478" t="s">
        <v>4045</v>
      </c>
      <c r="C478" s="3">
        <v>46246</v>
      </c>
      <c r="D478" s="3">
        <v>46276</v>
      </c>
      <c r="E478" s="1">
        <v>17130.82</v>
      </c>
      <c r="F478" t="s">
        <v>4037</v>
      </c>
      <c r="G478" t="str">
        <f>_xlfn.XLOOKUP(B478,tblVendors[VendorID],tblVendors[VendorName],"Unmapped")</f>
        <v>Office Supplies Co.</v>
      </c>
      <c r="H478">
        <f t="shared" si="21"/>
        <v>30</v>
      </c>
      <c r="I478" s="1">
        <f t="shared" si="22"/>
        <v>0</v>
      </c>
      <c r="J478" t="str">
        <f t="shared" ca="1" si="23"/>
        <v>Paid</v>
      </c>
    </row>
    <row r="479" spans="1:10" x14ac:dyDescent="0.25">
      <c r="A479" t="s">
        <v>4270</v>
      </c>
      <c r="B479" t="s">
        <v>4062</v>
      </c>
      <c r="C479" s="3">
        <v>46248</v>
      </c>
      <c r="D479" s="3">
        <v>46278</v>
      </c>
      <c r="E479" s="1">
        <v>19359.96</v>
      </c>
      <c r="F479" t="s">
        <v>4037</v>
      </c>
      <c r="G479" t="str">
        <f>_xlfn.XLOOKUP(B479,tblVendors[VendorID],tblVendors[VendorName],"Unmapped")</f>
        <v>Packaging Pros</v>
      </c>
      <c r="H479">
        <f t="shared" si="21"/>
        <v>30</v>
      </c>
      <c r="I479" s="1">
        <f t="shared" si="22"/>
        <v>0</v>
      </c>
      <c r="J479" t="str">
        <f t="shared" ca="1" si="23"/>
        <v>Paid</v>
      </c>
    </row>
    <row r="480" spans="1:10" x14ac:dyDescent="0.25">
      <c r="A480" t="s">
        <v>4281</v>
      </c>
      <c r="B480" t="s">
        <v>4047</v>
      </c>
      <c r="C480" s="3">
        <v>46250</v>
      </c>
      <c r="D480" s="3">
        <v>46280</v>
      </c>
      <c r="E480" s="1">
        <v>15681.57</v>
      </c>
      <c r="F480" t="s">
        <v>4037</v>
      </c>
      <c r="G480" t="str">
        <f>_xlfn.XLOOKUP(B480,tblVendors[VendorID],tblVendors[VendorName],"Unmapped")</f>
        <v>Global Sweeteners</v>
      </c>
      <c r="H480">
        <f t="shared" si="21"/>
        <v>30</v>
      </c>
      <c r="I480" s="1">
        <f t="shared" si="22"/>
        <v>0</v>
      </c>
      <c r="J480" t="str">
        <f t="shared" ca="1" si="23"/>
        <v>Paid</v>
      </c>
    </row>
    <row r="481" spans="1:10" x14ac:dyDescent="0.25">
      <c r="A481" t="s">
        <v>4380</v>
      </c>
      <c r="B481" t="s">
        <v>4045</v>
      </c>
      <c r="C481" s="3">
        <v>46252</v>
      </c>
      <c r="D481" s="3">
        <v>46282</v>
      </c>
      <c r="E481" s="1">
        <v>17978.419999999998</v>
      </c>
      <c r="F481" t="s">
        <v>4037</v>
      </c>
      <c r="G481" t="str">
        <f>_xlfn.XLOOKUP(B481,tblVendors[VendorID],tblVendors[VendorName],"Unmapped")</f>
        <v>Office Supplies Co.</v>
      </c>
      <c r="H481">
        <f t="shared" si="21"/>
        <v>30</v>
      </c>
      <c r="I481" s="1">
        <f t="shared" si="22"/>
        <v>0</v>
      </c>
      <c r="J481" t="str">
        <f t="shared" ca="1" si="23"/>
        <v>Paid</v>
      </c>
    </row>
    <row r="482" spans="1:10" x14ac:dyDescent="0.25">
      <c r="A482" t="s">
        <v>4452</v>
      </c>
      <c r="B482" t="s">
        <v>4042</v>
      </c>
      <c r="C482" s="3">
        <v>46252</v>
      </c>
      <c r="D482" s="3">
        <v>46282</v>
      </c>
      <c r="E482" s="1">
        <v>16743.03</v>
      </c>
      <c r="F482" t="s">
        <v>4037</v>
      </c>
      <c r="G482" t="str">
        <f>_xlfn.XLOOKUP(B482,tblVendors[VendorID],tblVendors[VendorName],"Unmapped")</f>
        <v>Cocoa World Inc.</v>
      </c>
      <c r="H482">
        <f t="shared" si="21"/>
        <v>30</v>
      </c>
      <c r="I482" s="1">
        <f t="shared" si="22"/>
        <v>0</v>
      </c>
      <c r="J482" t="str">
        <f t="shared" ca="1" si="23"/>
        <v>Paid</v>
      </c>
    </row>
    <row r="483" spans="1:10" x14ac:dyDescent="0.25">
      <c r="A483" t="s">
        <v>4128</v>
      </c>
      <c r="B483" t="s">
        <v>4036</v>
      </c>
      <c r="C483" s="3">
        <v>46253</v>
      </c>
      <c r="D483" s="3">
        <v>46283</v>
      </c>
      <c r="E483" s="1">
        <v>13244.08</v>
      </c>
      <c r="F483" t="s">
        <v>4037</v>
      </c>
      <c r="G483" t="str">
        <f>_xlfn.XLOOKUP(B483,tblVendors[VendorID],tblVendors[VendorName],"Unmapped")</f>
        <v>Cloud Services LLC</v>
      </c>
      <c r="H483">
        <f t="shared" si="21"/>
        <v>30</v>
      </c>
      <c r="I483" s="1">
        <f t="shared" si="22"/>
        <v>0</v>
      </c>
      <c r="J483" t="str">
        <f t="shared" ca="1" si="23"/>
        <v>Paid</v>
      </c>
    </row>
    <row r="484" spans="1:10" x14ac:dyDescent="0.25">
      <c r="A484" t="s">
        <v>4541</v>
      </c>
      <c r="B484" t="s">
        <v>4045</v>
      </c>
      <c r="C484" s="3">
        <v>46256</v>
      </c>
      <c r="D484" s="3">
        <v>46286</v>
      </c>
      <c r="E484" s="1">
        <v>3024.54</v>
      </c>
      <c r="F484" t="s">
        <v>4040</v>
      </c>
      <c r="G484" t="str">
        <f>_xlfn.XLOOKUP(B484,tblVendors[VendorID],tblVendors[VendorName],"Unmapped")</f>
        <v>Office Supplies Co.</v>
      </c>
      <c r="H484">
        <f t="shared" si="21"/>
        <v>30</v>
      </c>
      <c r="I484" s="1">
        <f t="shared" si="22"/>
        <v>3024.54</v>
      </c>
      <c r="J484" t="str">
        <f t="shared" ca="1" si="23"/>
        <v>Overdue</v>
      </c>
    </row>
    <row r="485" spans="1:10" x14ac:dyDescent="0.25">
      <c r="A485" t="s">
        <v>4530</v>
      </c>
      <c r="B485" t="s">
        <v>4062</v>
      </c>
      <c r="C485" s="3">
        <v>46258</v>
      </c>
      <c r="D485" s="3">
        <v>46288</v>
      </c>
      <c r="E485" s="1">
        <v>1017.74</v>
      </c>
      <c r="F485" t="s">
        <v>4040</v>
      </c>
      <c r="G485" t="str">
        <f>_xlfn.XLOOKUP(B485,tblVendors[VendorID],tblVendors[VendorName],"Unmapped")</f>
        <v>Packaging Pros</v>
      </c>
      <c r="H485">
        <f t="shared" si="21"/>
        <v>30</v>
      </c>
      <c r="I485" s="1">
        <f t="shared" si="22"/>
        <v>1017.74</v>
      </c>
      <c r="J485" t="str">
        <f t="shared" ca="1" si="23"/>
        <v>Overdue</v>
      </c>
    </row>
    <row r="486" spans="1:10" x14ac:dyDescent="0.25">
      <c r="A486" t="s">
        <v>4495</v>
      </c>
      <c r="B486" t="s">
        <v>4039</v>
      </c>
      <c r="C486" s="3">
        <v>46259</v>
      </c>
      <c r="D486" s="3">
        <v>46289</v>
      </c>
      <c r="E486" s="1">
        <v>17979.810000000001</v>
      </c>
      <c r="F486" t="s">
        <v>4040</v>
      </c>
      <c r="G486" t="str">
        <f>_xlfn.XLOOKUP(B486,tblVendors[VendorID],tblVendors[VendorName],"Unmapped")</f>
        <v>Dairy Farms United</v>
      </c>
      <c r="H486">
        <f t="shared" si="21"/>
        <v>30</v>
      </c>
      <c r="I486" s="1">
        <f t="shared" si="22"/>
        <v>17979.810000000001</v>
      </c>
      <c r="J486" t="str">
        <f t="shared" ca="1" si="23"/>
        <v>Overdue</v>
      </c>
    </row>
    <row r="487" spans="1:10" x14ac:dyDescent="0.25">
      <c r="A487" t="s">
        <v>4531</v>
      </c>
      <c r="B487" t="s">
        <v>4036</v>
      </c>
      <c r="C487" s="3">
        <v>46268</v>
      </c>
      <c r="D487" s="3">
        <v>46298</v>
      </c>
      <c r="E487" s="1">
        <v>13656.14</v>
      </c>
      <c r="F487" t="s">
        <v>4040</v>
      </c>
      <c r="G487" t="str">
        <f>_xlfn.XLOOKUP(B487,tblVendors[VendorID],tblVendors[VendorName],"Unmapped")</f>
        <v>Cloud Services LLC</v>
      </c>
      <c r="H487">
        <f t="shared" si="21"/>
        <v>30</v>
      </c>
      <c r="I487" s="1">
        <f t="shared" si="22"/>
        <v>13656.14</v>
      </c>
      <c r="J487" t="str">
        <f t="shared" ca="1" si="23"/>
        <v>Overdue</v>
      </c>
    </row>
    <row r="488" spans="1:10" x14ac:dyDescent="0.25">
      <c r="A488" t="s">
        <v>4316</v>
      </c>
      <c r="B488" t="s">
        <v>4036</v>
      </c>
      <c r="C488" s="3">
        <v>46276</v>
      </c>
      <c r="D488" s="3">
        <v>46306</v>
      </c>
      <c r="E488" s="1">
        <v>17432.650000000001</v>
      </c>
      <c r="F488" t="s">
        <v>4037</v>
      </c>
      <c r="G488" t="str">
        <f>_xlfn.XLOOKUP(B488,tblVendors[VendorID],tblVendors[VendorName],"Unmapped")</f>
        <v>Cloud Services LLC</v>
      </c>
      <c r="H488">
        <f t="shared" si="21"/>
        <v>30</v>
      </c>
      <c r="I488" s="1">
        <f t="shared" si="22"/>
        <v>0</v>
      </c>
      <c r="J488" t="str">
        <f t="shared" ca="1" si="23"/>
        <v>Paid</v>
      </c>
    </row>
    <row r="489" spans="1:10" x14ac:dyDescent="0.25">
      <c r="A489" t="s">
        <v>4213</v>
      </c>
      <c r="B489" t="s">
        <v>4047</v>
      </c>
      <c r="C489" s="3">
        <v>46277</v>
      </c>
      <c r="D489" s="3">
        <v>46307</v>
      </c>
      <c r="E489" s="1">
        <v>9741.84</v>
      </c>
      <c r="F489" t="s">
        <v>4037</v>
      </c>
      <c r="G489" t="str">
        <f>_xlfn.XLOOKUP(B489,tblVendors[VendorID],tblVendors[VendorName],"Unmapped")</f>
        <v>Global Sweeteners</v>
      </c>
      <c r="H489">
        <f t="shared" si="21"/>
        <v>30</v>
      </c>
      <c r="I489" s="1">
        <f t="shared" si="22"/>
        <v>0</v>
      </c>
      <c r="J489" t="str">
        <f t="shared" ca="1" si="23"/>
        <v>Paid</v>
      </c>
    </row>
    <row r="490" spans="1:10" x14ac:dyDescent="0.25">
      <c r="A490" t="s">
        <v>4524</v>
      </c>
      <c r="B490" t="s">
        <v>4047</v>
      </c>
      <c r="C490" s="3">
        <v>46284</v>
      </c>
      <c r="D490" s="3">
        <v>46314</v>
      </c>
      <c r="E490" s="1">
        <v>2396.5100000000002</v>
      </c>
      <c r="F490" t="s">
        <v>4037</v>
      </c>
      <c r="G490" t="str">
        <f>_xlfn.XLOOKUP(B490,tblVendors[VendorID],tblVendors[VendorName],"Unmapped")</f>
        <v>Global Sweeteners</v>
      </c>
      <c r="H490">
        <f t="shared" si="21"/>
        <v>30</v>
      </c>
      <c r="I490" s="1">
        <f t="shared" si="22"/>
        <v>0</v>
      </c>
      <c r="J490" t="str">
        <f t="shared" ca="1" si="23"/>
        <v>Paid</v>
      </c>
    </row>
    <row r="491" spans="1:10" x14ac:dyDescent="0.25">
      <c r="A491" t="s">
        <v>4167</v>
      </c>
      <c r="B491" t="s">
        <v>4039</v>
      </c>
      <c r="C491" s="3">
        <v>46286</v>
      </c>
      <c r="D491" s="3">
        <v>46316</v>
      </c>
      <c r="E491" s="1">
        <v>5029.54</v>
      </c>
      <c r="F491" t="s">
        <v>4037</v>
      </c>
      <c r="G491" t="str">
        <f>_xlfn.XLOOKUP(B491,tblVendors[VendorID],tblVendors[VendorName],"Unmapped")</f>
        <v>Dairy Farms United</v>
      </c>
      <c r="H491">
        <f t="shared" si="21"/>
        <v>30</v>
      </c>
      <c r="I491" s="1">
        <f t="shared" si="22"/>
        <v>0</v>
      </c>
      <c r="J491" t="str">
        <f t="shared" ca="1" si="23"/>
        <v>Paid</v>
      </c>
    </row>
    <row r="492" spans="1:10" x14ac:dyDescent="0.25">
      <c r="A492" t="s">
        <v>4421</v>
      </c>
      <c r="B492" t="s">
        <v>4045</v>
      </c>
      <c r="C492" s="3">
        <v>46294</v>
      </c>
      <c r="D492" s="3">
        <v>46324</v>
      </c>
      <c r="E492" s="1">
        <v>11640.44</v>
      </c>
      <c r="F492" t="s">
        <v>4040</v>
      </c>
      <c r="G492" t="str">
        <f>_xlfn.XLOOKUP(B492,tblVendors[VendorID],tblVendors[VendorName],"Unmapped")</f>
        <v>Office Supplies Co.</v>
      </c>
      <c r="H492">
        <f t="shared" si="21"/>
        <v>30</v>
      </c>
      <c r="I492" s="1">
        <f t="shared" si="22"/>
        <v>11640.44</v>
      </c>
      <c r="J492" t="str">
        <f t="shared" ca="1" si="23"/>
        <v>Open</v>
      </c>
    </row>
    <row r="493" spans="1:10" x14ac:dyDescent="0.25">
      <c r="A493" t="s">
        <v>4456</v>
      </c>
      <c r="B493" t="s">
        <v>4047</v>
      </c>
      <c r="C493" s="3">
        <v>46295</v>
      </c>
      <c r="D493" s="3">
        <v>46325</v>
      </c>
      <c r="E493" s="1">
        <v>11675.13</v>
      </c>
      <c r="F493" t="s">
        <v>4037</v>
      </c>
      <c r="G493" t="str">
        <f>_xlfn.XLOOKUP(B493,tblVendors[VendorID],tblVendors[VendorName],"Unmapped")</f>
        <v>Global Sweeteners</v>
      </c>
      <c r="H493">
        <f t="shared" si="21"/>
        <v>30</v>
      </c>
      <c r="I493" s="1">
        <f t="shared" si="22"/>
        <v>0</v>
      </c>
      <c r="J493" t="str">
        <f t="shared" ca="1" si="23"/>
        <v>Paid</v>
      </c>
    </row>
    <row r="494" spans="1:10" x14ac:dyDescent="0.25">
      <c r="A494" t="s">
        <v>4239</v>
      </c>
      <c r="B494" t="s">
        <v>4047</v>
      </c>
      <c r="C494" s="3">
        <v>46296</v>
      </c>
      <c r="D494" s="3">
        <v>46326</v>
      </c>
      <c r="E494" s="1">
        <v>16381.13</v>
      </c>
      <c r="F494" t="s">
        <v>4037</v>
      </c>
      <c r="G494" t="str">
        <f>_xlfn.XLOOKUP(B494,tblVendors[VendorID],tblVendors[VendorName],"Unmapped")</f>
        <v>Global Sweeteners</v>
      </c>
      <c r="H494">
        <f t="shared" si="21"/>
        <v>30</v>
      </c>
      <c r="I494" s="1">
        <f t="shared" si="22"/>
        <v>0</v>
      </c>
      <c r="J494" t="str">
        <f t="shared" ca="1" si="23"/>
        <v>Paid</v>
      </c>
    </row>
    <row r="495" spans="1:10" x14ac:dyDescent="0.25">
      <c r="A495" t="s">
        <v>4390</v>
      </c>
      <c r="B495" t="s">
        <v>4047</v>
      </c>
      <c r="C495" s="3">
        <v>46296</v>
      </c>
      <c r="D495" s="3">
        <v>46326</v>
      </c>
      <c r="E495" s="1">
        <v>2645.48</v>
      </c>
      <c r="F495" t="s">
        <v>4037</v>
      </c>
      <c r="G495" t="str">
        <f>_xlfn.XLOOKUP(B495,tblVendors[VendorID],tblVendors[VendorName],"Unmapped")</f>
        <v>Global Sweeteners</v>
      </c>
      <c r="H495">
        <f t="shared" si="21"/>
        <v>30</v>
      </c>
      <c r="I495" s="1">
        <f t="shared" si="22"/>
        <v>0</v>
      </c>
      <c r="J495" t="str">
        <f t="shared" ca="1" si="23"/>
        <v>Paid</v>
      </c>
    </row>
    <row r="496" spans="1:10" x14ac:dyDescent="0.25">
      <c r="A496" t="s">
        <v>4504</v>
      </c>
      <c r="B496" t="s">
        <v>4039</v>
      </c>
      <c r="C496" s="3">
        <v>46296</v>
      </c>
      <c r="D496" s="3">
        <v>46326</v>
      </c>
      <c r="E496" s="1">
        <v>12627.04</v>
      </c>
      <c r="F496" t="s">
        <v>4037</v>
      </c>
      <c r="G496" t="str">
        <f>_xlfn.XLOOKUP(B496,tblVendors[VendorID],tblVendors[VendorName],"Unmapped")</f>
        <v>Dairy Farms United</v>
      </c>
      <c r="H496">
        <f t="shared" si="21"/>
        <v>30</v>
      </c>
      <c r="I496" s="1">
        <f t="shared" si="22"/>
        <v>0</v>
      </c>
      <c r="J496" t="str">
        <f t="shared" ca="1" si="23"/>
        <v>Paid</v>
      </c>
    </row>
    <row r="497" spans="1:10" x14ac:dyDescent="0.25">
      <c r="A497" t="s">
        <v>4052</v>
      </c>
      <c r="B497" t="s">
        <v>4039</v>
      </c>
      <c r="C497" s="3">
        <v>46297</v>
      </c>
      <c r="D497" s="3">
        <v>46327</v>
      </c>
      <c r="E497" s="1">
        <v>9358.0499999999993</v>
      </c>
      <c r="F497" t="s">
        <v>4037</v>
      </c>
      <c r="G497" t="str">
        <f>_xlfn.XLOOKUP(B497,tblVendors[VendorID],tblVendors[VendorName],"Unmapped")</f>
        <v>Dairy Farms United</v>
      </c>
      <c r="H497">
        <f t="shared" si="21"/>
        <v>30</v>
      </c>
      <c r="I497" s="1">
        <f t="shared" si="22"/>
        <v>0</v>
      </c>
      <c r="J497" t="str">
        <f t="shared" ca="1" si="23"/>
        <v>Paid</v>
      </c>
    </row>
    <row r="498" spans="1:10" x14ac:dyDescent="0.25">
      <c r="A498" t="s">
        <v>4053</v>
      </c>
      <c r="B498" t="s">
        <v>4045</v>
      </c>
      <c r="C498" s="3">
        <v>46298</v>
      </c>
      <c r="D498" s="3">
        <v>46328</v>
      </c>
      <c r="E498" s="1">
        <v>3413.43</v>
      </c>
      <c r="F498" t="s">
        <v>4040</v>
      </c>
      <c r="G498" t="str">
        <f>_xlfn.XLOOKUP(B498,tblVendors[VendorID],tblVendors[VendorName],"Unmapped")</f>
        <v>Office Supplies Co.</v>
      </c>
      <c r="H498">
        <f t="shared" si="21"/>
        <v>30</v>
      </c>
      <c r="I498" s="1">
        <f t="shared" si="22"/>
        <v>3413.43</v>
      </c>
      <c r="J498" t="str">
        <f t="shared" ca="1" si="23"/>
        <v>Open</v>
      </c>
    </row>
    <row r="499" spans="1:10" x14ac:dyDescent="0.25">
      <c r="A499" t="s">
        <v>4348</v>
      </c>
      <c r="B499" t="s">
        <v>4042</v>
      </c>
      <c r="C499" s="3">
        <v>46299</v>
      </c>
      <c r="D499" s="3">
        <v>46329</v>
      </c>
      <c r="E499" s="1">
        <v>2201.91</v>
      </c>
      <c r="F499" t="s">
        <v>4037</v>
      </c>
      <c r="G499" t="str">
        <f>_xlfn.XLOOKUP(B499,tblVendors[VendorID],tblVendors[VendorName],"Unmapped")</f>
        <v>Cocoa World Inc.</v>
      </c>
      <c r="H499">
        <f t="shared" si="21"/>
        <v>30</v>
      </c>
      <c r="I499" s="1">
        <f t="shared" si="22"/>
        <v>0</v>
      </c>
      <c r="J499" t="str">
        <f t="shared" ca="1" si="23"/>
        <v>Paid</v>
      </c>
    </row>
    <row r="500" spans="1:10" x14ac:dyDescent="0.25">
      <c r="A500" t="s">
        <v>4292</v>
      </c>
      <c r="B500" t="s">
        <v>4039</v>
      </c>
      <c r="C500" s="3">
        <v>46300</v>
      </c>
      <c r="D500" s="3">
        <v>46330</v>
      </c>
      <c r="E500" s="1">
        <v>8770.2999999999993</v>
      </c>
      <c r="F500" t="s">
        <v>4037</v>
      </c>
      <c r="G500" t="str">
        <f>_xlfn.XLOOKUP(B500,tblVendors[VendorID],tblVendors[VendorName],"Unmapped")</f>
        <v>Dairy Farms United</v>
      </c>
      <c r="H500">
        <f t="shared" si="21"/>
        <v>30</v>
      </c>
      <c r="I500" s="1">
        <f t="shared" si="22"/>
        <v>0</v>
      </c>
      <c r="J500" t="str">
        <f t="shared" ca="1" si="23"/>
        <v>Paid</v>
      </c>
    </row>
    <row r="501" spans="1:10" x14ac:dyDescent="0.25">
      <c r="A501" t="s">
        <v>4478</v>
      </c>
      <c r="B501" t="s">
        <v>4039</v>
      </c>
      <c r="C501" s="3">
        <v>46300</v>
      </c>
      <c r="D501" s="3">
        <v>46330</v>
      </c>
      <c r="E501" s="1">
        <v>18432.560000000001</v>
      </c>
      <c r="F501" t="s">
        <v>4037</v>
      </c>
      <c r="G501" t="str">
        <f>_xlfn.XLOOKUP(B501,tblVendors[VendorID],tblVendors[VendorName],"Unmapped")</f>
        <v>Dairy Farms United</v>
      </c>
      <c r="H501">
        <f t="shared" si="21"/>
        <v>30</v>
      </c>
      <c r="I501" s="1">
        <f t="shared" si="22"/>
        <v>0</v>
      </c>
      <c r="J501" t="str">
        <f t="shared" ca="1" si="23"/>
        <v>Paid</v>
      </c>
    </row>
  </sheetData>
  <conditionalFormatting sqref="A2:J501">
    <cfRule type="expression" dxfId="47" priority="1">
      <formula>$J2="Overdue"</formula>
    </cfRule>
  </conditionalFormatting>
  <conditionalFormatting sqref="A2:J501">
    <cfRule type="expression" dxfId="46" priority="2">
      <formula>$J2="Open"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sqref="A1:B7"/>
    </sheetView>
  </sheetViews>
  <sheetFormatPr defaultRowHeight="15.75" x14ac:dyDescent="0.25"/>
  <cols>
    <col min="1" max="1" width="10.875" bestFit="1" customWidth="1"/>
    <col min="2" max="2" width="17.125" bestFit="1" customWidth="1"/>
  </cols>
  <sheetData>
    <row r="1" spans="1:2" x14ac:dyDescent="0.25">
      <c r="A1" t="s">
        <v>4030</v>
      </c>
      <c r="B1" t="s">
        <v>4543</v>
      </c>
    </row>
    <row r="2" spans="1:2" x14ac:dyDescent="0.25">
      <c r="A2" t="s">
        <v>4042</v>
      </c>
      <c r="B2" t="s">
        <v>4544</v>
      </c>
    </row>
    <row r="3" spans="1:2" x14ac:dyDescent="0.25">
      <c r="A3" t="s">
        <v>4047</v>
      </c>
      <c r="B3" t="s">
        <v>4545</v>
      </c>
    </row>
    <row r="4" spans="1:2" x14ac:dyDescent="0.25">
      <c r="A4" t="s">
        <v>4039</v>
      </c>
      <c r="B4" t="s">
        <v>4546</v>
      </c>
    </row>
    <row r="5" spans="1:2" x14ac:dyDescent="0.25">
      <c r="A5" t="s">
        <v>4062</v>
      </c>
      <c r="B5" t="s">
        <v>4547</v>
      </c>
    </row>
    <row r="6" spans="1:2" x14ac:dyDescent="0.25">
      <c r="A6" t="s">
        <v>4045</v>
      </c>
      <c r="B6" t="s">
        <v>4548</v>
      </c>
    </row>
    <row r="7" spans="1:2" x14ac:dyDescent="0.25">
      <c r="A7" t="s">
        <v>4036</v>
      </c>
      <c r="B7" t="s">
        <v>4549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1"/>
  <sheetViews>
    <sheetView workbookViewId="0">
      <pane ySplit="1" topLeftCell="A2" activePane="bottomLeft" state="frozen"/>
      <selection pane="bottomLeft" sqref="A1:J501"/>
    </sheetView>
  </sheetViews>
  <sheetFormatPr defaultRowHeight="15.75" x14ac:dyDescent="0.25"/>
  <cols>
    <col min="1" max="1" width="13.375" bestFit="1" customWidth="1"/>
    <col min="2" max="3" width="10.75" bestFit="1" customWidth="1"/>
    <col min="4" max="4" width="10.125" bestFit="1" customWidth="1"/>
    <col min="5" max="5" width="13.75" bestFit="1" customWidth="1"/>
    <col min="6" max="6" width="7" bestFit="1" customWidth="1"/>
    <col min="7" max="7" width="20.75" customWidth="1"/>
    <col min="8" max="8" width="12.125" customWidth="1"/>
    <col min="9" max="9" width="18.25" bestFit="1" customWidth="1"/>
    <col min="10" max="10" width="12.125" bestFit="1" customWidth="1"/>
  </cols>
  <sheetData>
    <row r="1" spans="1:10" x14ac:dyDescent="0.25">
      <c r="A1" t="s">
        <v>4029</v>
      </c>
      <c r="B1" t="s">
        <v>4550</v>
      </c>
      <c r="C1" s="3" t="s">
        <v>4031</v>
      </c>
      <c r="D1" s="3" t="s">
        <v>4032</v>
      </c>
      <c r="E1" s="1" t="s">
        <v>4033</v>
      </c>
      <c r="F1" t="s">
        <v>4034</v>
      </c>
      <c r="G1" t="s">
        <v>5056</v>
      </c>
      <c r="H1" t="s">
        <v>5680</v>
      </c>
      <c r="I1" s="1" t="s">
        <v>5681</v>
      </c>
      <c r="J1" t="s">
        <v>5682</v>
      </c>
    </row>
    <row r="2" spans="1:10" x14ac:dyDescent="0.25">
      <c r="A2" t="s">
        <v>4909</v>
      </c>
      <c r="B2" t="s">
        <v>4552</v>
      </c>
      <c r="C2" s="3">
        <v>44929</v>
      </c>
      <c r="D2" s="3">
        <v>44959</v>
      </c>
      <c r="E2" s="1">
        <v>21065.42</v>
      </c>
      <c r="F2" t="s">
        <v>4037</v>
      </c>
      <c r="G2" t="str">
        <f>_xlfn.XLOOKUP(B2,tblCustomers[CustomerID],tblCustomers[CustomerName],"Unmapped")</f>
        <v>Online Retailer D</v>
      </c>
      <c r="H2">
        <f t="shared" ref="H2:H65" si="0">D2-C2</f>
        <v>30</v>
      </c>
      <c r="I2" s="1">
        <f t="shared" ref="I2:I65" si="1">IF(F2="Unpaid",E2,0)</f>
        <v>0</v>
      </c>
      <c r="J2" t="str">
        <f t="shared" ref="J2:J65" ca="1" si="2">IF(F2="Paid","Paid",IF(D2&lt;TODAY(),"Overdue","Open"))</f>
        <v>Paid</v>
      </c>
    </row>
    <row r="3" spans="1:10" x14ac:dyDescent="0.25">
      <c r="A3" t="s">
        <v>4906</v>
      </c>
      <c r="B3" t="s">
        <v>4559</v>
      </c>
      <c r="C3" s="3">
        <v>44934</v>
      </c>
      <c r="D3" s="3">
        <v>44964</v>
      </c>
      <c r="E3" s="1">
        <v>30481.4</v>
      </c>
      <c r="F3" t="s">
        <v>4037</v>
      </c>
      <c r="G3" t="str">
        <f>_xlfn.XLOOKUP(B3,tblCustomers[CustomerID],tblCustomers[CustomerName],"Unmapped")</f>
        <v>Hotel Group E</v>
      </c>
      <c r="H3">
        <f t="shared" si="0"/>
        <v>30</v>
      </c>
      <c r="I3" s="1">
        <f t="shared" si="1"/>
        <v>0</v>
      </c>
      <c r="J3" t="str">
        <f t="shared" ca="1" si="2"/>
        <v>Paid</v>
      </c>
    </row>
    <row r="4" spans="1:10" x14ac:dyDescent="0.25">
      <c r="A4" t="s">
        <v>4655</v>
      </c>
      <c r="B4" t="s">
        <v>4552</v>
      </c>
      <c r="C4" s="3">
        <v>44940</v>
      </c>
      <c r="D4" s="3">
        <v>44970</v>
      </c>
      <c r="E4" s="1">
        <v>7656.71</v>
      </c>
      <c r="F4" t="s">
        <v>4037</v>
      </c>
      <c r="G4" t="str">
        <f>_xlfn.XLOOKUP(B4,tblCustomers[CustomerID],tblCustomers[CustomerName],"Unmapped")</f>
        <v>Online Retailer D</v>
      </c>
      <c r="H4">
        <f t="shared" si="0"/>
        <v>30</v>
      </c>
      <c r="I4" s="1">
        <f t="shared" si="1"/>
        <v>0</v>
      </c>
      <c r="J4" t="str">
        <f t="shared" ca="1" si="2"/>
        <v>Paid</v>
      </c>
    </row>
    <row r="5" spans="1:10" x14ac:dyDescent="0.25">
      <c r="A5" t="s">
        <v>4899</v>
      </c>
      <c r="B5" t="s">
        <v>4561</v>
      </c>
      <c r="C5" s="3">
        <v>44943</v>
      </c>
      <c r="D5" s="3">
        <v>44973</v>
      </c>
      <c r="E5" s="1">
        <v>17667.78</v>
      </c>
      <c r="F5" t="s">
        <v>4037</v>
      </c>
      <c r="G5" t="str">
        <f>_xlfn.XLOOKUP(B5,tblCustomers[CustomerID],tblCustomers[CustomerName],"Unmapped")</f>
        <v>Retail Giant A</v>
      </c>
      <c r="H5">
        <f t="shared" si="0"/>
        <v>30</v>
      </c>
      <c r="I5" s="1">
        <f t="shared" si="1"/>
        <v>0</v>
      </c>
      <c r="J5" t="str">
        <f t="shared" ca="1" si="2"/>
        <v>Paid</v>
      </c>
    </row>
    <row r="6" spans="1:10" x14ac:dyDescent="0.25">
      <c r="A6" t="s">
        <v>4553</v>
      </c>
      <c r="B6" t="s">
        <v>4552</v>
      </c>
      <c r="C6" s="3">
        <v>44947</v>
      </c>
      <c r="D6" s="3">
        <v>44977</v>
      </c>
      <c r="E6" s="1">
        <v>28680.04</v>
      </c>
      <c r="F6" t="s">
        <v>4037</v>
      </c>
      <c r="G6" t="str">
        <f>_xlfn.XLOOKUP(B6,tblCustomers[CustomerID],tblCustomers[CustomerName],"Unmapped")</f>
        <v>Online Retailer D</v>
      </c>
      <c r="H6">
        <f t="shared" si="0"/>
        <v>30</v>
      </c>
      <c r="I6" s="1">
        <f t="shared" si="1"/>
        <v>0</v>
      </c>
      <c r="J6" t="str">
        <f t="shared" ca="1" si="2"/>
        <v>Paid</v>
      </c>
    </row>
    <row r="7" spans="1:10" x14ac:dyDescent="0.25">
      <c r="A7" t="s">
        <v>4762</v>
      </c>
      <c r="B7" t="s">
        <v>4552</v>
      </c>
      <c r="C7" s="3">
        <v>44950</v>
      </c>
      <c r="D7" s="3">
        <v>44980</v>
      </c>
      <c r="E7" s="1">
        <v>36291.51</v>
      </c>
      <c r="F7" t="s">
        <v>4040</v>
      </c>
      <c r="G7" t="str">
        <f>_xlfn.XLOOKUP(B7,tblCustomers[CustomerID],tblCustomers[CustomerName],"Unmapped")</f>
        <v>Online Retailer D</v>
      </c>
      <c r="H7">
        <f t="shared" si="0"/>
        <v>30</v>
      </c>
      <c r="I7" s="1">
        <f t="shared" si="1"/>
        <v>36291.51</v>
      </c>
      <c r="J7" t="str">
        <f t="shared" ca="1" si="2"/>
        <v>Overdue</v>
      </c>
    </row>
    <row r="8" spans="1:10" x14ac:dyDescent="0.25">
      <c r="A8" t="s">
        <v>4732</v>
      </c>
      <c r="B8" t="s">
        <v>4555</v>
      </c>
      <c r="C8" s="3">
        <v>44952</v>
      </c>
      <c r="D8" s="3">
        <v>44982</v>
      </c>
      <c r="E8" s="1">
        <v>25665.01</v>
      </c>
      <c r="F8" t="s">
        <v>4037</v>
      </c>
      <c r="G8" t="str">
        <f>_xlfn.XLOOKUP(B8,tblCustomers[CustomerID],tblCustomers[CustomerName],"Unmapped")</f>
        <v>Gourmet Shop C</v>
      </c>
      <c r="H8">
        <f t="shared" si="0"/>
        <v>30</v>
      </c>
      <c r="I8" s="1">
        <f t="shared" si="1"/>
        <v>0</v>
      </c>
      <c r="J8" t="str">
        <f t="shared" ca="1" si="2"/>
        <v>Paid</v>
      </c>
    </row>
    <row r="9" spans="1:10" x14ac:dyDescent="0.25">
      <c r="A9" t="s">
        <v>4858</v>
      </c>
      <c r="B9" t="s">
        <v>4561</v>
      </c>
      <c r="C9" s="3">
        <v>44953</v>
      </c>
      <c r="D9" s="3">
        <v>44983</v>
      </c>
      <c r="E9" s="1">
        <v>39798.97</v>
      </c>
      <c r="F9" t="s">
        <v>4037</v>
      </c>
      <c r="G9" t="str">
        <f>_xlfn.XLOOKUP(B9,tblCustomers[CustomerID],tblCustomers[CustomerName],"Unmapped")</f>
        <v>Retail Giant A</v>
      </c>
      <c r="H9">
        <f t="shared" si="0"/>
        <v>30</v>
      </c>
      <c r="I9" s="1">
        <f t="shared" si="1"/>
        <v>0</v>
      </c>
      <c r="J9" t="str">
        <f t="shared" ca="1" si="2"/>
        <v>Paid</v>
      </c>
    </row>
    <row r="10" spans="1:10" x14ac:dyDescent="0.25">
      <c r="A10" t="s">
        <v>4578</v>
      </c>
      <c r="B10" t="s">
        <v>4555</v>
      </c>
      <c r="C10" s="3">
        <v>44955</v>
      </c>
      <c r="D10" s="3">
        <v>44985</v>
      </c>
      <c r="E10" s="1">
        <v>17826.97</v>
      </c>
      <c r="F10" t="s">
        <v>4040</v>
      </c>
      <c r="G10" t="str">
        <f>_xlfn.XLOOKUP(B10,tblCustomers[CustomerID],tblCustomers[CustomerName],"Unmapped")</f>
        <v>Gourmet Shop C</v>
      </c>
      <c r="H10">
        <f t="shared" si="0"/>
        <v>30</v>
      </c>
      <c r="I10" s="1">
        <f t="shared" si="1"/>
        <v>17826.97</v>
      </c>
      <c r="J10" t="str">
        <f t="shared" ca="1" si="2"/>
        <v>Overdue</v>
      </c>
    </row>
    <row r="11" spans="1:10" x14ac:dyDescent="0.25">
      <c r="A11" t="s">
        <v>4742</v>
      </c>
      <c r="B11" t="s">
        <v>4555</v>
      </c>
      <c r="C11" s="3">
        <v>44962</v>
      </c>
      <c r="D11" s="3">
        <v>44992</v>
      </c>
      <c r="E11" s="1">
        <v>33727.589999999997</v>
      </c>
      <c r="F11" t="s">
        <v>4037</v>
      </c>
      <c r="G11" t="str">
        <f>_xlfn.XLOOKUP(B11,tblCustomers[CustomerID],tblCustomers[CustomerName],"Unmapped")</f>
        <v>Gourmet Shop C</v>
      </c>
      <c r="H11">
        <f t="shared" si="0"/>
        <v>30</v>
      </c>
      <c r="I11" s="1">
        <f t="shared" si="1"/>
        <v>0</v>
      </c>
      <c r="J11" t="str">
        <f t="shared" ca="1" si="2"/>
        <v>Paid</v>
      </c>
    </row>
    <row r="12" spans="1:10" x14ac:dyDescent="0.25">
      <c r="A12" t="s">
        <v>4614</v>
      </c>
      <c r="B12" t="s">
        <v>4563</v>
      </c>
      <c r="C12" s="3">
        <v>44965</v>
      </c>
      <c r="D12" s="3">
        <v>44995</v>
      </c>
      <c r="E12" s="1">
        <v>32901.919999999998</v>
      </c>
      <c r="F12" t="s">
        <v>4037</v>
      </c>
      <c r="G12" t="str">
        <f>_xlfn.XLOOKUP(B12,tblCustomers[CustomerID],tblCustomers[CustomerName],"Unmapped")</f>
        <v>Supermarket Chain B</v>
      </c>
      <c r="H12">
        <f t="shared" si="0"/>
        <v>30</v>
      </c>
      <c r="I12" s="1">
        <f t="shared" si="1"/>
        <v>0</v>
      </c>
      <c r="J12" t="str">
        <f t="shared" ca="1" si="2"/>
        <v>Paid</v>
      </c>
    </row>
    <row r="13" spans="1:10" x14ac:dyDescent="0.25">
      <c r="A13" t="s">
        <v>4921</v>
      </c>
      <c r="B13" t="s">
        <v>4555</v>
      </c>
      <c r="C13" s="3">
        <v>44965</v>
      </c>
      <c r="D13" s="3">
        <v>44995</v>
      </c>
      <c r="E13" s="1">
        <v>2970.39</v>
      </c>
      <c r="F13" t="s">
        <v>4037</v>
      </c>
      <c r="G13" t="str">
        <f>_xlfn.XLOOKUP(B13,tblCustomers[CustomerID],tblCustomers[CustomerName],"Unmapped")</f>
        <v>Gourmet Shop C</v>
      </c>
      <c r="H13">
        <f t="shared" si="0"/>
        <v>30</v>
      </c>
      <c r="I13" s="1">
        <f t="shared" si="1"/>
        <v>0</v>
      </c>
      <c r="J13" t="str">
        <f t="shared" ca="1" si="2"/>
        <v>Paid</v>
      </c>
    </row>
    <row r="14" spans="1:10" x14ac:dyDescent="0.25">
      <c r="A14" t="s">
        <v>4917</v>
      </c>
      <c r="B14" t="s">
        <v>4552</v>
      </c>
      <c r="C14" s="3">
        <v>44971</v>
      </c>
      <c r="D14" s="3">
        <v>45001</v>
      </c>
      <c r="E14" s="1">
        <v>25020.080000000002</v>
      </c>
      <c r="F14" t="s">
        <v>4037</v>
      </c>
      <c r="G14" t="str">
        <f>_xlfn.XLOOKUP(B14,tblCustomers[CustomerID],tblCustomers[CustomerName],"Unmapped")</f>
        <v>Online Retailer D</v>
      </c>
      <c r="H14">
        <f t="shared" si="0"/>
        <v>30</v>
      </c>
      <c r="I14" s="1">
        <f t="shared" si="1"/>
        <v>0</v>
      </c>
      <c r="J14" t="str">
        <f t="shared" ca="1" si="2"/>
        <v>Paid</v>
      </c>
    </row>
    <row r="15" spans="1:10" x14ac:dyDescent="0.25">
      <c r="A15" t="s">
        <v>5051</v>
      </c>
      <c r="B15" t="s">
        <v>4552</v>
      </c>
      <c r="C15" s="3">
        <v>44971</v>
      </c>
      <c r="D15" s="3">
        <v>45001</v>
      </c>
      <c r="E15" s="1">
        <v>48874.99</v>
      </c>
      <c r="F15" t="s">
        <v>4037</v>
      </c>
      <c r="G15" t="str">
        <f>_xlfn.XLOOKUP(B15,tblCustomers[CustomerID],tblCustomers[CustomerName],"Unmapped")</f>
        <v>Online Retailer D</v>
      </c>
      <c r="H15">
        <f t="shared" si="0"/>
        <v>30</v>
      </c>
      <c r="I15" s="1">
        <f t="shared" si="1"/>
        <v>0</v>
      </c>
      <c r="J15" t="str">
        <f t="shared" ca="1" si="2"/>
        <v>Paid</v>
      </c>
    </row>
    <row r="16" spans="1:10" x14ac:dyDescent="0.25">
      <c r="A16" t="s">
        <v>4904</v>
      </c>
      <c r="B16" t="s">
        <v>4552</v>
      </c>
      <c r="C16" s="3">
        <v>44974</v>
      </c>
      <c r="D16" s="3">
        <v>45004</v>
      </c>
      <c r="E16" s="1">
        <v>32589.05</v>
      </c>
      <c r="F16" t="s">
        <v>4037</v>
      </c>
      <c r="G16" t="str">
        <f>_xlfn.XLOOKUP(B16,tblCustomers[CustomerID],tblCustomers[CustomerName],"Unmapped")</f>
        <v>Online Retailer D</v>
      </c>
      <c r="H16">
        <f t="shared" si="0"/>
        <v>30</v>
      </c>
      <c r="I16" s="1">
        <f t="shared" si="1"/>
        <v>0</v>
      </c>
      <c r="J16" t="str">
        <f t="shared" ca="1" si="2"/>
        <v>Paid</v>
      </c>
    </row>
    <row r="17" spans="1:10" x14ac:dyDescent="0.25">
      <c r="A17" t="s">
        <v>5034</v>
      </c>
      <c r="B17" t="s">
        <v>4559</v>
      </c>
      <c r="C17" s="3">
        <v>44974</v>
      </c>
      <c r="D17" s="3">
        <v>45004</v>
      </c>
      <c r="E17" s="1">
        <v>39239.949999999997</v>
      </c>
      <c r="F17" t="s">
        <v>4037</v>
      </c>
      <c r="G17" t="str">
        <f>_xlfn.XLOOKUP(B17,tblCustomers[CustomerID],tblCustomers[CustomerName],"Unmapped")</f>
        <v>Hotel Group E</v>
      </c>
      <c r="H17">
        <f t="shared" si="0"/>
        <v>30</v>
      </c>
      <c r="I17" s="1">
        <f t="shared" si="1"/>
        <v>0</v>
      </c>
      <c r="J17" t="str">
        <f t="shared" ca="1" si="2"/>
        <v>Paid</v>
      </c>
    </row>
    <row r="18" spans="1:10" x14ac:dyDescent="0.25">
      <c r="A18" t="s">
        <v>4586</v>
      </c>
      <c r="B18" t="s">
        <v>4561</v>
      </c>
      <c r="C18" s="3">
        <v>44976</v>
      </c>
      <c r="D18" s="3">
        <v>45006</v>
      </c>
      <c r="E18" s="1">
        <v>13820.52</v>
      </c>
      <c r="F18" t="s">
        <v>4037</v>
      </c>
      <c r="G18" t="str">
        <f>_xlfn.XLOOKUP(B18,tblCustomers[CustomerID],tblCustomers[CustomerName],"Unmapped")</f>
        <v>Retail Giant A</v>
      </c>
      <c r="H18">
        <f t="shared" si="0"/>
        <v>30</v>
      </c>
      <c r="I18" s="1">
        <f t="shared" si="1"/>
        <v>0</v>
      </c>
      <c r="J18" t="str">
        <f t="shared" ca="1" si="2"/>
        <v>Paid</v>
      </c>
    </row>
    <row r="19" spans="1:10" x14ac:dyDescent="0.25">
      <c r="A19" t="s">
        <v>4554</v>
      </c>
      <c r="B19" t="s">
        <v>4555</v>
      </c>
      <c r="C19" s="3">
        <v>44985</v>
      </c>
      <c r="D19" s="3">
        <v>45015</v>
      </c>
      <c r="E19" s="1">
        <v>32543.62</v>
      </c>
      <c r="F19" t="s">
        <v>4040</v>
      </c>
      <c r="G19" t="str">
        <f>_xlfn.XLOOKUP(B19,tblCustomers[CustomerID],tblCustomers[CustomerName],"Unmapped")</f>
        <v>Gourmet Shop C</v>
      </c>
      <c r="H19">
        <f t="shared" si="0"/>
        <v>30</v>
      </c>
      <c r="I19" s="1">
        <f t="shared" si="1"/>
        <v>32543.62</v>
      </c>
      <c r="J19" t="str">
        <f t="shared" ca="1" si="2"/>
        <v>Overdue</v>
      </c>
    </row>
    <row r="20" spans="1:10" x14ac:dyDescent="0.25">
      <c r="A20" t="s">
        <v>4688</v>
      </c>
      <c r="B20" t="s">
        <v>4559</v>
      </c>
      <c r="C20" s="3">
        <v>44986</v>
      </c>
      <c r="D20" s="3">
        <v>45016</v>
      </c>
      <c r="E20" s="1">
        <v>43506.96</v>
      </c>
      <c r="F20" t="s">
        <v>4037</v>
      </c>
      <c r="G20" t="str">
        <f>_xlfn.XLOOKUP(B20,tblCustomers[CustomerID],tblCustomers[CustomerName],"Unmapped")</f>
        <v>Hotel Group E</v>
      </c>
      <c r="H20">
        <f t="shared" si="0"/>
        <v>30</v>
      </c>
      <c r="I20" s="1">
        <f t="shared" si="1"/>
        <v>0</v>
      </c>
      <c r="J20" t="str">
        <f t="shared" ca="1" si="2"/>
        <v>Paid</v>
      </c>
    </row>
    <row r="21" spans="1:10" x14ac:dyDescent="0.25">
      <c r="A21" t="s">
        <v>5024</v>
      </c>
      <c r="B21" t="s">
        <v>4559</v>
      </c>
      <c r="C21" s="3">
        <v>44986</v>
      </c>
      <c r="D21" s="3">
        <v>45016</v>
      </c>
      <c r="E21" s="1">
        <v>39400.120000000003</v>
      </c>
      <c r="F21" t="s">
        <v>4037</v>
      </c>
      <c r="G21" t="str">
        <f>_xlfn.XLOOKUP(B21,tblCustomers[CustomerID],tblCustomers[CustomerName],"Unmapped")</f>
        <v>Hotel Group E</v>
      </c>
      <c r="H21">
        <f t="shared" si="0"/>
        <v>30</v>
      </c>
      <c r="I21" s="1">
        <f t="shared" si="1"/>
        <v>0</v>
      </c>
      <c r="J21" t="str">
        <f t="shared" ca="1" si="2"/>
        <v>Paid</v>
      </c>
    </row>
    <row r="22" spans="1:10" x14ac:dyDescent="0.25">
      <c r="A22" t="s">
        <v>4692</v>
      </c>
      <c r="B22" t="s">
        <v>4561</v>
      </c>
      <c r="C22" s="3">
        <v>44990</v>
      </c>
      <c r="D22" s="3">
        <v>45020</v>
      </c>
      <c r="E22" s="1">
        <v>34959.199999999997</v>
      </c>
      <c r="F22" t="s">
        <v>4040</v>
      </c>
      <c r="G22" t="str">
        <f>_xlfn.XLOOKUP(B22,tblCustomers[CustomerID],tblCustomers[CustomerName],"Unmapped")</f>
        <v>Retail Giant A</v>
      </c>
      <c r="H22">
        <f t="shared" si="0"/>
        <v>30</v>
      </c>
      <c r="I22" s="1">
        <f t="shared" si="1"/>
        <v>34959.199999999997</v>
      </c>
      <c r="J22" t="str">
        <f t="shared" ca="1" si="2"/>
        <v>Overdue</v>
      </c>
    </row>
    <row r="23" spans="1:10" x14ac:dyDescent="0.25">
      <c r="A23" t="s">
        <v>4792</v>
      </c>
      <c r="B23" t="s">
        <v>4552</v>
      </c>
      <c r="C23" s="3">
        <v>44997</v>
      </c>
      <c r="D23" s="3">
        <v>45027</v>
      </c>
      <c r="E23" s="1">
        <v>27547.72</v>
      </c>
      <c r="F23" t="s">
        <v>4037</v>
      </c>
      <c r="G23" t="str">
        <f>_xlfn.XLOOKUP(B23,tblCustomers[CustomerID],tblCustomers[CustomerName],"Unmapped")</f>
        <v>Online Retailer D</v>
      </c>
      <c r="H23">
        <f t="shared" si="0"/>
        <v>30</v>
      </c>
      <c r="I23" s="1">
        <f t="shared" si="1"/>
        <v>0</v>
      </c>
      <c r="J23" t="str">
        <f t="shared" ca="1" si="2"/>
        <v>Paid</v>
      </c>
    </row>
    <row r="24" spans="1:10" x14ac:dyDescent="0.25">
      <c r="A24" t="s">
        <v>4733</v>
      </c>
      <c r="B24" t="s">
        <v>4555</v>
      </c>
      <c r="C24" s="3">
        <v>44998</v>
      </c>
      <c r="D24" s="3">
        <v>45028</v>
      </c>
      <c r="E24" s="1">
        <v>4141.92</v>
      </c>
      <c r="F24" t="s">
        <v>4037</v>
      </c>
      <c r="G24" t="str">
        <f>_xlfn.XLOOKUP(B24,tblCustomers[CustomerID],tblCustomers[CustomerName],"Unmapped")</f>
        <v>Gourmet Shop C</v>
      </c>
      <c r="H24">
        <f t="shared" si="0"/>
        <v>30</v>
      </c>
      <c r="I24" s="1">
        <f t="shared" si="1"/>
        <v>0</v>
      </c>
      <c r="J24" t="str">
        <f t="shared" ca="1" si="2"/>
        <v>Paid</v>
      </c>
    </row>
    <row r="25" spans="1:10" x14ac:dyDescent="0.25">
      <c r="A25" t="s">
        <v>4787</v>
      </c>
      <c r="B25" t="s">
        <v>4559</v>
      </c>
      <c r="C25" s="3">
        <v>45000</v>
      </c>
      <c r="D25" s="3">
        <v>45030</v>
      </c>
      <c r="E25" s="1">
        <v>27457.45</v>
      </c>
      <c r="F25" t="s">
        <v>4037</v>
      </c>
      <c r="G25" t="str">
        <f>_xlfn.XLOOKUP(B25,tblCustomers[CustomerID],tblCustomers[CustomerName],"Unmapped")</f>
        <v>Hotel Group E</v>
      </c>
      <c r="H25">
        <f t="shared" si="0"/>
        <v>30</v>
      </c>
      <c r="I25" s="1">
        <f t="shared" si="1"/>
        <v>0</v>
      </c>
      <c r="J25" t="str">
        <f t="shared" ca="1" si="2"/>
        <v>Paid</v>
      </c>
    </row>
    <row r="26" spans="1:10" x14ac:dyDescent="0.25">
      <c r="A26" t="s">
        <v>4783</v>
      </c>
      <c r="B26" t="s">
        <v>4555</v>
      </c>
      <c r="C26" s="3">
        <v>45003</v>
      </c>
      <c r="D26" s="3">
        <v>45033</v>
      </c>
      <c r="E26" s="1">
        <v>17196.240000000002</v>
      </c>
      <c r="F26" t="s">
        <v>4037</v>
      </c>
      <c r="G26" t="str">
        <f>_xlfn.XLOOKUP(B26,tblCustomers[CustomerID],tblCustomers[CustomerName],"Unmapped")</f>
        <v>Gourmet Shop C</v>
      </c>
      <c r="H26">
        <f t="shared" si="0"/>
        <v>30</v>
      </c>
      <c r="I26" s="1">
        <f t="shared" si="1"/>
        <v>0</v>
      </c>
      <c r="J26" t="str">
        <f t="shared" ca="1" si="2"/>
        <v>Paid</v>
      </c>
    </row>
    <row r="27" spans="1:10" x14ac:dyDescent="0.25">
      <c r="A27" t="s">
        <v>4849</v>
      </c>
      <c r="B27" t="s">
        <v>4559</v>
      </c>
      <c r="C27" s="3">
        <v>45007</v>
      </c>
      <c r="D27" s="3">
        <v>45037</v>
      </c>
      <c r="E27" s="1">
        <v>8473.19</v>
      </c>
      <c r="F27" t="s">
        <v>4037</v>
      </c>
      <c r="G27" t="str">
        <f>_xlfn.XLOOKUP(B27,tblCustomers[CustomerID],tblCustomers[CustomerName],"Unmapped")</f>
        <v>Hotel Group E</v>
      </c>
      <c r="H27">
        <f t="shared" si="0"/>
        <v>30</v>
      </c>
      <c r="I27" s="1">
        <f t="shared" si="1"/>
        <v>0</v>
      </c>
      <c r="J27" t="str">
        <f t="shared" ca="1" si="2"/>
        <v>Paid</v>
      </c>
    </row>
    <row r="28" spans="1:10" x14ac:dyDescent="0.25">
      <c r="A28" t="s">
        <v>4817</v>
      </c>
      <c r="B28" t="s">
        <v>4563</v>
      </c>
      <c r="C28" s="3">
        <v>45011</v>
      </c>
      <c r="D28" s="3">
        <v>45041</v>
      </c>
      <c r="E28" s="1">
        <v>44130.22</v>
      </c>
      <c r="F28" t="s">
        <v>4037</v>
      </c>
      <c r="G28" t="str">
        <f>_xlfn.XLOOKUP(B28,tblCustomers[CustomerID],tblCustomers[CustomerName],"Unmapped")</f>
        <v>Supermarket Chain B</v>
      </c>
      <c r="H28">
        <f t="shared" si="0"/>
        <v>30</v>
      </c>
      <c r="I28" s="1">
        <f t="shared" si="1"/>
        <v>0</v>
      </c>
      <c r="J28" t="str">
        <f t="shared" ca="1" si="2"/>
        <v>Paid</v>
      </c>
    </row>
    <row r="29" spans="1:10" x14ac:dyDescent="0.25">
      <c r="A29" t="s">
        <v>4708</v>
      </c>
      <c r="B29" t="s">
        <v>4552</v>
      </c>
      <c r="C29" s="3">
        <v>45014</v>
      </c>
      <c r="D29" s="3">
        <v>45044</v>
      </c>
      <c r="E29" s="1">
        <v>44717.3</v>
      </c>
      <c r="F29" t="s">
        <v>4037</v>
      </c>
      <c r="G29" t="str">
        <f>_xlfn.XLOOKUP(B29,tblCustomers[CustomerID],tblCustomers[CustomerName],"Unmapped")</f>
        <v>Online Retailer D</v>
      </c>
      <c r="H29">
        <f t="shared" si="0"/>
        <v>30</v>
      </c>
      <c r="I29" s="1">
        <f t="shared" si="1"/>
        <v>0</v>
      </c>
      <c r="J29" t="str">
        <f t="shared" ca="1" si="2"/>
        <v>Paid</v>
      </c>
    </row>
    <row r="30" spans="1:10" x14ac:dyDescent="0.25">
      <c r="A30" t="s">
        <v>4712</v>
      </c>
      <c r="B30" t="s">
        <v>4555</v>
      </c>
      <c r="C30" s="3">
        <v>45014</v>
      </c>
      <c r="D30" s="3">
        <v>45044</v>
      </c>
      <c r="E30" s="1">
        <v>30466.240000000002</v>
      </c>
      <c r="F30" t="s">
        <v>4037</v>
      </c>
      <c r="G30" t="str">
        <f>_xlfn.XLOOKUP(B30,tblCustomers[CustomerID],tblCustomers[CustomerName],"Unmapped")</f>
        <v>Gourmet Shop C</v>
      </c>
      <c r="H30">
        <f t="shared" si="0"/>
        <v>30</v>
      </c>
      <c r="I30" s="1">
        <f t="shared" si="1"/>
        <v>0</v>
      </c>
      <c r="J30" t="str">
        <f t="shared" ca="1" si="2"/>
        <v>Paid</v>
      </c>
    </row>
    <row r="31" spans="1:10" x14ac:dyDescent="0.25">
      <c r="A31" t="s">
        <v>4751</v>
      </c>
      <c r="B31" t="s">
        <v>4561</v>
      </c>
      <c r="C31" s="3">
        <v>45014</v>
      </c>
      <c r="D31" s="3">
        <v>45044</v>
      </c>
      <c r="E31" s="1">
        <v>49427.8</v>
      </c>
      <c r="F31" t="s">
        <v>4037</v>
      </c>
      <c r="G31" t="str">
        <f>_xlfn.XLOOKUP(B31,tblCustomers[CustomerID],tblCustomers[CustomerName],"Unmapped")</f>
        <v>Retail Giant A</v>
      </c>
      <c r="H31">
        <f t="shared" si="0"/>
        <v>30</v>
      </c>
      <c r="I31" s="1">
        <f t="shared" si="1"/>
        <v>0</v>
      </c>
      <c r="J31" t="str">
        <f t="shared" ca="1" si="2"/>
        <v>Paid</v>
      </c>
    </row>
    <row r="32" spans="1:10" x14ac:dyDescent="0.25">
      <c r="A32" t="s">
        <v>4886</v>
      </c>
      <c r="B32" t="s">
        <v>4561</v>
      </c>
      <c r="C32" s="3">
        <v>45014</v>
      </c>
      <c r="D32" s="3">
        <v>45044</v>
      </c>
      <c r="E32" s="1">
        <v>23642.79</v>
      </c>
      <c r="F32" t="s">
        <v>4040</v>
      </c>
      <c r="G32" t="str">
        <f>_xlfn.XLOOKUP(B32,tblCustomers[CustomerID],tblCustomers[CustomerName],"Unmapped")</f>
        <v>Retail Giant A</v>
      </c>
      <c r="H32">
        <f t="shared" si="0"/>
        <v>30</v>
      </c>
      <c r="I32" s="1">
        <f t="shared" si="1"/>
        <v>23642.79</v>
      </c>
      <c r="J32" t="str">
        <f t="shared" ca="1" si="2"/>
        <v>Overdue</v>
      </c>
    </row>
    <row r="33" spans="1:10" x14ac:dyDescent="0.25">
      <c r="A33" t="s">
        <v>4656</v>
      </c>
      <c r="B33" t="s">
        <v>4563</v>
      </c>
      <c r="C33" s="3">
        <v>45018</v>
      </c>
      <c r="D33" s="3">
        <v>45048</v>
      </c>
      <c r="E33" s="1">
        <v>11444.83</v>
      </c>
      <c r="F33" t="s">
        <v>4037</v>
      </c>
      <c r="G33" t="str">
        <f>_xlfn.XLOOKUP(B33,tblCustomers[CustomerID],tblCustomers[CustomerName],"Unmapped")</f>
        <v>Supermarket Chain B</v>
      </c>
      <c r="H33">
        <f t="shared" si="0"/>
        <v>30</v>
      </c>
      <c r="I33" s="1">
        <f t="shared" si="1"/>
        <v>0</v>
      </c>
      <c r="J33" t="str">
        <f t="shared" ca="1" si="2"/>
        <v>Paid</v>
      </c>
    </row>
    <row r="34" spans="1:10" x14ac:dyDescent="0.25">
      <c r="A34" t="s">
        <v>4593</v>
      </c>
      <c r="B34" t="s">
        <v>4563</v>
      </c>
      <c r="C34" s="3">
        <v>45023</v>
      </c>
      <c r="D34" s="3">
        <v>45053</v>
      </c>
      <c r="E34" s="1">
        <v>35570.080000000002</v>
      </c>
      <c r="F34" t="s">
        <v>4037</v>
      </c>
      <c r="G34" t="str">
        <f>_xlfn.XLOOKUP(B34,tblCustomers[CustomerID],tblCustomers[CustomerName],"Unmapped")</f>
        <v>Supermarket Chain B</v>
      </c>
      <c r="H34">
        <f t="shared" si="0"/>
        <v>30</v>
      </c>
      <c r="I34" s="1">
        <f t="shared" si="1"/>
        <v>0</v>
      </c>
      <c r="J34" t="str">
        <f t="shared" ca="1" si="2"/>
        <v>Paid</v>
      </c>
    </row>
    <row r="35" spans="1:10" x14ac:dyDescent="0.25">
      <c r="A35" t="s">
        <v>5015</v>
      </c>
      <c r="B35" t="s">
        <v>4559</v>
      </c>
      <c r="C35" s="3">
        <v>45024</v>
      </c>
      <c r="D35" s="3">
        <v>45054</v>
      </c>
      <c r="E35" s="1">
        <v>5485.81</v>
      </c>
      <c r="F35" t="s">
        <v>4040</v>
      </c>
      <c r="G35" t="str">
        <f>_xlfn.XLOOKUP(B35,tblCustomers[CustomerID],tblCustomers[CustomerName],"Unmapped")</f>
        <v>Hotel Group E</v>
      </c>
      <c r="H35">
        <f t="shared" si="0"/>
        <v>30</v>
      </c>
      <c r="I35" s="1">
        <f t="shared" si="1"/>
        <v>5485.81</v>
      </c>
      <c r="J35" t="str">
        <f t="shared" ca="1" si="2"/>
        <v>Overdue</v>
      </c>
    </row>
    <row r="36" spans="1:10" x14ac:dyDescent="0.25">
      <c r="A36" t="s">
        <v>4835</v>
      </c>
      <c r="B36" t="s">
        <v>4561</v>
      </c>
      <c r="C36" s="3">
        <v>45026</v>
      </c>
      <c r="D36" s="3">
        <v>45056</v>
      </c>
      <c r="E36" s="1">
        <v>49913.63</v>
      </c>
      <c r="F36" t="s">
        <v>4037</v>
      </c>
      <c r="G36" t="str">
        <f>_xlfn.XLOOKUP(B36,tblCustomers[CustomerID],tblCustomers[CustomerName],"Unmapped")</f>
        <v>Retail Giant A</v>
      </c>
      <c r="H36">
        <f t="shared" si="0"/>
        <v>30</v>
      </c>
      <c r="I36" s="1">
        <f t="shared" si="1"/>
        <v>0</v>
      </c>
      <c r="J36" t="str">
        <f t="shared" ca="1" si="2"/>
        <v>Paid</v>
      </c>
    </row>
    <row r="37" spans="1:10" x14ac:dyDescent="0.25">
      <c r="A37" t="s">
        <v>5054</v>
      </c>
      <c r="B37" t="s">
        <v>4552</v>
      </c>
      <c r="C37" s="3">
        <v>45026</v>
      </c>
      <c r="D37" s="3">
        <v>45056</v>
      </c>
      <c r="E37" s="1">
        <v>6997.88</v>
      </c>
      <c r="F37" t="s">
        <v>4040</v>
      </c>
      <c r="G37" t="str">
        <f>_xlfn.XLOOKUP(B37,tblCustomers[CustomerID],tblCustomers[CustomerName],"Unmapped")</f>
        <v>Online Retailer D</v>
      </c>
      <c r="H37">
        <f t="shared" si="0"/>
        <v>30</v>
      </c>
      <c r="I37" s="1">
        <f t="shared" si="1"/>
        <v>6997.88</v>
      </c>
      <c r="J37" t="str">
        <f t="shared" ca="1" si="2"/>
        <v>Overdue</v>
      </c>
    </row>
    <row r="38" spans="1:10" x14ac:dyDescent="0.25">
      <c r="A38" t="s">
        <v>4666</v>
      </c>
      <c r="B38" t="s">
        <v>4561</v>
      </c>
      <c r="C38" s="3">
        <v>45035</v>
      </c>
      <c r="D38" s="3">
        <v>45065</v>
      </c>
      <c r="E38" s="1">
        <v>21490.33</v>
      </c>
      <c r="F38" t="s">
        <v>4037</v>
      </c>
      <c r="G38" t="str">
        <f>_xlfn.XLOOKUP(B38,tblCustomers[CustomerID],tblCustomers[CustomerName],"Unmapped")</f>
        <v>Retail Giant A</v>
      </c>
      <c r="H38">
        <f t="shared" si="0"/>
        <v>30</v>
      </c>
      <c r="I38" s="1">
        <f t="shared" si="1"/>
        <v>0</v>
      </c>
      <c r="J38" t="str">
        <f t="shared" ca="1" si="2"/>
        <v>Paid</v>
      </c>
    </row>
    <row r="39" spans="1:10" x14ac:dyDescent="0.25">
      <c r="A39" t="s">
        <v>4669</v>
      </c>
      <c r="B39" t="s">
        <v>4559</v>
      </c>
      <c r="C39" s="3">
        <v>45035</v>
      </c>
      <c r="D39" s="3">
        <v>45065</v>
      </c>
      <c r="E39" s="1">
        <v>32663.05</v>
      </c>
      <c r="F39" t="s">
        <v>4037</v>
      </c>
      <c r="G39" t="str">
        <f>_xlfn.XLOOKUP(B39,tblCustomers[CustomerID],tblCustomers[CustomerName],"Unmapped")</f>
        <v>Hotel Group E</v>
      </c>
      <c r="H39">
        <f t="shared" si="0"/>
        <v>30</v>
      </c>
      <c r="I39" s="1">
        <f t="shared" si="1"/>
        <v>0</v>
      </c>
      <c r="J39" t="str">
        <f t="shared" ca="1" si="2"/>
        <v>Paid</v>
      </c>
    </row>
    <row r="40" spans="1:10" x14ac:dyDescent="0.25">
      <c r="A40" t="s">
        <v>4620</v>
      </c>
      <c r="B40" t="s">
        <v>4563</v>
      </c>
      <c r="C40" s="3">
        <v>45039</v>
      </c>
      <c r="D40" s="3">
        <v>45069</v>
      </c>
      <c r="E40" s="1">
        <v>44143.97</v>
      </c>
      <c r="F40" t="s">
        <v>4037</v>
      </c>
      <c r="G40" t="str">
        <f>_xlfn.XLOOKUP(B40,tblCustomers[CustomerID],tblCustomers[CustomerName],"Unmapped")</f>
        <v>Supermarket Chain B</v>
      </c>
      <c r="H40">
        <f t="shared" si="0"/>
        <v>30</v>
      </c>
      <c r="I40" s="1">
        <f t="shared" si="1"/>
        <v>0</v>
      </c>
      <c r="J40" t="str">
        <f t="shared" ca="1" si="2"/>
        <v>Paid</v>
      </c>
    </row>
    <row r="41" spans="1:10" x14ac:dyDescent="0.25">
      <c r="A41" t="s">
        <v>4925</v>
      </c>
      <c r="B41" t="s">
        <v>4559</v>
      </c>
      <c r="C41" s="3">
        <v>45041</v>
      </c>
      <c r="D41" s="3">
        <v>45071</v>
      </c>
      <c r="E41" s="1">
        <v>16248.82</v>
      </c>
      <c r="F41" t="s">
        <v>4037</v>
      </c>
      <c r="G41" t="str">
        <f>_xlfn.XLOOKUP(B41,tblCustomers[CustomerID],tblCustomers[CustomerName],"Unmapped")</f>
        <v>Hotel Group E</v>
      </c>
      <c r="H41">
        <f t="shared" si="0"/>
        <v>30</v>
      </c>
      <c r="I41" s="1">
        <f t="shared" si="1"/>
        <v>0</v>
      </c>
      <c r="J41" t="str">
        <f t="shared" ca="1" si="2"/>
        <v>Paid</v>
      </c>
    </row>
    <row r="42" spans="1:10" x14ac:dyDescent="0.25">
      <c r="A42" t="s">
        <v>4616</v>
      </c>
      <c r="B42" t="s">
        <v>4552</v>
      </c>
      <c r="C42" s="3">
        <v>45042</v>
      </c>
      <c r="D42" s="3">
        <v>45072</v>
      </c>
      <c r="E42" s="1">
        <v>23705.17</v>
      </c>
      <c r="F42" t="s">
        <v>4040</v>
      </c>
      <c r="G42" t="str">
        <f>_xlfn.XLOOKUP(B42,tblCustomers[CustomerID],tblCustomers[CustomerName],"Unmapped")</f>
        <v>Online Retailer D</v>
      </c>
      <c r="H42">
        <f t="shared" si="0"/>
        <v>30</v>
      </c>
      <c r="I42" s="1">
        <f t="shared" si="1"/>
        <v>23705.17</v>
      </c>
      <c r="J42" t="str">
        <f t="shared" ca="1" si="2"/>
        <v>Overdue</v>
      </c>
    </row>
    <row r="43" spans="1:10" x14ac:dyDescent="0.25">
      <c r="A43" t="s">
        <v>4663</v>
      </c>
      <c r="B43" t="s">
        <v>4552</v>
      </c>
      <c r="C43" s="3">
        <v>45044</v>
      </c>
      <c r="D43" s="3">
        <v>45074</v>
      </c>
      <c r="E43" s="1">
        <v>49419.46</v>
      </c>
      <c r="F43" t="s">
        <v>4037</v>
      </c>
      <c r="G43" t="str">
        <f>_xlfn.XLOOKUP(B43,tblCustomers[CustomerID],tblCustomers[CustomerName],"Unmapped")</f>
        <v>Online Retailer D</v>
      </c>
      <c r="H43">
        <f t="shared" si="0"/>
        <v>30</v>
      </c>
      <c r="I43" s="1">
        <f t="shared" si="1"/>
        <v>0</v>
      </c>
      <c r="J43" t="str">
        <f t="shared" ca="1" si="2"/>
        <v>Paid</v>
      </c>
    </row>
    <row r="44" spans="1:10" x14ac:dyDescent="0.25">
      <c r="A44" t="s">
        <v>4820</v>
      </c>
      <c r="B44" t="s">
        <v>4563</v>
      </c>
      <c r="C44" s="3">
        <v>45049</v>
      </c>
      <c r="D44" s="3">
        <v>45079</v>
      </c>
      <c r="E44" s="1">
        <v>21989.21</v>
      </c>
      <c r="F44" t="s">
        <v>4037</v>
      </c>
      <c r="G44" t="str">
        <f>_xlfn.XLOOKUP(B44,tblCustomers[CustomerID],tblCustomers[CustomerName],"Unmapped")</f>
        <v>Supermarket Chain B</v>
      </c>
      <c r="H44">
        <f t="shared" si="0"/>
        <v>30</v>
      </c>
      <c r="I44" s="1">
        <f t="shared" si="1"/>
        <v>0</v>
      </c>
      <c r="J44" t="str">
        <f t="shared" ca="1" si="2"/>
        <v>Paid</v>
      </c>
    </row>
    <row r="45" spans="1:10" x14ac:dyDescent="0.25">
      <c r="A45" t="s">
        <v>4970</v>
      </c>
      <c r="B45" t="s">
        <v>4563</v>
      </c>
      <c r="C45" s="3">
        <v>45050</v>
      </c>
      <c r="D45" s="3">
        <v>45080</v>
      </c>
      <c r="E45" s="1">
        <v>4244.24</v>
      </c>
      <c r="F45" t="s">
        <v>4040</v>
      </c>
      <c r="G45" t="str">
        <f>_xlfn.XLOOKUP(B45,tblCustomers[CustomerID],tblCustomers[CustomerName],"Unmapped")</f>
        <v>Supermarket Chain B</v>
      </c>
      <c r="H45">
        <f t="shared" si="0"/>
        <v>30</v>
      </c>
      <c r="I45" s="1">
        <f t="shared" si="1"/>
        <v>4244.24</v>
      </c>
      <c r="J45" t="str">
        <f t="shared" ca="1" si="2"/>
        <v>Overdue</v>
      </c>
    </row>
    <row r="46" spans="1:10" x14ac:dyDescent="0.25">
      <c r="A46" t="s">
        <v>5027</v>
      </c>
      <c r="B46" t="s">
        <v>4559</v>
      </c>
      <c r="C46" s="3">
        <v>45055</v>
      </c>
      <c r="D46" s="3">
        <v>45085</v>
      </c>
      <c r="E46" s="1">
        <v>44155.08</v>
      </c>
      <c r="F46" t="s">
        <v>4040</v>
      </c>
      <c r="G46" t="str">
        <f>_xlfn.XLOOKUP(B46,tblCustomers[CustomerID],tblCustomers[CustomerName],"Unmapped")</f>
        <v>Hotel Group E</v>
      </c>
      <c r="H46">
        <f t="shared" si="0"/>
        <v>30</v>
      </c>
      <c r="I46" s="1">
        <f t="shared" si="1"/>
        <v>44155.08</v>
      </c>
      <c r="J46" t="str">
        <f t="shared" ca="1" si="2"/>
        <v>Overdue</v>
      </c>
    </row>
    <row r="47" spans="1:10" x14ac:dyDescent="0.25">
      <c r="A47" t="s">
        <v>5018</v>
      </c>
      <c r="B47" t="s">
        <v>4555</v>
      </c>
      <c r="C47" s="3">
        <v>45066</v>
      </c>
      <c r="D47" s="3">
        <v>45096</v>
      </c>
      <c r="E47" s="1">
        <v>2187.13</v>
      </c>
      <c r="F47" t="s">
        <v>4037</v>
      </c>
      <c r="G47" t="str">
        <f>_xlfn.XLOOKUP(B47,tblCustomers[CustomerID],tblCustomers[CustomerName],"Unmapped")</f>
        <v>Gourmet Shop C</v>
      </c>
      <c r="H47">
        <f t="shared" si="0"/>
        <v>30</v>
      </c>
      <c r="I47" s="1">
        <f t="shared" si="1"/>
        <v>0</v>
      </c>
      <c r="J47" t="str">
        <f t="shared" ca="1" si="2"/>
        <v>Paid</v>
      </c>
    </row>
    <row r="48" spans="1:10" x14ac:dyDescent="0.25">
      <c r="A48" t="s">
        <v>4671</v>
      </c>
      <c r="B48" t="s">
        <v>4563</v>
      </c>
      <c r="C48" s="3">
        <v>45068</v>
      </c>
      <c r="D48" s="3">
        <v>45098</v>
      </c>
      <c r="E48" s="1">
        <v>34285.81</v>
      </c>
      <c r="F48" t="s">
        <v>4037</v>
      </c>
      <c r="G48" t="str">
        <f>_xlfn.XLOOKUP(B48,tblCustomers[CustomerID],tblCustomers[CustomerName],"Unmapped")</f>
        <v>Supermarket Chain B</v>
      </c>
      <c r="H48">
        <f t="shared" si="0"/>
        <v>30</v>
      </c>
      <c r="I48" s="1">
        <f t="shared" si="1"/>
        <v>0</v>
      </c>
      <c r="J48" t="str">
        <f t="shared" ca="1" si="2"/>
        <v>Paid</v>
      </c>
    </row>
    <row r="49" spans="1:10" x14ac:dyDescent="0.25">
      <c r="A49" t="s">
        <v>4900</v>
      </c>
      <c r="B49" t="s">
        <v>4563</v>
      </c>
      <c r="C49" s="3">
        <v>45069</v>
      </c>
      <c r="D49" s="3">
        <v>45099</v>
      </c>
      <c r="E49" s="1">
        <v>36452.82</v>
      </c>
      <c r="F49" t="s">
        <v>4037</v>
      </c>
      <c r="G49" t="str">
        <f>_xlfn.XLOOKUP(B49,tblCustomers[CustomerID],tblCustomers[CustomerName],"Unmapped")</f>
        <v>Supermarket Chain B</v>
      </c>
      <c r="H49">
        <f t="shared" si="0"/>
        <v>30</v>
      </c>
      <c r="I49" s="1">
        <f t="shared" si="1"/>
        <v>0</v>
      </c>
      <c r="J49" t="str">
        <f t="shared" ca="1" si="2"/>
        <v>Paid</v>
      </c>
    </row>
    <row r="50" spans="1:10" x14ac:dyDescent="0.25">
      <c r="A50" t="s">
        <v>4891</v>
      </c>
      <c r="B50" t="s">
        <v>4563</v>
      </c>
      <c r="C50" s="3">
        <v>45071</v>
      </c>
      <c r="D50" s="3">
        <v>45101</v>
      </c>
      <c r="E50" s="1">
        <v>43439.31</v>
      </c>
      <c r="F50" t="s">
        <v>4037</v>
      </c>
      <c r="G50" t="str">
        <f>_xlfn.XLOOKUP(B50,tblCustomers[CustomerID],tblCustomers[CustomerName],"Unmapped")</f>
        <v>Supermarket Chain B</v>
      </c>
      <c r="H50">
        <f t="shared" si="0"/>
        <v>30</v>
      </c>
      <c r="I50" s="1">
        <f t="shared" si="1"/>
        <v>0</v>
      </c>
      <c r="J50" t="str">
        <f t="shared" ca="1" si="2"/>
        <v>Paid</v>
      </c>
    </row>
    <row r="51" spans="1:10" x14ac:dyDescent="0.25">
      <c r="A51" t="s">
        <v>5055</v>
      </c>
      <c r="B51" t="s">
        <v>4563</v>
      </c>
      <c r="C51" s="3">
        <v>45073</v>
      </c>
      <c r="D51" s="3">
        <v>45103</v>
      </c>
      <c r="E51" s="1">
        <v>16505.47</v>
      </c>
      <c r="F51" t="s">
        <v>4037</v>
      </c>
      <c r="G51" t="str">
        <f>_xlfn.XLOOKUP(B51,tblCustomers[CustomerID],tblCustomers[CustomerName],"Unmapped")</f>
        <v>Supermarket Chain B</v>
      </c>
      <c r="H51">
        <f t="shared" si="0"/>
        <v>30</v>
      </c>
      <c r="I51" s="1">
        <f t="shared" si="1"/>
        <v>0</v>
      </c>
      <c r="J51" t="str">
        <f t="shared" ca="1" si="2"/>
        <v>Paid</v>
      </c>
    </row>
    <row r="52" spans="1:10" x14ac:dyDescent="0.25">
      <c r="A52" t="s">
        <v>4682</v>
      </c>
      <c r="B52" t="s">
        <v>4552</v>
      </c>
      <c r="C52" s="3">
        <v>45075</v>
      </c>
      <c r="D52" s="3">
        <v>45105</v>
      </c>
      <c r="E52" s="1">
        <v>43472.82</v>
      </c>
      <c r="F52" t="s">
        <v>4037</v>
      </c>
      <c r="G52" t="str">
        <f>_xlfn.XLOOKUP(B52,tblCustomers[CustomerID],tblCustomers[CustomerName],"Unmapped")</f>
        <v>Online Retailer D</v>
      </c>
      <c r="H52">
        <f t="shared" si="0"/>
        <v>30</v>
      </c>
      <c r="I52" s="1">
        <f t="shared" si="1"/>
        <v>0</v>
      </c>
      <c r="J52" t="str">
        <f t="shared" ca="1" si="2"/>
        <v>Paid</v>
      </c>
    </row>
    <row r="53" spans="1:10" x14ac:dyDescent="0.25">
      <c r="A53" t="s">
        <v>4664</v>
      </c>
      <c r="B53" t="s">
        <v>4552</v>
      </c>
      <c r="C53" s="3">
        <v>45077</v>
      </c>
      <c r="D53" s="3">
        <v>45107</v>
      </c>
      <c r="E53" s="1">
        <v>17471.96</v>
      </c>
      <c r="F53" t="s">
        <v>4037</v>
      </c>
      <c r="G53" t="str">
        <f>_xlfn.XLOOKUP(B53,tblCustomers[CustomerID],tblCustomers[CustomerName],"Unmapped")</f>
        <v>Online Retailer D</v>
      </c>
      <c r="H53">
        <f t="shared" si="0"/>
        <v>30</v>
      </c>
      <c r="I53" s="1">
        <f t="shared" si="1"/>
        <v>0</v>
      </c>
      <c r="J53" t="str">
        <f t="shared" ca="1" si="2"/>
        <v>Paid</v>
      </c>
    </row>
    <row r="54" spans="1:10" x14ac:dyDescent="0.25">
      <c r="A54" t="s">
        <v>4950</v>
      </c>
      <c r="B54" t="s">
        <v>4555</v>
      </c>
      <c r="C54" s="3">
        <v>45079</v>
      </c>
      <c r="D54" s="3">
        <v>45109</v>
      </c>
      <c r="E54" s="1">
        <v>31069.57</v>
      </c>
      <c r="F54" t="s">
        <v>4040</v>
      </c>
      <c r="G54" t="str">
        <f>_xlfn.XLOOKUP(B54,tblCustomers[CustomerID],tblCustomers[CustomerName],"Unmapped")</f>
        <v>Gourmet Shop C</v>
      </c>
      <c r="H54">
        <f t="shared" si="0"/>
        <v>30</v>
      </c>
      <c r="I54" s="1">
        <f t="shared" si="1"/>
        <v>31069.57</v>
      </c>
      <c r="J54" t="str">
        <f t="shared" ca="1" si="2"/>
        <v>Overdue</v>
      </c>
    </row>
    <row r="55" spans="1:10" x14ac:dyDescent="0.25">
      <c r="A55" t="s">
        <v>5005</v>
      </c>
      <c r="B55" t="s">
        <v>4561</v>
      </c>
      <c r="C55" s="3">
        <v>45080</v>
      </c>
      <c r="D55" s="3">
        <v>45110</v>
      </c>
      <c r="E55" s="1">
        <v>21343.87</v>
      </c>
      <c r="F55" t="s">
        <v>4037</v>
      </c>
      <c r="G55" t="str">
        <f>_xlfn.XLOOKUP(B55,tblCustomers[CustomerID],tblCustomers[CustomerName],"Unmapped")</f>
        <v>Retail Giant A</v>
      </c>
      <c r="H55">
        <f t="shared" si="0"/>
        <v>30</v>
      </c>
      <c r="I55" s="1">
        <f t="shared" si="1"/>
        <v>0</v>
      </c>
      <c r="J55" t="str">
        <f t="shared" ca="1" si="2"/>
        <v>Paid</v>
      </c>
    </row>
    <row r="56" spans="1:10" x14ac:dyDescent="0.25">
      <c r="A56" t="s">
        <v>4615</v>
      </c>
      <c r="B56" t="s">
        <v>4559</v>
      </c>
      <c r="C56" s="3">
        <v>45089</v>
      </c>
      <c r="D56" s="3">
        <v>45119</v>
      </c>
      <c r="E56" s="1">
        <v>20272.490000000002</v>
      </c>
      <c r="F56" t="s">
        <v>4037</v>
      </c>
      <c r="G56" t="str">
        <f>_xlfn.XLOOKUP(B56,tblCustomers[CustomerID],tblCustomers[CustomerName],"Unmapped")</f>
        <v>Hotel Group E</v>
      </c>
      <c r="H56">
        <f t="shared" si="0"/>
        <v>30</v>
      </c>
      <c r="I56" s="1">
        <f t="shared" si="1"/>
        <v>0</v>
      </c>
      <c r="J56" t="str">
        <f t="shared" ca="1" si="2"/>
        <v>Paid</v>
      </c>
    </row>
    <row r="57" spans="1:10" x14ac:dyDescent="0.25">
      <c r="A57" t="s">
        <v>4706</v>
      </c>
      <c r="B57" t="s">
        <v>4561</v>
      </c>
      <c r="C57" s="3">
        <v>45092</v>
      </c>
      <c r="D57" s="3">
        <v>45122</v>
      </c>
      <c r="E57" s="1">
        <v>46629.33</v>
      </c>
      <c r="F57" t="s">
        <v>4037</v>
      </c>
      <c r="G57" t="str">
        <f>_xlfn.XLOOKUP(B57,tblCustomers[CustomerID],tblCustomers[CustomerName],"Unmapped")</f>
        <v>Retail Giant A</v>
      </c>
      <c r="H57">
        <f t="shared" si="0"/>
        <v>30</v>
      </c>
      <c r="I57" s="1">
        <f t="shared" si="1"/>
        <v>0</v>
      </c>
      <c r="J57" t="str">
        <f t="shared" ca="1" si="2"/>
        <v>Paid</v>
      </c>
    </row>
    <row r="58" spans="1:10" x14ac:dyDescent="0.25">
      <c r="A58" t="s">
        <v>5044</v>
      </c>
      <c r="B58" t="s">
        <v>4563</v>
      </c>
      <c r="C58" s="3">
        <v>45092</v>
      </c>
      <c r="D58" s="3">
        <v>45122</v>
      </c>
      <c r="E58" s="1">
        <v>3895.22</v>
      </c>
      <c r="F58" t="s">
        <v>4037</v>
      </c>
      <c r="G58" t="str">
        <f>_xlfn.XLOOKUP(B58,tblCustomers[CustomerID],tblCustomers[CustomerName],"Unmapped")</f>
        <v>Supermarket Chain B</v>
      </c>
      <c r="H58">
        <f t="shared" si="0"/>
        <v>30</v>
      </c>
      <c r="I58" s="1">
        <f t="shared" si="1"/>
        <v>0</v>
      </c>
      <c r="J58" t="str">
        <f t="shared" ca="1" si="2"/>
        <v>Paid</v>
      </c>
    </row>
    <row r="59" spans="1:10" x14ac:dyDescent="0.25">
      <c r="A59" t="s">
        <v>4771</v>
      </c>
      <c r="B59" t="s">
        <v>4561</v>
      </c>
      <c r="C59" s="3">
        <v>45093</v>
      </c>
      <c r="D59" s="3">
        <v>45123</v>
      </c>
      <c r="E59" s="1">
        <v>2630.91</v>
      </c>
      <c r="F59" t="s">
        <v>4037</v>
      </c>
      <c r="G59" t="str">
        <f>_xlfn.XLOOKUP(B59,tblCustomers[CustomerID],tblCustomers[CustomerName],"Unmapped")</f>
        <v>Retail Giant A</v>
      </c>
      <c r="H59">
        <f t="shared" si="0"/>
        <v>30</v>
      </c>
      <c r="I59" s="1">
        <f t="shared" si="1"/>
        <v>0</v>
      </c>
      <c r="J59" t="str">
        <f t="shared" ca="1" si="2"/>
        <v>Paid</v>
      </c>
    </row>
    <row r="60" spans="1:10" x14ac:dyDescent="0.25">
      <c r="A60" t="s">
        <v>4873</v>
      </c>
      <c r="B60" t="s">
        <v>4563</v>
      </c>
      <c r="C60" s="3">
        <v>45097</v>
      </c>
      <c r="D60" s="3">
        <v>45127</v>
      </c>
      <c r="E60" s="1">
        <v>3381.35</v>
      </c>
      <c r="F60" t="s">
        <v>4037</v>
      </c>
      <c r="G60" t="str">
        <f>_xlfn.XLOOKUP(B60,tblCustomers[CustomerID],tblCustomers[CustomerName],"Unmapped")</f>
        <v>Supermarket Chain B</v>
      </c>
      <c r="H60">
        <f t="shared" si="0"/>
        <v>30</v>
      </c>
      <c r="I60" s="1">
        <f t="shared" si="1"/>
        <v>0</v>
      </c>
      <c r="J60" t="str">
        <f t="shared" ca="1" si="2"/>
        <v>Paid</v>
      </c>
    </row>
    <row r="61" spans="1:10" x14ac:dyDescent="0.25">
      <c r="A61" t="s">
        <v>4573</v>
      </c>
      <c r="B61" t="s">
        <v>4552</v>
      </c>
      <c r="C61" s="3">
        <v>45103</v>
      </c>
      <c r="D61" s="3">
        <v>45133</v>
      </c>
      <c r="E61" s="1">
        <v>13913.03</v>
      </c>
      <c r="F61" t="s">
        <v>4037</v>
      </c>
      <c r="G61" t="str">
        <f>_xlfn.XLOOKUP(B61,tblCustomers[CustomerID],tblCustomers[CustomerName],"Unmapped")</f>
        <v>Online Retailer D</v>
      </c>
      <c r="H61">
        <f t="shared" si="0"/>
        <v>30</v>
      </c>
      <c r="I61" s="1">
        <f t="shared" si="1"/>
        <v>0</v>
      </c>
      <c r="J61" t="str">
        <f t="shared" ca="1" si="2"/>
        <v>Paid</v>
      </c>
    </row>
    <row r="62" spans="1:10" x14ac:dyDescent="0.25">
      <c r="A62" t="s">
        <v>4694</v>
      </c>
      <c r="B62" t="s">
        <v>4555</v>
      </c>
      <c r="C62" s="3">
        <v>45104</v>
      </c>
      <c r="D62" s="3">
        <v>45134</v>
      </c>
      <c r="E62" s="1">
        <v>43753.87</v>
      </c>
      <c r="F62" t="s">
        <v>4037</v>
      </c>
      <c r="G62" t="str">
        <f>_xlfn.XLOOKUP(B62,tblCustomers[CustomerID],tblCustomers[CustomerName],"Unmapped")</f>
        <v>Gourmet Shop C</v>
      </c>
      <c r="H62">
        <f t="shared" si="0"/>
        <v>30</v>
      </c>
      <c r="I62" s="1">
        <f t="shared" si="1"/>
        <v>0</v>
      </c>
      <c r="J62" t="str">
        <f t="shared" ca="1" si="2"/>
        <v>Paid</v>
      </c>
    </row>
    <row r="63" spans="1:10" x14ac:dyDescent="0.25">
      <c r="A63" t="s">
        <v>5004</v>
      </c>
      <c r="B63" t="s">
        <v>4563</v>
      </c>
      <c r="C63" s="3">
        <v>45104</v>
      </c>
      <c r="D63" s="3">
        <v>45134</v>
      </c>
      <c r="E63" s="1">
        <v>1552.77</v>
      </c>
      <c r="F63" t="s">
        <v>4040</v>
      </c>
      <c r="G63" t="str">
        <f>_xlfn.XLOOKUP(B63,tblCustomers[CustomerID],tblCustomers[CustomerName],"Unmapped")</f>
        <v>Supermarket Chain B</v>
      </c>
      <c r="H63">
        <f t="shared" si="0"/>
        <v>30</v>
      </c>
      <c r="I63" s="1">
        <f t="shared" si="1"/>
        <v>1552.77</v>
      </c>
      <c r="J63" t="str">
        <f t="shared" ca="1" si="2"/>
        <v>Overdue</v>
      </c>
    </row>
    <row r="64" spans="1:10" x14ac:dyDescent="0.25">
      <c r="A64" t="s">
        <v>4924</v>
      </c>
      <c r="B64" t="s">
        <v>4555</v>
      </c>
      <c r="C64" s="3">
        <v>45105</v>
      </c>
      <c r="D64" s="3">
        <v>45135</v>
      </c>
      <c r="E64" s="1">
        <v>22247.79</v>
      </c>
      <c r="F64" t="s">
        <v>4037</v>
      </c>
      <c r="G64" t="str">
        <f>_xlfn.XLOOKUP(B64,tblCustomers[CustomerID],tblCustomers[CustomerName],"Unmapped")</f>
        <v>Gourmet Shop C</v>
      </c>
      <c r="H64">
        <f t="shared" si="0"/>
        <v>30</v>
      </c>
      <c r="I64" s="1">
        <f t="shared" si="1"/>
        <v>0</v>
      </c>
      <c r="J64" t="str">
        <f t="shared" ca="1" si="2"/>
        <v>Paid</v>
      </c>
    </row>
    <row r="65" spans="1:10" x14ac:dyDescent="0.25">
      <c r="A65" t="s">
        <v>4918</v>
      </c>
      <c r="B65" t="s">
        <v>4552</v>
      </c>
      <c r="C65" s="3">
        <v>45111</v>
      </c>
      <c r="D65" s="3">
        <v>45141</v>
      </c>
      <c r="E65" s="1">
        <v>25935.33</v>
      </c>
      <c r="F65" t="s">
        <v>4037</v>
      </c>
      <c r="G65" t="str">
        <f>_xlfn.XLOOKUP(B65,tblCustomers[CustomerID],tblCustomers[CustomerName],"Unmapped")</f>
        <v>Online Retailer D</v>
      </c>
      <c r="H65">
        <f t="shared" si="0"/>
        <v>30</v>
      </c>
      <c r="I65" s="1">
        <f t="shared" si="1"/>
        <v>0</v>
      </c>
      <c r="J65" t="str">
        <f t="shared" ca="1" si="2"/>
        <v>Paid</v>
      </c>
    </row>
    <row r="66" spans="1:10" x14ac:dyDescent="0.25">
      <c r="A66" t="s">
        <v>4703</v>
      </c>
      <c r="B66" t="s">
        <v>4552</v>
      </c>
      <c r="C66" s="3">
        <v>45118</v>
      </c>
      <c r="D66" s="3">
        <v>45148</v>
      </c>
      <c r="E66" s="1">
        <v>40197.879999999997</v>
      </c>
      <c r="F66" t="s">
        <v>4037</v>
      </c>
      <c r="G66" t="str">
        <f>_xlfn.XLOOKUP(B66,tblCustomers[CustomerID],tblCustomers[CustomerName],"Unmapped")</f>
        <v>Online Retailer D</v>
      </c>
      <c r="H66">
        <f t="shared" ref="H66:H129" si="3">D66-C66</f>
        <v>30</v>
      </c>
      <c r="I66" s="1">
        <f t="shared" ref="I66:I129" si="4">IF(F66="Unpaid",E66,0)</f>
        <v>0</v>
      </c>
      <c r="J66" t="str">
        <f t="shared" ref="J66:J129" ca="1" si="5">IF(F66="Paid","Paid",IF(D66&lt;TODAY(),"Overdue","Open"))</f>
        <v>Paid</v>
      </c>
    </row>
    <row r="67" spans="1:10" x14ac:dyDescent="0.25">
      <c r="A67" t="s">
        <v>4867</v>
      </c>
      <c r="B67" t="s">
        <v>4563</v>
      </c>
      <c r="C67" s="3">
        <v>45119</v>
      </c>
      <c r="D67" s="3">
        <v>45149</v>
      </c>
      <c r="E67" s="1">
        <v>31259.23</v>
      </c>
      <c r="F67" t="s">
        <v>4037</v>
      </c>
      <c r="G67" t="str">
        <f>_xlfn.XLOOKUP(B67,tblCustomers[CustomerID],tblCustomers[CustomerName],"Unmapped")</f>
        <v>Supermarket Chain B</v>
      </c>
      <c r="H67">
        <f t="shared" si="3"/>
        <v>30</v>
      </c>
      <c r="I67" s="1">
        <f t="shared" si="4"/>
        <v>0</v>
      </c>
      <c r="J67" t="str">
        <f t="shared" ca="1" si="5"/>
        <v>Paid</v>
      </c>
    </row>
    <row r="68" spans="1:10" x14ac:dyDescent="0.25">
      <c r="A68" t="s">
        <v>4755</v>
      </c>
      <c r="B68" t="s">
        <v>4552</v>
      </c>
      <c r="C68" s="3">
        <v>45125</v>
      </c>
      <c r="D68" s="3">
        <v>45155</v>
      </c>
      <c r="E68" s="1">
        <v>32778.620000000003</v>
      </c>
      <c r="F68" t="s">
        <v>4037</v>
      </c>
      <c r="G68" t="str">
        <f>_xlfn.XLOOKUP(B68,tblCustomers[CustomerID],tblCustomers[CustomerName],"Unmapped")</f>
        <v>Online Retailer D</v>
      </c>
      <c r="H68">
        <f t="shared" si="3"/>
        <v>30</v>
      </c>
      <c r="I68" s="1">
        <f t="shared" si="4"/>
        <v>0</v>
      </c>
      <c r="J68" t="str">
        <f t="shared" ca="1" si="5"/>
        <v>Paid</v>
      </c>
    </row>
    <row r="69" spans="1:10" x14ac:dyDescent="0.25">
      <c r="A69" t="s">
        <v>4582</v>
      </c>
      <c r="B69" t="s">
        <v>4559</v>
      </c>
      <c r="C69" s="3">
        <v>45130</v>
      </c>
      <c r="D69" s="3">
        <v>45160</v>
      </c>
      <c r="E69" s="1">
        <v>2491.5500000000002</v>
      </c>
      <c r="F69" t="s">
        <v>4040</v>
      </c>
      <c r="G69" t="str">
        <f>_xlfn.XLOOKUP(B69,tblCustomers[CustomerID],tblCustomers[CustomerName],"Unmapped")</f>
        <v>Hotel Group E</v>
      </c>
      <c r="H69">
        <f t="shared" si="3"/>
        <v>30</v>
      </c>
      <c r="I69" s="1">
        <f t="shared" si="4"/>
        <v>2491.5500000000002</v>
      </c>
      <c r="J69" t="str">
        <f t="shared" ca="1" si="5"/>
        <v>Overdue</v>
      </c>
    </row>
    <row r="70" spans="1:10" x14ac:dyDescent="0.25">
      <c r="A70" t="s">
        <v>5014</v>
      </c>
      <c r="B70" t="s">
        <v>4552</v>
      </c>
      <c r="C70" s="3">
        <v>45130</v>
      </c>
      <c r="D70" s="3">
        <v>45160</v>
      </c>
      <c r="E70" s="1">
        <v>9418.32</v>
      </c>
      <c r="F70" t="s">
        <v>4037</v>
      </c>
      <c r="G70" t="str">
        <f>_xlfn.XLOOKUP(B70,tblCustomers[CustomerID],tblCustomers[CustomerName],"Unmapped")</f>
        <v>Online Retailer D</v>
      </c>
      <c r="H70">
        <f t="shared" si="3"/>
        <v>30</v>
      </c>
      <c r="I70" s="1">
        <f t="shared" si="4"/>
        <v>0</v>
      </c>
      <c r="J70" t="str">
        <f t="shared" ca="1" si="5"/>
        <v>Paid</v>
      </c>
    </row>
    <row r="71" spans="1:10" x14ac:dyDescent="0.25">
      <c r="A71" t="s">
        <v>4880</v>
      </c>
      <c r="B71" t="s">
        <v>4561</v>
      </c>
      <c r="C71" s="3">
        <v>45131</v>
      </c>
      <c r="D71" s="3">
        <v>45161</v>
      </c>
      <c r="E71" s="1">
        <v>28312.17</v>
      </c>
      <c r="F71" t="s">
        <v>4040</v>
      </c>
      <c r="G71" t="str">
        <f>_xlfn.XLOOKUP(B71,tblCustomers[CustomerID],tblCustomers[CustomerName],"Unmapped")</f>
        <v>Retail Giant A</v>
      </c>
      <c r="H71">
        <f t="shared" si="3"/>
        <v>30</v>
      </c>
      <c r="I71" s="1">
        <f t="shared" si="4"/>
        <v>28312.17</v>
      </c>
      <c r="J71" t="str">
        <f t="shared" ca="1" si="5"/>
        <v>Overdue</v>
      </c>
    </row>
    <row r="72" spans="1:10" x14ac:dyDescent="0.25">
      <c r="A72" t="s">
        <v>4765</v>
      </c>
      <c r="B72" t="s">
        <v>4559</v>
      </c>
      <c r="C72" s="3">
        <v>45134</v>
      </c>
      <c r="D72" s="3">
        <v>45164</v>
      </c>
      <c r="E72" s="1">
        <v>9487.06</v>
      </c>
      <c r="F72" t="s">
        <v>4037</v>
      </c>
      <c r="G72" t="str">
        <f>_xlfn.XLOOKUP(B72,tblCustomers[CustomerID],tblCustomers[CustomerName],"Unmapped")</f>
        <v>Hotel Group E</v>
      </c>
      <c r="H72">
        <f t="shared" si="3"/>
        <v>30</v>
      </c>
      <c r="I72" s="1">
        <f t="shared" si="4"/>
        <v>0</v>
      </c>
      <c r="J72" t="str">
        <f t="shared" ca="1" si="5"/>
        <v>Paid</v>
      </c>
    </row>
    <row r="73" spans="1:10" x14ac:dyDescent="0.25">
      <c r="A73" t="s">
        <v>5001</v>
      </c>
      <c r="B73" t="s">
        <v>4563</v>
      </c>
      <c r="C73" s="3">
        <v>45137</v>
      </c>
      <c r="D73" s="3">
        <v>45167</v>
      </c>
      <c r="E73" s="1">
        <v>34054.79</v>
      </c>
      <c r="F73" t="s">
        <v>4037</v>
      </c>
      <c r="G73" t="str">
        <f>_xlfn.XLOOKUP(B73,tblCustomers[CustomerID],tblCustomers[CustomerName],"Unmapped")</f>
        <v>Supermarket Chain B</v>
      </c>
      <c r="H73">
        <f t="shared" si="3"/>
        <v>30</v>
      </c>
      <c r="I73" s="1">
        <f t="shared" si="4"/>
        <v>0</v>
      </c>
      <c r="J73" t="str">
        <f t="shared" ca="1" si="5"/>
        <v>Paid</v>
      </c>
    </row>
    <row r="74" spans="1:10" x14ac:dyDescent="0.25">
      <c r="A74" t="s">
        <v>4866</v>
      </c>
      <c r="B74" t="s">
        <v>4552</v>
      </c>
      <c r="C74" s="3">
        <v>45139</v>
      </c>
      <c r="D74" s="3">
        <v>45169</v>
      </c>
      <c r="E74" s="1">
        <v>26124.46</v>
      </c>
      <c r="F74" t="s">
        <v>4037</v>
      </c>
      <c r="G74" t="str">
        <f>_xlfn.XLOOKUP(B74,tblCustomers[CustomerID],tblCustomers[CustomerName],"Unmapped")</f>
        <v>Online Retailer D</v>
      </c>
      <c r="H74">
        <f t="shared" si="3"/>
        <v>30</v>
      </c>
      <c r="I74" s="1">
        <f t="shared" si="4"/>
        <v>0</v>
      </c>
      <c r="J74" t="str">
        <f t="shared" ca="1" si="5"/>
        <v>Paid</v>
      </c>
    </row>
    <row r="75" spans="1:10" x14ac:dyDescent="0.25">
      <c r="A75" t="s">
        <v>5029</v>
      </c>
      <c r="B75" t="s">
        <v>4561</v>
      </c>
      <c r="C75" s="3">
        <v>45141</v>
      </c>
      <c r="D75" s="3">
        <v>45171</v>
      </c>
      <c r="E75" s="1">
        <v>31131.79</v>
      </c>
      <c r="F75" t="s">
        <v>4037</v>
      </c>
      <c r="G75" t="str">
        <f>_xlfn.XLOOKUP(B75,tblCustomers[CustomerID],tblCustomers[CustomerName],"Unmapped")</f>
        <v>Retail Giant A</v>
      </c>
      <c r="H75">
        <f t="shared" si="3"/>
        <v>30</v>
      </c>
      <c r="I75" s="1">
        <f t="shared" si="4"/>
        <v>0</v>
      </c>
      <c r="J75" t="str">
        <f t="shared" ca="1" si="5"/>
        <v>Paid</v>
      </c>
    </row>
    <row r="76" spans="1:10" x14ac:dyDescent="0.25">
      <c r="A76" t="s">
        <v>4713</v>
      </c>
      <c r="B76" t="s">
        <v>4561</v>
      </c>
      <c r="C76" s="3">
        <v>45143</v>
      </c>
      <c r="D76" s="3">
        <v>45173</v>
      </c>
      <c r="E76" s="1">
        <v>23431.64</v>
      </c>
      <c r="F76" t="s">
        <v>4037</v>
      </c>
      <c r="G76" t="str">
        <f>_xlfn.XLOOKUP(B76,tblCustomers[CustomerID],tblCustomers[CustomerName],"Unmapped")</f>
        <v>Retail Giant A</v>
      </c>
      <c r="H76">
        <f t="shared" si="3"/>
        <v>30</v>
      </c>
      <c r="I76" s="1">
        <f t="shared" si="4"/>
        <v>0</v>
      </c>
      <c r="J76" t="str">
        <f t="shared" ca="1" si="5"/>
        <v>Paid</v>
      </c>
    </row>
    <row r="77" spans="1:10" x14ac:dyDescent="0.25">
      <c r="A77" t="s">
        <v>4735</v>
      </c>
      <c r="B77" t="s">
        <v>4552</v>
      </c>
      <c r="C77" s="3">
        <v>45146</v>
      </c>
      <c r="D77" s="3">
        <v>45176</v>
      </c>
      <c r="E77" s="1">
        <v>16137.97</v>
      </c>
      <c r="F77" t="s">
        <v>4040</v>
      </c>
      <c r="G77" t="str">
        <f>_xlfn.XLOOKUP(B77,tblCustomers[CustomerID],tblCustomers[CustomerName],"Unmapped")</f>
        <v>Online Retailer D</v>
      </c>
      <c r="H77">
        <f t="shared" si="3"/>
        <v>30</v>
      </c>
      <c r="I77" s="1">
        <f t="shared" si="4"/>
        <v>16137.97</v>
      </c>
      <c r="J77" t="str">
        <f t="shared" ca="1" si="5"/>
        <v>Overdue</v>
      </c>
    </row>
    <row r="78" spans="1:10" x14ac:dyDescent="0.25">
      <c r="A78" t="s">
        <v>4690</v>
      </c>
      <c r="B78" t="s">
        <v>4555</v>
      </c>
      <c r="C78" s="3">
        <v>45147</v>
      </c>
      <c r="D78" s="3">
        <v>45177</v>
      </c>
      <c r="E78" s="1">
        <v>40595.43</v>
      </c>
      <c r="F78" t="s">
        <v>4037</v>
      </c>
      <c r="G78" t="str">
        <f>_xlfn.XLOOKUP(B78,tblCustomers[CustomerID],tblCustomers[CustomerName],"Unmapped")</f>
        <v>Gourmet Shop C</v>
      </c>
      <c r="H78">
        <f t="shared" si="3"/>
        <v>30</v>
      </c>
      <c r="I78" s="1">
        <f t="shared" si="4"/>
        <v>0</v>
      </c>
      <c r="J78" t="str">
        <f t="shared" ca="1" si="5"/>
        <v>Paid</v>
      </c>
    </row>
    <row r="79" spans="1:10" x14ac:dyDescent="0.25">
      <c r="A79" t="s">
        <v>4753</v>
      </c>
      <c r="B79" t="s">
        <v>4559</v>
      </c>
      <c r="C79" s="3">
        <v>45147</v>
      </c>
      <c r="D79" s="3">
        <v>45177</v>
      </c>
      <c r="E79" s="1">
        <v>34239.449999999997</v>
      </c>
      <c r="F79" t="s">
        <v>4037</v>
      </c>
      <c r="G79" t="str">
        <f>_xlfn.XLOOKUP(B79,tblCustomers[CustomerID],tblCustomers[CustomerName],"Unmapped")</f>
        <v>Hotel Group E</v>
      </c>
      <c r="H79">
        <f t="shared" si="3"/>
        <v>30</v>
      </c>
      <c r="I79" s="1">
        <f t="shared" si="4"/>
        <v>0</v>
      </c>
      <c r="J79" t="str">
        <f t="shared" ca="1" si="5"/>
        <v>Paid</v>
      </c>
    </row>
    <row r="80" spans="1:10" x14ac:dyDescent="0.25">
      <c r="A80" t="s">
        <v>5047</v>
      </c>
      <c r="B80" t="s">
        <v>4552</v>
      </c>
      <c r="C80" s="3">
        <v>45150</v>
      </c>
      <c r="D80" s="3">
        <v>45180</v>
      </c>
      <c r="E80" s="1">
        <v>31055.99</v>
      </c>
      <c r="F80" t="s">
        <v>4037</v>
      </c>
      <c r="G80" t="str">
        <f>_xlfn.XLOOKUP(B80,tblCustomers[CustomerID],tblCustomers[CustomerName],"Unmapped")</f>
        <v>Online Retailer D</v>
      </c>
      <c r="H80">
        <f t="shared" si="3"/>
        <v>30</v>
      </c>
      <c r="I80" s="1">
        <f t="shared" si="4"/>
        <v>0</v>
      </c>
      <c r="J80" t="str">
        <f t="shared" ca="1" si="5"/>
        <v>Paid</v>
      </c>
    </row>
    <row r="81" spans="1:10" x14ac:dyDescent="0.25">
      <c r="A81" t="s">
        <v>4964</v>
      </c>
      <c r="B81" t="s">
        <v>4563</v>
      </c>
      <c r="C81" s="3">
        <v>45155</v>
      </c>
      <c r="D81" s="3">
        <v>45185</v>
      </c>
      <c r="E81" s="1">
        <v>39605.120000000003</v>
      </c>
      <c r="F81" t="s">
        <v>4037</v>
      </c>
      <c r="G81" t="str">
        <f>_xlfn.XLOOKUP(B81,tblCustomers[CustomerID],tblCustomers[CustomerName],"Unmapped")</f>
        <v>Supermarket Chain B</v>
      </c>
      <c r="H81">
        <f t="shared" si="3"/>
        <v>30</v>
      </c>
      <c r="I81" s="1">
        <f t="shared" si="4"/>
        <v>0</v>
      </c>
      <c r="J81" t="str">
        <f t="shared" ca="1" si="5"/>
        <v>Paid</v>
      </c>
    </row>
    <row r="82" spans="1:10" x14ac:dyDescent="0.25">
      <c r="A82" t="s">
        <v>4595</v>
      </c>
      <c r="B82" t="s">
        <v>4552</v>
      </c>
      <c r="C82" s="3">
        <v>45159</v>
      </c>
      <c r="D82" s="3">
        <v>45189</v>
      </c>
      <c r="E82" s="1">
        <v>32868.78</v>
      </c>
      <c r="F82" t="s">
        <v>4037</v>
      </c>
      <c r="G82" t="str">
        <f>_xlfn.XLOOKUP(B82,tblCustomers[CustomerID],tblCustomers[CustomerName],"Unmapped")</f>
        <v>Online Retailer D</v>
      </c>
      <c r="H82">
        <f t="shared" si="3"/>
        <v>30</v>
      </c>
      <c r="I82" s="1">
        <f t="shared" si="4"/>
        <v>0</v>
      </c>
      <c r="J82" t="str">
        <f t="shared" ca="1" si="5"/>
        <v>Paid</v>
      </c>
    </row>
    <row r="83" spans="1:10" x14ac:dyDescent="0.25">
      <c r="A83" t="s">
        <v>5023</v>
      </c>
      <c r="B83" t="s">
        <v>4555</v>
      </c>
      <c r="C83" s="3">
        <v>45160</v>
      </c>
      <c r="D83" s="3">
        <v>45190</v>
      </c>
      <c r="E83" s="1">
        <v>38895.620000000003</v>
      </c>
      <c r="F83" t="s">
        <v>4037</v>
      </c>
      <c r="G83" t="str">
        <f>_xlfn.XLOOKUP(B83,tblCustomers[CustomerID],tblCustomers[CustomerName],"Unmapped")</f>
        <v>Gourmet Shop C</v>
      </c>
      <c r="H83">
        <f t="shared" si="3"/>
        <v>30</v>
      </c>
      <c r="I83" s="1">
        <f t="shared" si="4"/>
        <v>0</v>
      </c>
      <c r="J83" t="str">
        <f t="shared" ca="1" si="5"/>
        <v>Paid</v>
      </c>
    </row>
    <row r="84" spans="1:10" x14ac:dyDescent="0.25">
      <c r="A84" t="s">
        <v>4734</v>
      </c>
      <c r="B84" t="s">
        <v>4559</v>
      </c>
      <c r="C84" s="3">
        <v>45169</v>
      </c>
      <c r="D84" s="3">
        <v>45199</v>
      </c>
      <c r="E84" s="1">
        <v>14296.93</v>
      </c>
      <c r="F84" t="s">
        <v>4037</v>
      </c>
      <c r="G84" t="str">
        <f>_xlfn.XLOOKUP(B84,tblCustomers[CustomerID],tblCustomers[CustomerName],"Unmapped")</f>
        <v>Hotel Group E</v>
      </c>
      <c r="H84">
        <f t="shared" si="3"/>
        <v>30</v>
      </c>
      <c r="I84" s="1">
        <f t="shared" si="4"/>
        <v>0</v>
      </c>
      <c r="J84" t="str">
        <f t="shared" ca="1" si="5"/>
        <v>Paid</v>
      </c>
    </row>
    <row r="85" spans="1:10" x14ac:dyDescent="0.25">
      <c r="A85" t="s">
        <v>4776</v>
      </c>
      <c r="B85" t="s">
        <v>4552</v>
      </c>
      <c r="C85" s="3">
        <v>45175</v>
      </c>
      <c r="D85" s="3">
        <v>45205</v>
      </c>
      <c r="E85" s="1">
        <v>2086.15</v>
      </c>
      <c r="F85" t="s">
        <v>4037</v>
      </c>
      <c r="G85" t="str">
        <f>_xlfn.XLOOKUP(B85,tblCustomers[CustomerID],tblCustomers[CustomerName],"Unmapped")</f>
        <v>Online Retailer D</v>
      </c>
      <c r="H85">
        <f t="shared" si="3"/>
        <v>30</v>
      </c>
      <c r="I85" s="1">
        <f t="shared" si="4"/>
        <v>0</v>
      </c>
      <c r="J85" t="str">
        <f t="shared" ca="1" si="5"/>
        <v>Paid</v>
      </c>
    </row>
    <row r="86" spans="1:10" x14ac:dyDescent="0.25">
      <c r="A86" t="s">
        <v>4887</v>
      </c>
      <c r="B86" t="s">
        <v>4561</v>
      </c>
      <c r="C86" s="3">
        <v>45185</v>
      </c>
      <c r="D86" s="3">
        <v>45215</v>
      </c>
      <c r="E86" s="1">
        <v>15507.6</v>
      </c>
      <c r="F86" t="s">
        <v>4037</v>
      </c>
      <c r="G86" t="str">
        <f>_xlfn.XLOOKUP(B86,tblCustomers[CustomerID],tblCustomers[CustomerName],"Unmapped")</f>
        <v>Retail Giant A</v>
      </c>
      <c r="H86">
        <f t="shared" si="3"/>
        <v>30</v>
      </c>
      <c r="I86" s="1">
        <f t="shared" si="4"/>
        <v>0</v>
      </c>
      <c r="J86" t="str">
        <f t="shared" ca="1" si="5"/>
        <v>Paid</v>
      </c>
    </row>
    <row r="87" spans="1:10" x14ac:dyDescent="0.25">
      <c r="A87" t="s">
        <v>4853</v>
      </c>
      <c r="B87" t="s">
        <v>4563</v>
      </c>
      <c r="C87" s="3">
        <v>45189</v>
      </c>
      <c r="D87" s="3">
        <v>45219</v>
      </c>
      <c r="E87" s="1">
        <v>43471.31</v>
      </c>
      <c r="F87" t="s">
        <v>4037</v>
      </c>
      <c r="G87" t="str">
        <f>_xlfn.XLOOKUP(B87,tblCustomers[CustomerID],tblCustomers[CustomerName],"Unmapped")</f>
        <v>Supermarket Chain B</v>
      </c>
      <c r="H87">
        <f t="shared" si="3"/>
        <v>30</v>
      </c>
      <c r="I87" s="1">
        <f t="shared" si="4"/>
        <v>0</v>
      </c>
      <c r="J87" t="str">
        <f t="shared" ca="1" si="5"/>
        <v>Paid</v>
      </c>
    </row>
    <row r="88" spans="1:10" x14ac:dyDescent="0.25">
      <c r="A88" t="s">
        <v>4750</v>
      </c>
      <c r="B88" t="s">
        <v>4559</v>
      </c>
      <c r="C88" s="3">
        <v>45190</v>
      </c>
      <c r="D88" s="3">
        <v>45220</v>
      </c>
      <c r="E88" s="1">
        <v>32160.57</v>
      </c>
      <c r="F88" t="s">
        <v>4037</v>
      </c>
      <c r="G88" t="str">
        <f>_xlfn.XLOOKUP(B88,tblCustomers[CustomerID],tblCustomers[CustomerName],"Unmapped")</f>
        <v>Hotel Group E</v>
      </c>
      <c r="H88">
        <f t="shared" si="3"/>
        <v>30</v>
      </c>
      <c r="I88" s="1">
        <f t="shared" si="4"/>
        <v>0</v>
      </c>
      <c r="J88" t="str">
        <f t="shared" ca="1" si="5"/>
        <v>Paid</v>
      </c>
    </row>
    <row r="89" spans="1:10" x14ac:dyDescent="0.25">
      <c r="A89" t="s">
        <v>5007</v>
      </c>
      <c r="B89" t="s">
        <v>4555</v>
      </c>
      <c r="C89" s="3">
        <v>45191</v>
      </c>
      <c r="D89" s="3">
        <v>45221</v>
      </c>
      <c r="E89" s="1">
        <v>24197.49</v>
      </c>
      <c r="F89" t="s">
        <v>4037</v>
      </c>
      <c r="G89" t="str">
        <f>_xlfn.XLOOKUP(B89,tblCustomers[CustomerID],tblCustomers[CustomerName],"Unmapped")</f>
        <v>Gourmet Shop C</v>
      </c>
      <c r="H89">
        <f t="shared" si="3"/>
        <v>30</v>
      </c>
      <c r="I89" s="1">
        <f t="shared" si="4"/>
        <v>0</v>
      </c>
      <c r="J89" t="str">
        <f t="shared" ca="1" si="5"/>
        <v>Paid</v>
      </c>
    </row>
    <row r="90" spans="1:10" x14ac:dyDescent="0.25">
      <c r="A90" t="s">
        <v>4927</v>
      </c>
      <c r="B90" t="s">
        <v>4559</v>
      </c>
      <c r="C90" s="3">
        <v>45192</v>
      </c>
      <c r="D90" s="3">
        <v>45222</v>
      </c>
      <c r="E90" s="1">
        <v>35830.18</v>
      </c>
      <c r="F90" t="s">
        <v>4037</v>
      </c>
      <c r="G90" t="str">
        <f>_xlfn.XLOOKUP(B90,tblCustomers[CustomerID],tblCustomers[CustomerName],"Unmapped")</f>
        <v>Hotel Group E</v>
      </c>
      <c r="H90">
        <f t="shared" si="3"/>
        <v>30</v>
      </c>
      <c r="I90" s="1">
        <f t="shared" si="4"/>
        <v>0</v>
      </c>
      <c r="J90" t="str">
        <f t="shared" ca="1" si="5"/>
        <v>Paid</v>
      </c>
    </row>
    <row r="91" spans="1:10" x14ac:dyDescent="0.25">
      <c r="A91" t="s">
        <v>5006</v>
      </c>
      <c r="B91" t="s">
        <v>4563</v>
      </c>
      <c r="C91" s="3">
        <v>45204</v>
      </c>
      <c r="D91" s="3">
        <v>45234</v>
      </c>
      <c r="E91" s="1">
        <v>25656.69</v>
      </c>
      <c r="F91" t="s">
        <v>4037</v>
      </c>
      <c r="G91" t="str">
        <f>_xlfn.XLOOKUP(B91,tblCustomers[CustomerID],tblCustomers[CustomerName],"Unmapped")</f>
        <v>Supermarket Chain B</v>
      </c>
      <c r="H91">
        <f t="shared" si="3"/>
        <v>30</v>
      </c>
      <c r="I91" s="1">
        <f t="shared" si="4"/>
        <v>0</v>
      </c>
      <c r="J91" t="str">
        <f t="shared" ca="1" si="5"/>
        <v>Paid</v>
      </c>
    </row>
    <row r="92" spans="1:10" x14ac:dyDescent="0.25">
      <c r="A92" t="s">
        <v>4789</v>
      </c>
      <c r="B92" t="s">
        <v>4552</v>
      </c>
      <c r="C92" s="3">
        <v>45209</v>
      </c>
      <c r="D92" s="3">
        <v>45239</v>
      </c>
      <c r="E92" s="1">
        <v>46192.7</v>
      </c>
      <c r="F92" t="s">
        <v>4037</v>
      </c>
      <c r="G92" t="str">
        <f>_xlfn.XLOOKUP(B92,tblCustomers[CustomerID],tblCustomers[CustomerName],"Unmapped")</f>
        <v>Online Retailer D</v>
      </c>
      <c r="H92">
        <f t="shared" si="3"/>
        <v>30</v>
      </c>
      <c r="I92" s="1">
        <f t="shared" si="4"/>
        <v>0</v>
      </c>
      <c r="J92" t="str">
        <f t="shared" ca="1" si="5"/>
        <v>Paid</v>
      </c>
    </row>
    <row r="93" spans="1:10" x14ac:dyDescent="0.25">
      <c r="A93" t="s">
        <v>4686</v>
      </c>
      <c r="B93" t="s">
        <v>4555</v>
      </c>
      <c r="C93" s="3">
        <v>45210</v>
      </c>
      <c r="D93" s="3">
        <v>45240</v>
      </c>
      <c r="E93" s="1">
        <v>3710.29</v>
      </c>
      <c r="F93" t="s">
        <v>4040</v>
      </c>
      <c r="G93" t="str">
        <f>_xlfn.XLOOKUP(B93,tblCustomers[CustomerID],tblCustomers[CustomerName],"Unmapped")</f>
        <v>Gourmet Shop C</v>
      </c>
      <c r="H93">
        <f t="shared" si="3"/>
        <v>30</v>
      </c>
      <c r="I93" s="1">
        <f t="shared" si="4"/>
        <v>3710.29</v>
      </c>
      <c r="J93" t="str">
        <f t="shared" ca="1" si="5"/>
        <v>Overdue</v>
      </c>
    </row>
    <row r="94" spans="1:10" x14ac:dyDescent="0.25">
      <c r="A94" t="s">
        <v>4774</v>
      </c>
      <c r="B94" t="s">
        <v>4552</v>
      </c>
      <c r="C94" s="3">
        <v>45214</v>
      </c>
      <c r="D94" s="3">
        <v>45244</v>
      </c>
      <c r="E94" s="1">
        <v>18658.650000000001</v>
      </c>
      <c r="F94" t="s">
        <v>4037</v>
      </c>
      <c r="G94" t="str">
        <f>_xlfn.XLOOKUP(B94,tblCustomers[CustomerID],tblCustomers[CustomerName],"Unmapped")</f>
        <v>Online Retailer D</v>
      </c>
      <c r="H94">
        <f t="shared" si="3"/>
        <v>30</v>
      </c>
      <c r="I94" s="1">
        <f t="shared" si="4"/>
        <v>0</v>
      </c>
      <c r="J94" t="str">
        <f t="shared" ca="1" si="5"/>
        <v>Paid</v>
      </c>
    </row>
    <row r="95" spans="1:10" x14ac:dyDescent="0.25">
      <c r="A95" t="s">
        <v>4806</v>
      </c>
      <c r="B95" t="s">
        <v>4559</v>
      </c>
      <c r="C95" s="3">
        <v>45218</v>
      </c>
      <c r="D95" s="3">
        <v>45248</v>
      </c>
      <c r="E95" s="1">
        <v>10975.35</v>
      </c>
      <c r="F95" t="s">
        <v>4037</v>
      </c>
      <c r="G95" t="str">
        <f>_xlfn.XLOOKUP(B95,tblCustomers[CustomerID],tblCustomers[CustomerName],"Unmapped")</f>
        <v>Hotel Group E</v>
      </c>
      <c r="H95">
        <f t="shared" si="3"/>
        <v>30</v>
      </c>
      <c r="I95" s="1">
        <f t="shared" si="4"/>
        <v>0</v>
      </c>
      <c r="J95" t="str">
        <f t="shared" ca="1" si="5"/>
        <v>Paid</v>
      </c>
    </row>
    <row r="96" spans="1:10" x14ac:dyDescent="0.25">
      <c r="A96" t="s">
        <v>4978</v>
      </c>
      <c r="B96" t="s">
        <v>4552</v>
      </c>
      <c r="C96" s="3">
        <v>45218</v>
      </c>
      <c r="D96" s="3">
        <v>45248</v>
      </c>
      <c r="E96" s="1">
        <v>9274.36</v>
      </c>
      <c r="F96" t="s">
        <v>4040</v>
      </c>
      <c r="G96" t="str">
        <f>_xlfn.XLOOKUP(B96,tblCustomers[CustomerID],tblCustomers[CustomerName],"Unmapped")</f>
        <v>Online Retailer D</v>
      </c>
      <c r="H96">
        <f t="shared" si="3"/>
        <v>30</v>
      </c>
      <c r="I96" s="1">
        <f t="shared" si="4"/>
        <v>9274.36</v>
      </c>
      <c r="J96" t="str">
        <f t="shared" ca="1" si="5"/>
        <v>Overdue</v>
      </c>
    </row>
    <row r="97" spans="1:10" x14ac:dyDescent="0.25">
      <c r="A97" t="s">
        <v>4715</v>
      </c>
      <c r="B97" t="s">
        <v>4552</v>
      </c>
      <c r="C97" s="3">
        <v>45226</v>
      </c>
      <c r="D97" s="3">
        <v>45256</v>
      </c>
      <c r="E97" s="1">
        <v>44286.400000000001</v>
      </c>
      <c r="F97" t="s">
        <v>4037</v>
      </c>
      <c r="G97" t="str">
        <f>_xlfn.XLOOKUP(B97,tblCustomers[CustomerID],tblCustomers[CustomerName],"Unmapped")</f>
        <v>Online Retailer D</v>
      </c>
      <c r="H97">
        <f t="shared" si="3"/>
        <v>30</v>
      </c>
      <c r="I97" s="1">
        <f t="shared" si="4"/>
        <v>0</v>
      </c>
      <c r="J97" t="str">
        <f t="shared" ca="1" si="5"/>
        <v>Paid</v>
      </c>
    </row>
    <row r="98" spans="1:10" x14ac:dyDescent="0.25">
      <c r="A98" t="s">
        <v>4719</v>
      </c>
      <c r="B98" t="s">
        <v>4559</v>
      </c>
      <c r="C98" s="3">
        <v>45226</v>
      </c>
      <c r="D98" s="3">
        <v>45256</v>
      </c>
      <c r="E98" s="1">
        <v>10880.11</v>
      </c>
      <c r="F98" t="s">
        <v>4040</v>
      </c>
      <c r="G98" t="str">
        <f>_xlfn.XLOOKUP(B98,tblCustomers[CustomerID],tblCustomers[CustomerName],"Unmapped")</f>
        <v>Hotel Group E</v>
      </c>
      <c r="H98">
        <f t="shared" si="3"/>
        <v>30</v>
      </c>
      <c r="I98" s="1">
        <f t="shared" si="4"/>
        <v>10880.11</v>
      </c>
      <c r="J98" t="str">
        <f t="shared" ca="1" si="5"/>
        <v>Overdue</v>
      </c>
    </row>
    <row r="99" spans="1:10" x14ac:dyDescent="0.25">
      <c r="A99" t="s">
        <v>4653</v>
      </c>
      <c r="B99" t="s">
        <v>4561</v>
      </c>
      <c r="C99" s="3">
        <v>45227</v>
      </c>
      <c r="D99" s="3">
        <v>45257</v>
      </c>
      <c r="E99" s="1">
        <v>48993.99</v>
      </c>
      <c r="F99" t="s">
        <v>4037</v>
      </c>
      <c r="G99" t="str">
        <f>_xlfn.XLOOKUP(B99,tblCustomers[CustomerID],tblCustomers[CustomerName],"Unmapped")</f>
        <v>Retail Giant A</v>
      </c>
      <c r="H99">
        <f t="shared" si="3"/>
        <v>30</v>
      </c>
      <c r="I99" s="1">
        <f t="shared" si="4"/>
        <v>0</v>
      </c>
      <c r="J99" t="str">
        <f t="shared" ca="1" si="5"/>
        <v>Paid</v>
      </c>
    </row>
    <row r="100" spans="1:10" x14ac:dyDescent="0.25">
      <c r="A100" t="s">
        <v>4804</v>
      </c>
      <c r="B100" t="s">
        <v>4563</v>
      </c>
      <c r="C100" s="3">
        <v>45230</v>
      </c>
      <c r="D100" s="3">
        <v>45260</v>
      </c>
      <c r="E100" s="1">
        <v>23437.93</v>
      </c>
      <c r="F100" t="s">
        <v>4037</v>
      </c>
      <c r="G100" t="str">
        <f>_xlfn.XLOOKUP(B100,tblCustomers[CustomerID],tblCustomers[CustomerName],"Unmapped")</f>
        <v>Supermarket Chain B</v>
      </c>
      <c r="H100">
        <f t="shared" si="3"/>
        <v>30</v>
      </c>
      <c r="I100" s="1">
        <f t="shared" si="4"/>
        <v>0</v>
      </c>
      <c r="J100" t="str">
        <f t="shared" ca="1" si="5"/>
        <v>Paid</v>
      </c>
    </row>
    <row r="101" spans="1:10" x14ac:dyDescent="0.25">
      <c r="A101" t="s">
        <v>4618</v>
      </c>
      <c r="B101" t="s">
        <v>4563</v>
      </c>
      <c r="C101" s="3">
        <v>45231</v>
      </c>
      <c r="D101" s="3">
        <v>45261</v>
      </c>
      <c r="E101" s="1">
        <v>13577.65</v>
      </c>
      <c r="F101" t="s">
        <v>4037</v>
      </c>
      <c r="G101" t="str">
        <f>_xlfn.XLOOKUP(B101,tblCustomers[CustomerID],tblCustomers[CustomerName],"Unmapped")</f>
        <v>Supermarket Chain B</v>
      </c>
      <c r="H101">
        <f t="shared" si="3"/>
        <v>30</v>
      </c>
      <c r="I101" s="1">
        <f t="shared" si="4"/>
        <v>0</v>
      </c>
      <c r="J101" t="str">
        <f t="shared" ca="1" si="5"/>
        <v>Paid</v>
      </c>
    </row>
    <row r="102" spans="1:10" x14ac:dyDescent="0.25">
      <c r="A102" t="s">
        <v>4670</v>
      </c>
      <c r="B102" t="s">
        <v>4552</v>
      </c>
      <c r="C102" s="3">
        <v>45231</v>
      </c>
      <c r="D102" s="3">
        <v>45261</v>
      </c>
      <c r="E102" s="1">
        <v>47433.67</v>
      </c>
      <c r="F102" t="s">
        <v>4037</v>
      </c>
      <c r="G102" t="str">
        <f>_xlfn.XLOOKUP(B102,tblCustomers[CustomerID],tblCustomers[CustomerName],"Unmapped")</f>
        <v>Online Retailer D</v>
      </c>
      <c r="H102">
        <f t="shared" si="3"/>
        <v>30</v>
      </c>
      <c r="I102" s="1">
        <f t="shared" si="4"/>
        <v>0</v>
      </c>
      <c r="J102" t="str">
        <f t="shared" ca="1" si="5"/>
        <v>Paid</v>
      </c>
    </row>
    <row r="103" spans="1:10" x14ac:dyDescent="0.25">
      <c r="A103" t="s">
        <v>4587</v>
      </c>
      <c r="B103" t="s">
        <v>4561</v>
      </c>
      <c r="C103" s="3">
        <v>45232</v>
      </c>
      <c r="D103" s="3">
        <v>45262</v>
      </c>
      <c r="E103" s="1">
        <v>13540.9</v>
      </c>
      <c r="F103" t="s">
        <v>4037</v>
      </c>
      <c r="G103" t="str">
        <f>_xlfn.XLOOKUP(B103,tblCustomers[CustomerID],tblCustomers[CustomerName],"Unmapped")</f>
        <v>Retail Giant A</v>
      </c>
      <c r="H103">
        <f t="shared" si="3"/>
        <v>30</v>
      </c>
      <c r="I103" s="1">
        <f t="shared" si="4"/>
        <v>0</v>
      </c>
      <c r="J103" t="str">
        <f t="shared" ca="1" si="5"/>
        <v>Paid</v>
      </c>
    </row>
    <row r="104" spans="1:10" x14ac:dyDescent="0.25">
      <c r="A104" t="s">
        <v>5049</v>
      </c>
      <c r="B104" t="s">
        <v>4552</v>
      </c>
      <c r="C104" s="3">
        <v>45232</v>
      </c>
      <c r="D104" s="3">
        <v>45262</v>
      </c>
      <c r="E104" s="1">
        <v>42686.33</v>
      </c>
      <c r="F104" t="s">
        <v>4037</v>
      </c>
      <c r="G104" t="str">
        <f>_xlfn.XLOOKUP(B104,tblCustomers[CustomerID],tblCustomers[CustomerName],"Unmapped")</f>
        <v>Online Retailer D</v>
      </c>
      <c r="H104">
        <f t="shared" si="3"/>
        <v>30</v>
      </c>
      <c r="I104" s="1">
        <f t="shared" si="4"/>
        <v>0</v>
      </c>
      <c r="J104" t="str">
        <f t="shared" ca="1" si="5"/>
        <v>Paid</v>
      </c>
    </row>
    <row r="105" spans="1:10" x14ac:dyDescent="0.25">
      <c r="A105" t="s">
        <v>4868</v>
      </c>
      <c r="B105" t="s">
        <v>4552</v>
      </c>
      <c r="C105" s="3">
        <v>45234</v>
      </c>
      <c r="D105" s="3">
        <v>45264</v>
      </c>
      <c r="E105" s="1">
        <v>42557.74</v>
      </c>
      <c r="F105" t="s">
        <v>4037</v>
      </c>
      <c r="G105" t="str">
        <f>_xlfn.XLOOKUP(B105,tblCustomers[CustomerID],tblCustomers[CustomerName],"Unmapped")</f>
        <v>Online Retailer D</v>
      </c>
      <c r="H105">
        <f t="shared" si="3"/>
        <v>30</v>
      </c>
      <c r="I105" s="1">
        <f t="shared" si="4"/>
        <v>0</v>
      </c>
      <c r="J105" t="str">
        <f t="shared" ca="1" si="5"/>
        <v>Paid</v>
      </c>
    </row>
    <row r="106" spans="1:10" x14ac:dyDescent="0.25">
      <c r="A106" t="s">
        <v>4929</v>
      </c>
      <c r="B106" t="s">
        <v>4563</v>
      </c>
      <c r="C106" s="3">
        <v>45240</v>
      </c>
      <c r="D106" s="3">
        <v>45270</v>
      </c>
      <c r="E106" s="1">
        <v>48893.53</v>
      </c>
      <c r="F106" t="s">
        <v>4037</v>
      </c>
      <c r="G106" t="str">
        <f>_xlfn.XLOOKUP(B106,tblCustomers[CustomerID],tblCustomers[CustomerName],"Unmapped")</f>
        <v>Supermarket Chain B</v>
      </c>
      <c r="H106">
        <f t="shared" si="3"/>
        <v>30</v>
      </c>
      <c r="I106" s="1">
        <f t="shared" si="4"/>
        <v>0</v>
      </c>
      <c r="J106" t="str">
        <f t="shared" ca="1" si="5"/>
        <v>Paid</v>
      </c>
    </row>
    <row r="107" spans="1:10" x14ac:dyDescent="0.25">
      <c r="A107" t="s">
        <v>4629</v>
      </c>
      <c r="B107" t="s">
        <v>4563</v>
      </c>
      <c r="C107" s="3">
        <v>45247</v>
      </c>
      <c r="D107" s="3">
        <v>45277</v>
      </c>
      <c r="E107" s="1">
        <v>48278.400000000001</v>
      </c>
      <c r="F107" t="s">
        <v>4037</v>
      </c>
      <c r="G107" t="str">
        <f>_xlfn.XLOOKUP(B107,tblCustomers[CustomerID],tblCustomers[CustomerName],"Unmapped")</f>
        <v>Supermarket Chain B</v>
      </c>
      <c r="H107">
        <f t="shared" si="3"/>
        <v>30</v>
      </c>
      <c r="I107" s="1">
        <f t="shared" si="4"/>
        <v>0</v>
      </c>
      <c r="J107" t="str">
        <f t="shared" ca="1" si="5"/>
        <v>Paid</v>
      </c>
    </row>
    <row r="108" spans="1:10" x14ac:dyDescent="0.25">
      <c r="A108" t="s">
        <v>4847</v>
      </c>
      <c r="B108" t="s">
        <v>4561</v>
      </c>
      <c r="C108" s="3">
        <v>45248</v>
      </c>
      <c r="D108" s="3">
        <v>45278</v>
      </c>
      <c r="E108" s="1">
        <v>33836.480000000003</v>
      </c>
      <c r="F108" t="s">
        <v>4037</v>
      </c>
      <c r="G108" t="str">
        <f>_xlfn.XLOOKUP(B108,tblCustomers[CustomerID],tblCustomers[CustomerName],"Unmapped")</f>
        <v>Retail Giant A</v>
      </c>
      <c r="H108">
        <f t="shared" si="3"/>
        <v>30</v>
      </c>
      <c r="I108" s="1">
        <f t="shared" si="4"/>
        <v>0</v>
      </c>
      <c r="J108" t="str">
        <f t="shared" ca="1" si="5"/>
        <v>Paid</v>
      </c>
    </row>
    <row r="109" spans="1:10" x14ac:dyDescent="0.25">
      <c r="A109" t="s">
        <v>4591</v>
      </c>
      <c r="B109" t="s">
        <v>4563</v>
      </c>
      <c r="C109" s="3">
        <v>45249</v>
      </c>
      <c r="D109" s="3">
        <v>45279</v>
      </c>
      <c r="E109" s="1">
        <v>38319.32</v>
      </c>
      <c r="F109" t="s">
        <v>4037</v>
      </c>
      <c r="G109" t="str">
        <f>_xlfn.XLOOKUP(B109,tblCustomers[CustomerID],tblCustomers[CustomerName],"Unmapped")</f>
        <v>Supermarket Chain B</v>
      </c>
      <c r="H109">
        <f t="shared" si="3"/>
        <v>30</v>
      </c>
      <c r="I109" s="1">
        <f t="shared" si="4"/>
        <v>0</v>
      </c>
      <c r="J109" t="str">
        <f t="shared" ca="1" si="5"/>
        <v>Paid</v>
      </c>
    </row>
    <row r="110" spans="1:10" x14ac:dyDescent="0.25">
      <c r="A110" t="s">
        <v>4777</v>
      </c>
      <c r="B110" t="s">
        <v>4561</v>
      </c>
      <c r="C110" s="3">
        <v>45249</v>
      </c>
      <c r="D110" s="3">
        <v>45279</v>
      </c>
      <c r="E110" s="1">
        <v>48730.95</v>
      </c>
      <c r="F110" t="s">
        <v>4037</v>
      </c>
      <c r="G110" t="str">
        <f>_xlfn.XLOOKUP(B110,tblCustomers[CustomerID],tblCustomers[CustomerName],"Unmapped")</f>
        <v>Retail Giant A</v>
      </c>
      <c r="H110">
        <f t="shared" si="3"/>
        <v>30</v>
      </c>
      <c r="I110" s="1">
        <f t="shared" si="4"/>
        <v>0</v>
      </c>
      <c r="J110" t="str">
        <f t="shared" ca="1" si="5"/>
        <v>Paid</v>
      </c>
    </row>
    <row r="111" spans="1:10" x14ac:dyDescent="0.25">
      <c r="A111" t="s">
        <v>4800</v>
      </c>
      <c r="B111" t="s">
        <v>4552</v>
      </c>
      <c r="C111" s="3">
        <v>45249</v>
      </c>
      <c r="D111" s="3">
        <v>45279</v>
      </c>
      <c r="E111" s="1">
        <v>35185.08</v>
      </c>
      <c r="F111" t="s">
        <v>4037</v>
      </c>
      <c r="G111" t="str">
        <f>_xlfn.XLOOKUP(B111,tblCustomers[CustomerID],tblCustomers[CustomerName],"Unmapped")</f>
        <v>Online Retailer D</v>
      </c>
      <c r="H111">
        <f t="shared" si="3"/>
        <v>30</v>
      </c>
      <c r="I111" s="1">
        <f t="shared" si="4"/>
        <v>0</v>
      </c>
      <c r="J111" t="str">
        <f t="shared" ca="1" si="5"/>
        <v>Paid</v>
      </c>
    </row>
    <row r="112" spans="1:10" x14ac:dyDescent="0.25">
      <c r="A112" t="s">
        <v>4841</v>
      </c>
      <c r="B112" t="s">
        <v>4561</v>
      </c>
      <c r="C112" s="3">
        <v>45251</v>
      </c>
      <c r="D112" s="3">
        <v>45281</v>
      </c>
      <c r="E112" s="1">
        <v>17361.939999999999</v>
      </c>
      <c r="F112" t="s">
        <v>4037</v>
      </c>
      <c r="G112" t="str">
        <f>_xlfn.XLOOKUP(B112,tblCustomers[CustomerID],tblCustomers[CustomerName],"Unmapped")</f>
        <v>Retail Giant A</v>
      </c>
      <c r="H112">
        <f t="shared" si="3"/>
        <v>30</v>
      </c>
      <c r="I112" s="1">
        <f t="shared" si="4"/>
        <v>0</v>
      </c>
      <c r="J112" t="str">
        <f t="shared" ca="1" si="5"/>
        <v>Paid</v>
      </c>
    </row>
    <row r="113" spans="1:10" x14ac:dyDescent="0.25">
      <c r="A113" t="s">
        <v>4654</v>
      </c>
      <c r="B113" t="s">
        <v>4555</v>
      </c>
      <c r="C113" s="3">
        <v>45252</v>
      </c>
      <c r="D113" s="3">
        <v>45282</v>
      </c>
      <c r="E113" s="1">
        <v>2246.41</v>
      </c>
      <c r="F113" t="s">
        <v>4037</v>
      </c>
      <c r="G113" t="str">
        <f>_xlfn.XLOOKUP(B113,tblCustomers[CustomerID],tblCustomers[CustomerName],"Unmapped")</f>
        <v>Gourmet Shop C</v>
      </c>
      <c r="H113">
        <f t="shared" si="3"/>
        <v>30</v>
      </c>
      <c r="I113" s="1">
        <f t="shared" si="4"/>
        <v>0</v>
      </c>
      <c r="J113" t="str">
        <f t="shared" ca="1" si="5"/>
        <v>Paid</v>
      </c>
    </row>
    <row r="114" spans="1:10" x14ac:dyDescent="0.25">
      <c r="A114" t="s">
        <v>4638</v>
      </c>
      <c r="B114" t="s">
        <v>4555</v>
      </c>
      <c r="C114" s="3">
        <v>45253</v>
      </c>
      <c r="D114" s="3">
        <v>45283</v>
      </c>
      <c r="E114" s="1">
        <v>24439.91</v>
      </c>
      <c r="F114" t="s">
        <v>4037</v>
      </c>
      <c r="G114" t="str">
        <f>_xlfn.XLOOKUP(B114,tblCustomers[CustomerID],tblCustomers[CustomerName],"Unmapped")</f>
        <v>Gourmet Shop C</v>
      </c>
      <c r="H114">
        <f t="shared" si="3"/>
        <v>30</v>
      </c>
      <c r="I114" s="1">
        <f t="shared" si="4"/>
        <v>0</v>
      </c>
      <c r="J114" t="str">
        <f t="shared" ca="1" si="5"/>
        <v>Paid</v>
      </c>
    </row>
    <row r="115" spans="1:10" x14ac:dyDescent="0.25">
      <c r="A115" t="s">
        <v>4894</v>
      </c>
      <c r="B115" t="s">
        <v>4552</v>
      </c>
      <c r="C115" s="3">
        <v>45255</v>
      </c>
      <c r="D115" s="3">
        <v>45285</v>
      </c>
      <c r="E115" s="1">
        <v>41269.49</v>
      </c>
      <c r="F115" t="s">
        <v>4037</v>
      </c>
      <c r="G115" t="str">
        <f>_xlfn.XLOOKUP(B115,tblCustomers[CustomerID],tblCustomers[CustomerName],"Unmapped")</f>
        <v>Online Retailer D</v>
      </c>
      <c r="H115">
        <f t="shared" si="3"/>
        <v>30</v>
      </c>
      <c r="I115" s="1">
        <f t="shared" si="4"/>
        <v>0</v>
      </c>
      <c r="J115" t="str">
        <f t="shared" ca="1" si="5"/>
        <v>Paid</v>
      </c>
    </row>
    <row r="116" spans="1:10" x14ac:dyDescent="0.25">
      <c r="A116" t="s">
        <v>4819</v>
      </c>
      <c r="B116" t="s">
        <v>4563</v>
      </c>
      <c r="C116" s="3">
        <v>45256</v>
      </c>
      <c r="D116" s="3">
        <v>45286</v>
      </c>
      <c r="E116" s="1">
        <v>30949.919999999998</v>
      </c>
      <c r="F116" t="s">
        <v>4037</v>
      </c>
      <c r="G116" t="str">
        <f>_xlfn.XLOOKUP(B116,tblCustomers[CustomerID],tblCustomers[CustomerName],"Unmapped")</f>
        <v>Supermarket Chain B</v>
      </c>
      <c r="H116">
        <f t="shared" si="3"/>
        <v>30</v>
      </c>
      <c r="I116" s="1">
        <f t="shared" si="4"/>
        <v>0</v>
      </c>
      <c r="J116" t="str">
        <f t="shared" ca="1" si="5"/>
        <v>Paid</v>
      </c>
    </row>
    <row r="117" spans="1:10" x14ac:dyDescent="0.25">
      <c r="A117" t="s">
        <v>4641</v>
      </c>
      <c r="B117" t="s">
        <v>4561</v>
      </c>
      <c r="C117" s="3">
        <v>45258</v>
      </c>
      <c r="D117" s="3">
        <v>45288</v>
      </c>
      <c r="E117" s="1">
        <v>35929.449999999997</v>
      </c>
      <c r="F117" t="s">
        <v>4037</v>
      </c>
      <c r="G117" t="str">
        <f>_xlfn.XLOOKUP(B117,tblCustomers[CustomerID],tblCustomers[CustomerName],"Unmapped")</f>
        <v>Retail Giant A</v>
      </c>
      <c r="H117">
        <f t="shared" si="3"/>
        <v>30</v>
      </c>
      <c r="I117" s="1">
        <f t="shared" si="4"/>
        <v>0</v>
      </c>
      <c r="J117" t="str">
        <f t="shared" ca="1" si="5"/>
        <v>Paid</v>
      </c>
    </row>
    <row r="118" spans="1:10" x14ac:dyDescent="0.25">
      <c r="A118" t="s">
        <v>4579</v>
      </c>
      <c r="B118" t="s">
        <v>4559</v>
      </c>
      <c r="C118" s="3">
        <v>45260</v>
      </c>
      <c r="D118" s="3">
        <v>45290</v>
      </c>
      <c r="E118" s="1">
        <v>18893.400000000001</v>
      </c>
      <c r="F118" t="s">
        <v>4037</v>
      </c>
      <c r="G118" t="str">
        <f>_xlfn.XLOOKUP(B118,tblCustomers[CustomerID],tblCustomers[CustomerName],"Unmapped")</f>
        <v>Hotel Group E</v>
      </c>
      <c r="H118">
        <f t="shared" si="3"/>
        <v>30</v>
      </c>
      <c r="I118" s="1">
        <f t="shared" si="4"/>
        <v>0</v>
      </c>
      <c r="J118" t="str">
        <f t="shared" ca="1" si="5"/>
        <v>Paid</v>
      </c>
    </row>
    <row r="119" spans="1:10" x14ac:dyDescent="0.25">
      <c r="A119" t="s">
        <v>4757</v>
      </c>
      <c r="B119" t="s">
        <v>4561</v>
      </c>
      <c r="C119" s="3">
        <v>45260</v>
      </c>
      <c r="D119" s="3">
        <v>45290</v>
      </c>
      <c r="E119" s="1">
        <v>34793.26</v>
      </c>
      <c r="F119" t="s">
        <v>4037</v>
      </c>
      <c r="G119" t="str">
        <f>_xlfn.XLOOKUP(B119,tblCustomers[CustomerID],tblCustomers[CustomerName],"Unmapped")</f>
        <v>Retail Giant A</v>
      </c>
      <c r="H119">
        <f t="shared" si="3"/>
        <v>30</v>
      </c>
      <c r="I119" s="1">
        <f t="shared" si="4"/>
        <v>0</v>
      </c>
      <c r="J119" t="str">
        <f t="shared" ca="1" si="5"/>
        <v>Paid</v>
      </c>
    </row>
    <row r="120" spans="1:10" x14ac:dyDescent="0.25">
      <c r="A120" t="s">
        <v>4953</v>
      </c>
      <c r="B120" t="s">
        <v>4563</v>
      </c>
      <c r="C120" s="3">
        <v>45260</v>
      </c>
      <c r="D120" s="3">
        <v>45290</v>
      </c>
      <c r="E120" s="1">
        <v>9583.93</v>
      </c>
      <c r="F120" t="s">
        <v>4040</v>
      </c>
      <c r="G120" t="str">
        <f>_xlfn.XLOOKUP(B120,tblCustomers[CustomerID],tblCustomers[CustomerName],"Unmapped")</f>
        <v>Supermarket Chain B</v>
      </c>
      <c r="H120">
        <f t="shared" si="3"/>
        <v>30</v>
      </c>
      <c r="I120" s="1">
        <f t="shared" si="4"/>
        <v>9583.93</v>
      </c>
      <c r="J120" t="str">
        <f t="shared" ca="1" si="5"/>
        <v>Overdue</v>
      </c>
    </row>
    <row r="121" spans="1:10" x14ac:dyDescent="0.25">
      <c r="A121" t="s">
        <v>4987</v>
      </c>
      <c r="B121" t="s">
        <v>4561</v>
      </c>
      <c r="C121" s="3">
        <v>45260</v>
      </c>
      <c r="D121" s="3">
        <v>45290</v>
      </c>
      <c r="E121" s="1">
        <v>1580.68</v>
      </c>
      <c r="F121" t="s">
        <v>4037</v>
      </c>
      <c r="G121" t="str">
        <f>_xlfn.XLOOKUP(B121,tblCustomers[CustomerID],tblCustomers[CustomerName],"Unmapped")</f>
        <v>Retail Giant A</v>
      </c>
      <c r="H121">
        <f t="shared" si="3"/>
        <v>30</v>
      </c>
      <c r="I121" s="1">
        <f t="shared" si="4"/>
        <v>0</v>
      </c>
      <c r="J121" t="str">
        <f t="shared" ca="1" si="5"/>
        <v>Paid</v>
      </c>
    </row>
    <row r="122" spans="1:10" x14ac:dyDescent="0.25">
      <c r="A122" t="s">
        <v>4992</v>
      </c>
      <c r="B122" t="s">
        <v>4561</v>
      </c>
      <c r="C122" s="3">
        <v>45263</v>
      </c>
      <c r="D122" s="3">
        <v>45293</v>
      </c>
      <c r="E122" s="1">
        <v>46893.43</v>
      </c>
      <c r="F122" t="s">
        <v>4037</v>
      </c>
      <c r="G122" t="str">
        <f>_xlfn.XLOOKUP(B122,tblCustomers[CustomerID],tblCustomers[CustomerName],"Unmapped")</f>
        <v>Retail Giant A</v>
      </c>
      <c r="H122">
        <f t="shared" si="3"/>
        <v>30</v>
      </c>
      <c r="I122" s="1">
        <f t="shared" si="4"/>
        <v>0</v>
      </c>
      <c r="J122" t="str">
        <f t="shared" ca="1" si="5"/>
        <v>Paid</v>
      </c>
    </row>
    <row r="123" spans="1:10" x14ac:dyDescent="0.25">
      <c r="A123" t="s">
        <v>4941</v>
      </c>
      <c r="B123" t="s">
        <v>4561</v>
      </c>
      <c r="C123" s="3">
        <v>45267</v>
      </c>
      <c r="D123" s="3">
        <v>45297</v>
      </c>
      <c r="E123" s="1">
        <v>27860.400000000001</v>
      </c>
      <c r="F123" t="s">
        <v>4037</v>
      </c>
      <c r="G123" t="str">
        <f>_xlfn.XLOOKUP(B123,tblCustomers[CustomerID],tblCustomers[CustomerName],"Unmapped")</f>
        <v>Retail Giant A</v>
      </c>
      <c r="H123">
        <f t="shared" si="3"/>
        <v>30</v>
      </c>
      <c r="I123" s="1">
        <f t="shared" si="4"/>
        <v>0</v>
      </c>
      <c r="J123" t="str">
        <f t="shared" ca="1" si="5"/>
        <v>Paid</v>
      </c>
    </row>
    <row r="124" spans="1:10" x14ac:dyDescent="0.25">
      <c r="A124" t="s">
        <v>4871</v>
      </c>
      <c r="B124" t="s">
        <v>4555</v>
      </c>
      <c r="C124" s="3">
        <v>45276</v>
      </c>
      <c r="D124" s="3">
        <v>45306</v>
      </c>
      <c r="E124" s="1">
        <v>19534.41</v>
      </c>
      <c r="F124" t="s">
        <v>4040</v>
      </c>
      <c r="G124" t="str">
        <f>_xlfn.XLOOKUP(B124,tblCustomers[CustomerID],tblCustomers[CustomerName],"Unmapped")</f>
        <v>Gourmet Shop C</v>
      </c>
      <c r="H124">
        <f t="shared" si="3"/>
        <v>30</v>
      </c>
      <c r="I124" s="1">
        <f t="shared" si="4"/>
        <v>19534.41</v>
      </c>
      <c r="J124" t="str">
        <f t="shared" ca="1" si="5"/>
        <v>Overdue</v>
      </c>
    </row>
    <row r="125" spans="1:10" x14ac:dyDescent="0.25">
      <c r="A125" t="s">
        <v>4988</v>
      </c>
      <c r="B125" t="s">
        <v>4552</v>
      </c>
      <c r="C125" s="3">
        <v>45276</v>
      </c>
      <c r="D125" s="3">
        <v>45306</v>
      </c>
      <c r="E125" s="1">
        <v>8303.83</v>
      </c>
      <c r="F125" t="s">
        <v>4037</v>
      </c>
      <c r="G125" t="str">
        <f>_xlfn.XLOOKUP(B125,tblCustomers[CustomerID],tblCustomers[CustomerName],"Unmapped")</f>
        <v>Online Retailer D</v>
      </c>
      <c r="H125">
        <f t="shared" si="3"/>
        <v>30</v>
      </c>
      <c r="I125" s="1">
        <f t="shared" si="4"/>
        <v>0</v>
      </c>
      <c r="J125" t="str">
        <f t="shared" ca="1" si="5"/>
        <v>Paid</v>
      </c>
    </row>
    <row r="126" spans="1:10" x14ac:dyDescent="0.25">
      <c r="A126" t="s">
        <v>5028</v>
      </c>
      <c r="B126" t="s">
        <v>4552</v>
      </c>
      <c r="C126" s="3">
        <v>45280</v>
      </c>
      <c r="D126" s="3">
        <v>45310</v>
      </c>
      <c r="E126" s="1">
        <v>19351.080000000002</v>
      </c>
      <c r="F126" t="s">
        <v>4037</v>
      </c>
      <c r="G126" t="str">
        <f>_xlfn.XLOOKUP(B126,tblCustomers[CustomerID],tblCustomers[CustomerName],"Unmapped")</f>
        <v>Online Retailer D</v>
      </c>
      <c r="H126">
        <f t="shared" si="3"/>
        <v>30</v>
      </c>
      <c r="I126" s="1">
        <f t="shared" si="4"/>
        <v>0</v>
      </c>
      <c r="J126" t="str">
        <f t="shared" ca="1" si="5"/>
        <v>Paid</v>
      </c>
    </row>
    <row r="127" spans="1:10" x14ac:dyDescent="0.25">
      <c r="A127" t="s">
        <v>4558</v>
      </c>
      <c r="B127" t="s">
        <v>4559</v>
      </c>
      <c r="C127" s="3">
        <v>45282</v>
      </c>
      <c r="D127" s="3">
        <v>45312</v>
      </c>
      <c r="E127" s="1">
        <v>18851.98</v>
      </c>
      <c r="F127" t="s">
        <v>4037</v>
      </c>
      <c r="G127" t="str">
        <f>_xlfn.XLOOKUP(B127,tblCustomers[CustomerID],tblCustomers[CustomerName],"Unmapped")</f>
        <v>Hotel Group E</v>
      </c>
      <c r="H127">
        <f t="shared" si="3"/>
        <v>30</v>
      </c>
      <c r="I127" s="1">
        <f t="shared" si="4"/>
        <v>0</v>
      </c>
      <c r="J127" t="str">
        <f t="shared" ca="1" si="5"/>
        <v>Paid</v>
      </c>
    </row>
    <row r="128" spans="1:10" x14ac:dyDescent="0.25">
      <c r="A128" t="s">
        <v>4749</v>
      </c>
      <c r="B128" t="s">
        <v>4552</v>
      </c>
      <c r="C128" s="3">
        <v>45282</v>
      </c>
      <c r="D128" s="3">
        <v>45312</v>
      </c>
      <c r="E128" s="1">
        <v>49219.519999999997</v>
      </c>
      <c r="F128" t="s">
        <v>4037</v>
      </c>
      <c r="G128" t="str">
        <f>_xlfn.XLOOKUP(B128,tblCustomers[CustomerID],tblCustomers[CustomerName],"Unmapped")</f>
        <v>Online Retailer D</v>
      </c>
      <c r="H128">
        <f t="shared" si="3"/>
        <v>30</v>
      </c>
      <c r="I128" s="1">
        <f t="shared" si="4"/>
        <v>0</v>
      </c>
      <c r="J128" t="str">
        <f t="shared" ca="1" si="5"/>
        <v>Paid</v>
      </c>
    </row>
    <row r="129" spans="1:10" x14ac:dyDescent="0.25">
      <c r="A129" t="s">
        <v>4661</v>
      </c>
      <c r="B129" t="s">
        <v>4561</v>
      </c>
      <c r="C129" s="3">
        <v>45287</v>
      </c>
      <c r="D129" s="3">
        <v>45317</v>
      </c>
      <c r="E129" s="1">
        <v>26478.07</v>
      </c>
      <c r="F129" t="s">
        <v>4037</v>
      </c>
      <c r="G129" t="str">
        <f>_xlfn.XLOOKUP(B129,tblCustomers[CustomerID],tblCustomers[CustomerName],"Unmapped")</f>
        <v>Retail Giant A</v>
      </c>
      <c r="H129">
        <f t="shared" si="3"/>
        <v>30</v>
      </c>
      <c r="I129" s="1">
        <f t="shared" si="4"/>
        <v>0</v>
      </c>
      <c r="J129" t="str">
        <f t="shared" ca="1" si="5"/>
        <v>Paid</v>
      </c>
    </row>
    <row r="130" spans="1:10" x14ac:dyDescent="0.25">
      <c r="A130" t="s">
        <v>5042</v>
      </c>
      <c r="B130" t="s">
        <v>4552</v>
      </c>
      <c r="C130" s="3">
        <v>45289</v>
      </c>
      <c r="D130" s="3">
        <v>45319</v>
      </c>
      <c r="E130" s="1">
        <v>47668.26</v>
      </c>
      <c r="F130" t="s">
        <v>4037</v>
      </c>
      <c r="G130" t="str">
        <f>_xlfn.XLOOKUP(B130,tblCustomers[CustomerID],tblCustomers[CustomerName],"Unmapped")</f>
        <v>Online Retailer D</v>
      </c>
      <c r="H130">
        <f t="shared" ref="H130:H193" si="6">D130-C130</f>
        <v>30</v>
      </c>
      <c r="I130" s="1">
        <f t="shared" ref="I130:I193" si="7">IF(F130="Unpaid",E130,0)</f>
        <v>0</v>
      </c>
      <c r="J130" t="str">
        <f t="shared" ref="J130:J193" ca="1" si="8">IF(F130="Paid","Paid",IF(D130&lt;TODAY(),"Overdue","Open"))</f>
        <v>Paid</v>
      </c>
    </row>
    <row r="131" spans="1:10" x14ac:dyDescent="0.25">
      <c r="A131" t="s">
        <v>4823</v>
      </c>
      <c r="B131" t="s">
        <v>4555</v>
      </c>
      <c r="C131" s="3">
        <v>45292</v>
      </c>
      <c r="D131" s="3">
        <v>45322</v>
      </c>
      <c r="E131" s="1">
        <v>30428.639999999999</v>
      </c>
      <c r="F131" t="s">
        <v>4037</v>
      </c>
      <c r="G131" t="str">
        <f>_xlfn.XLOOKUP(B131,tblCustomers[CustomerID],tblCustomers[CustomerName],"Unmapped")</f>
        <v>Gourmet Shop C</v>
      </c>
      <c r="H131">
        <f t="shared" si="6"/>
        <v>30</v>
      </c>
      <c r="I131" s="1">
        <f t="shared" si="7"/>
        <v>0</v>
      </c>
      <c r="J131" t="str">
        <f t="shared" ca="1" si="8"/>
        <v>Paid</v>
      </c>
    </row>
    <row r="132" spans="1:10" x14ac:dyDescent="0.25">
      <c r="A132" t="s">
        <v>4981</v>
      </c>
      <c r="B132" t="s">
        <v>4555</v>
      </c>
      <c r="C132" s="3">
        <v>45301</v>
      </c>
      <c r="D132" s="3">
        <v>45331</v>
      </c>
      <c r="E132" s="1">
        <v>34993.660000000003</v>
      </c>
      <c r="F132" t="s">
        <v>4037</v>
      </c>
      <c r="G132" t="str">
        <f>_xlfn.XLOOKUP(B132,tblCustomers[CustomerID],tblCustomers[CustomerName],"Unmapped")</f>
        <v>Gourmet Shop C</v>
      </c>
      <c r="H132">
        <f t="shared" si="6"/>
        <v>30</v>
      </c>
      <c r="I132" s="1">
        <f t="shared" si="7"/>
        <v>0</v>
      </c>
      <c r="J132" t="str">
        <f t="shared" ca="1" si="8"/>
        <v>Paid</v>
      </c>
    </row>
    <row r="133" spans="1:10" x14ac:dyDescent="0.25">
      <c r="A133" t="s">
        <v>4722</v>
      </c>
      <c r="B133" t="s">
        <v>4559</v>
      </c>
      <c r="C133" s="3">
        <v>45304</v>
      </c>
      <c r="D133" s="3">
        <v>45334</v>
      </c>
      <c r="E133" s="1">
        <v>18645.41</v>
      </c>
      <c r="F133" t="s">
        <v>4037</v>
      </c>
      <c r="G133" t="str">
        <f>_xlfn.XLOOKUP(B133,tblCustomers[CustomerID],tblCustomers[CustomerName],"Unmapped")</f>
        <v>Hotel Group E</v>
      </c>
      <c r="H133">
        <f t="shared" si="6"/>
        <v>30</v>
      </c>
      <c r="I133" s="1">
        <f t="shared" si="7"/>
        <v>0</v>
      </c>
      <c r="J133" t="str">
        <f t="shared" ca="1" si="8"/>
        <v>Paid</v>
      </c>
    </row>
    <row r="134" spans="1:10" x14ac:dyDescent="0.25">
      <c r="A134" t="s">
        <v>5043</v>
      </c>
      <c r="B134" t="s">
        <v>4561</v>
      </c>
      <c r="C134" s="3">
        <v>45305</v>
      </c>
      <c r="D134" s="3">
        <v>45335</v>
      </c>
      <c r="E134" s="1">
        <v>24095.98</v>
      </c>
      <c r="F134" t="s">
        <v>4037</v>
      </c>
      <c r="G134" t="str">
        <f>_xlfn.XLOOKUP(B134,tblCustomers[CustomerID],tblCustomers[CustomerName],"Unmapped")</f>
        <v>Retail Giant A</v>
      </c>
      <c r="H134">
        <f t="shared" si="6"/>
        <v>30</v>
      </c>
      <c r="I134" s="1">
        <f t="shared" si="7"/>
        <v>0</v>
      </c>
      <c r="J134" t="str">
        <f t="shared" ca="1" si="8"/>
        <v>Paid</v>
      </c>
    </row>
    <row r="135" spans="1:10" x14ac:dyDescent="0.25">
      <c r="A135" t="s">
        <v>4704</v>
      </c>
      <c r="B135" t="s">
        <v>4559</v>
      </c>
      <c r="C135" s="3">
        <v>45313</v>
      </c>
      <c r="D135" s="3">
        <v>45343</v>
      </c>
      <c r="E135" s="1">
        <v>46003.74</v>
      </c>
      <c r="F135" t="s">
        <v>4037</v>
      </c>
      <c r="G135" t="str">
        <f>_xlfn.XLOOKUP(B135,tblCustomers[CustomerID],tblCustomers[CustomerName],"Unmapped")</f>
        <v>Hotel Group E</v>
      </c>
      <c r="H135">
        <f t="shared" si="6"/>
        <v>30</v>
      </c>
      <c r="I135" s="1">
        <f t="shared" si="7"/>
        <v>0</v>
      </c>
      <c r="J135" t="str">
        <f t="shared" ca="1" si="8"/>
        <v>Paid</v>
      </c>
    </row>
    <row r="136" spans="1:10" x14ac:dyDescent="0.25">
      <c r="A136" t="s">
        <v>4685</v>
      </c>
      <c r="B136" t="s">
        <v>4561</v>
      </c>
      <c r="C136" s="3">
        <v>45318</v>
      </c>
      <c r="D136" s="3">
        <v>45348</v>
      </c>
      <c r="E136" s="1">
        <v>3009.61</v>
      </c>
      <c r="F136" t="s">
        <v>4037</v>
      </c>
      <c r="G136" t="str">
        <f>_xlfn.XLOOKUP(B136,tblCustomers[CustomerID],tblCustomers[CustomerName],"Unmapped")</f>
        <v>Retail Giant A</v>
      </c>
      <c r="H136">
        <f t="shared" si="6"/>
        <v>30</v>
      </c>
      <c r="I136" s="1">
        <f t="shared" si="7"/>
        <v>0</v>
      </c>
      <c r="J136" t="str">
        <f t="shared" ca="1" si="8"/>
        <v>Paid</v>
      </c>
    </row>
    <row r="137" spans="1:10" x14ac:dyDescent="0.25">
      <c r="A137" t="s">
        <v>4797</v>
      </c>
      <c r="B137" t="s">
        <v>4552</v>
      </c>
      <c r="C137" s="3">
        <v>45318</v>
      </c>
      <c r="D137" s="3">
        <v>45348</v>
      </c>
      <c r="E137" s="1">
        <v>31795.15</v>
      </c>
      <c r="F137" t="s">
        <v>4037</v>
      </c>
      <c r="G137" t="str">
        <f>_xlfn.XLOOKUP(B137,tblCustomers[CustomerID],tblCustomers[CustomerName],"Unmapped")</f>
        <v>Online Retailer D</v>
      </c>
      <c r="H137">
        <f t="shared" si="6"/>
        <v>30</v>
      </c>
      <c r="I137" s="1">
        <f t="shared" si="7"/>
        <v>0</v>
      </c>
      <c r="J137" t="str">
        <f t="shared" ca="1" si="8"/>
        <v>Paid</v>
      </c>
    </row>
    <row r="138" spans="1:10" x14ac:dyDescent="0.25">
      <c r="A138" t="s">
        <v>5053</v>
      </c>
      <c r="B138" t="s">
        <v>4555</v>
      </c>
      <c r="C138" s="3">
        <v>45321</v>
      </c>
      <c r="D138" s="3">
        <v>45351</v>
      </c>
      <c r="E138" s="1">
        <v>18652.27</v>
      </c>
      <c r="F138" t="s">
        <v>4037</v>
      </c>
      <c r="G138" t="str">
        <f>_xlfn.XLOOKUP(B138,tblCustomers[CustomerID],tblCustomers[CustomerName],"Unmapped")</f>
        <v>Gourmet Shop C</v>
      </c>
      <c r="H138">
        <f t="shared" si="6"/>
        <v>30</v>
      </c>
      <c r="I138" s="1">
        <f t="shared" si="7"/>
        <v>0</v>
      </c>
      <c r="J138" t="str">
        <f t="shared" ca="1" si="8"/>
        <v>Paid</v>
      </c>
    </row>
    <row r="139" spans="1:10" x14ac:dyDescent="0.25">
      <c r="A139" t="s">
        <v>4659</v>
      </c>
      <c r="B139" t="s">
        <v>4559</v>
      </c>
      <c r="C139" s="3">
        <v>45323</v>
      </c>
      <c r="D139" s="3">
        <v>45353</v>
      </c>
      <c r="E139" s="1">
        <v>11863.85</v>
      </c>
      <c r="F139" t="s">
        <v>4037</v>
      </c>
      <c r="G139" t="str">
        <f>_xlfn.XLOOKUP(B139,tblCustomers[CustomerID],tblCustomers[CustomerName],"Unmapped")</f>
        <v>Hotel Group E</v>
      </c>
      <c r="H139">
        <f t="shared" si="6"/>
        <v>30</v>
      </c>
      <c r="I139" s="1">
        <f t="shared" si="7"/>
        <v>0</v>
      </c>
      <c r="J139" t="str">
        <f t="shared" ca="1" si="8"/>
        <v>Paid</v>
      </c>
    </row>
    <row r="140" spans="1:10" x14ac:dyDescent="0.25">
      <c r="A140" t="s">
        <v>4779</v>
      </c>
      <c r="B140" t="s">
        <v>4555</v>
      </c>
      <c r="C140" s="3">
        <v>45323</v>
      </c>
      <c r="D140" s="3">
        <v>45353</v>
      </c>
      <c r="E140" s="1">
        <v>19818.330000000002</v>
      </c>
      <c r="F140" t="s">
        <v>4037</v>
      </c>
      <c r="G140" t="str">
        <f>_xlfn.XLOOKUP(B140,tblCustomers[CustomerID],tblCustomers[CustomerName],"Unmapped")</f>
        <v>Gourmet Shop C</v>
      </c>
      <c r="H140">
        <f t="shared" si="6"/>
        <v>30</v>
      </c>
      <c r="I140" s="1">
        <f t="shared" si="7"/>
        <v>0</v>
      </c>
      <c r="J140" t="str">
        <f t="shared" ca="1" si="8"/>
        <v>Paid</v>
      </c>
    </row>
    <row r="141" spans="1:10" x14ac:dyDescent="0.25">
      <c r="A141" t="s">
        <v>4956</v>
      </c>
      <c r="B141" t="s">
        <v>4552</v>
      </c>
      <c r="C141" s="3">
        <v>45324</v>
      </c>
      <c r="D141" s="3">
        <v>45354</v>
      </c>
      <c r="E141" s="1">
        <v>13878.4</v>
      </c>
      <c r="F141" t="s">
        <v>4037</v>
      </c>
      <c r="G141" t="str">
        <f>_xlfn.XLOOKUP(B141,tblCustomers[CustomerID],tblCustomers[CustomerName],"Unmapped")</f>
        <v>Online Retailer D</v>
      </c>
      <c r="H141">
        <f t="shared" si="6"/>
        <v>30</v>
      </c>
      <c r="I141" s="1">
        <f t="shared" si="7"/>
        <v>0</v>
      </c>
      <c r="J141" t="str">
        <f t="shared" ca="1" si="8"/>
        <v>Paid</v>
      </c>
    </row>
    <row r="142" spans="1:10" x14ac:dyDescent="0.25">
      <c r="A142" t="s">
        <v>4942</v>
      </c>
      <c r="B142" t="s">
        <v>4563</v>
      </c>
      <c r="C142" s="3">
        <v>45325</v>
      </c>
      <c r="D142" s="3">
        <v>45355</v>
      </c>
      <c r="E142" s="1">
        <v>45724.5</v>
      </c>
      <c r="F142" t="s">
        <v>4037</v>
      </c>
      <c r="G142" t="str">
        <f>_xlfn.XLOOKUP(B142,tblCustomers[CustomerID],tblCustomers[CustomerName],"Unmapped")</f>
        <v>Supermarket Chain B</v>
      </c>
      <c r="H142">
        <f t="shared" si="6"/>
        <v>30</v>
      </c>
      <c r="I142" s="1">
        <f t="shared" si="7"/>
        <v>0</v>
      </c>
      <c r="J142" t="str">
        <f t="shared" ca="1" si="8"/>
        <v>Paid</v>
      </c>
    </row>
    <row r="143" spans="1:10" x14ac:dyDescent="0.25">
      <c r="A143" t="s">
        <v>4709</v>
      </c>
      <c r="B143" t="s">
        <v>4563</v>
      </c>
      <c r="C143" s="3">
        <v>45326</v>
      </c>
      <c r="D143" s="3">
        <v>45356</v>
      </c>
      <c r="E143" s="1">
        <v>8998.39</v>
      </c>
      <c r="F143" t="s">
        <v>4037</v>
      </c>
      <c r="G143" t="str">
        <f>_xlfn.XLOOKUP(B143,tblCustomers[CustomerID],tblCustomers[CustomerName],"Unmapped")</f>
        <v>Supermarket Chain B</v>
      </c>
      <c r="H143">
        <f t="shared" si="6"/>
        <v>30</v>
      </c>
      <c r="I143" s="1">
        <f t="shared" si="7"/>
        <v>0</v>
      </c>
      <c r="J143" t="str">
        <f t="shared" ca="1" si="8"/>
        <v>Paid</v>
      </c>
    </row>
    <row r="144" spans="1:10" x14ac:dyDescent="0.25">
      <c r="A144" t="s">
        <v>5009</v>
      </c>
      <c r="B144" t="s">
        <v>4559</v>
      </c>
      <c r="C144" s="3">
        <v>45326</v>
      </c>
      <c r="D144" s="3">
        <v>45356</v>
      </c>
      <c r="E144" s="1">
        <v>15609.87</v>
      </c>
      <c r="F144" t="s">
        <v>4037</v>
      </c>
      <c r="G144" t="str">
        <f>_xlfn.XLOOKUP(B144,tblCustomers[CustomerID],tblCustomers[CustomerName],"Unmapped")</f>
        <v>Hotel Group E</v>
      </c>
      <c r="H144">
        <f t="shared" si="6"/>
        <v>30</v>
      </c>
      <c r="I144" s="1">
        <f t="shared" si="7"/>
        <v>0</v>
      </c>
      <c r="J144" t="str">
        <f t="shared" ca="1" si="8"/>
        <v>Paid</v>
      </c>
    </row>
    <row r="145" spans="1:10" x14ac:dyDescent="0.25">
      <c r="A145" t="s">
        <v>4585</v>
      </c>
      <c r="B145" t="s">
        <v>4563</v>
      </c>
      <c r="C145" s="3">
        <v>45327</v>
      </c>
      <c r="D145" s="3">
        <v>45357</v>
      </c>
      <c r="E145" s="1">
        <v>25380.35</v>
      </c>
      <c r="F145" t="s">
        <v>4037</v>
      </c>
      <c r="G145" t="str">
        <f>_xlfn.XLOOKUP(B145,tblCustomers[CustomerID],tblCustomers[CustomerName],"Unmapped")</f>
        <v>Supermarket Chain B</v>
      </c>
      <c r="H145">
        <f t="shared" si="6"/>
        <v>30</v>
      </c>
      <c r="I145" s="1">
        <f t="shared" si="7"/>
        <v>0</v>
      </c>
      <c r="J145" t="str">
        <f t="shared" ca="1" si="8"/>
        <v>Paid</v>
      </c>
    </row>
    <row r="146" spans="1:10" x14ac:dyDescent="0.25">
      <c r="A146" t="s">
        <v>4966</v>
      </c>
      <c r="B146" t="s">
        <v>4552</v>
      </c>
      <c r="C146" s="3">
        <v>45327</v>
      </c>
      <c r="D146" s="3">
        <v>45357</v>
      </c>
      <c r="E146" s="1">
        <v>29061.14</v>
      </c>
      <c r="F146" t="s">
        <v>4037</v>
      </c>
      <c r="G146" t="str">
        <f>_xlfn.XLOOKUP(B146,tblCustomers[CustomerID],tblCustomers[CustomerName],"Unmapped")</f>
        <v>Online Retailer D</v>
      </c>
      <c r="H146">
        <f t="shared" si="6"/>
        <v>30</v>
      </c>
      <c r="I146" s="1">
        <f t="shared" si="7"/>
        <v>0</v>
      </c>
      <c r="J146" t="str">
        <f t="shared" ca="1" si="8"/>
        <v>Paid</v>
      </c>
    </row>
    <row r="147" spans="1:10" x14ac:dyDescent="0.25">
      <c r="A147" t="s">
        <v>4874</v>
      </c>
      <c r="B147" t="s">
        <v>4559</v>
      </c>
      <c r="C147" s="3">
        <v>45328</v>
      </c>
      <c r="D147" s="3">
        <v>45358</v>
      </c>
      <c r="E147" s="1">
        <v>22607.88</v>
      </c>
      <c r="F147" t="s">
        <v>4037</v>
      </c>
      <c r="G147" t="str">
        <f>_xlfn.XLOOKUP(B147,tblCustomers[CustomerID],tblCustomers[CustomerName],"Unmapped")</f>
        <v>Hotel Group E</v>
      </c>
      <c r="H147">
        <f t="shared" si="6"/>
        <v>30</v>
      </c>
      <c r="I147" s="1">
        <f t="shared" si="7"/>
        <v>0</v>
      </c>
      <c r="J147" t="str">
        <f t="shared" ca="1" si="8"/>
        <v>Paid</v>
      </c>
    </row>
    <row r="148" spans="1:10" x14ac:dyDescent="0.25">
      <c r="A148" t="s">
        <v>4698</v>
      </c>
      <c r="B148" t="s">
        <v>4561</v>
      </c>
      <c r="C148" s="3">
        <v>45330</v>
      </c>
      <c r="D148" s="3">
        <v>45360</v>
      </c>
      <c r="E148" s="1">
        <v>16013.49</v>
      </c>
      <c r="F148" t="s">
        <v>4037</v>
      </c>
      <c r="G148" t="str">
        <f>_xlfn.XLOOKUP(B148,tblCustomers[CustomerID],tblCustomers[CustomerName],"Unmapped")</f>
        <v>Retail Giant A</v>
      </c>
      <c r="H148">
        <f t="shared" si="6"/>
        <v>30</v>
      </c>
      <c r="I148" s="1">
        <f t="shared" si="7"/>
        <v>0</v>
      </c>
      <c r="J148" t="str">
        <f t="shared" ca="1" si="8"/>
        <v>Paid</v>
      </c>
    </row>
    <row r="149" spans="1:10" x14ac:dyDescent="0.25">
      <c r="A149" t="s">
        <v>4857</v>
      </c>
      <c r="B149" t="s">
        <v>4559</v>
      </c>
      <c r="C149" s="3">
        <v>45330</v>
      </c>
      <c r="D149" s="3">
        <v>45360</v>
      </c>
      <c r="E149" s="1">
        <v>23380.58</v>
      </c>
      <c r="F149" t="s">
        <v>4037</v>
      </c>
      <c r="G149" t="str">
        <f>_xlfn.XLOOKUP(B149,tblCustomers[CustomerID],tblCustomers[CustomerName],"Unmapped")</f>
        <v>Hotel Group E</v>
      </c>
      <c r="H149">
        <f t="shared" si="6"/>
        <v>30</v>
      </c>
      <c r="I149" s="1">
        <f t="shared" si="7"/>
        <v>0</v>
      </c>
      <c r="J149" t="str">
        <f t="shared" ca="1" si="8"/>
        <v>Paid</v>
      </c>
    </row>
    <row r="150" spans="1:10" x14ac:dyDescent="0.25">
      <c r="A150" t="s">
        <v>4599</v>
      </c>
      <c r="B150" t="s">
        <v>4559</v>
      </c>
      <c r="C150" s="3">
        <v>45332</v>
      </c>
      <c r="D150" s="3">
        <v>45362</v>
      </c>
      <c r="E150" s="1">
        <v>29847.360000000001</v>
      </c>
      <c r="F150" t="s">
        <v>4037</v>
      </c>
      <c r="G150" t="str">
        <f>_xlfn.XLOOKUP(B150,tblCustomers[CustomerID],tblCustomers[CustomerName],"Unmapped")</f>
        <v>Hotel Group E</v>
      </c>
      <c r="H150">
        <f t="shared" si="6"/>
        <v>30</v>
      </c>
      <c r="I150" s="1">
        <f t="shared" si="7"/>
        <v>0</v>
      </c>
      <c r="J150" t="str">
        <f t="shared" ca="1" si="8"/>
        <v>Paid</v>
      </c>
    </row>
    <row r="151" spans="1:10" x14ac:dyDescent="0.25">
      <c r="A151" t="s">
        <v>4870</v>
      </c>
      <c r="B151" t="s">
        <v>4555</v>
      </c>
      <c r="C151" s="3">
        <v>45333</v>
      </c>
      <c r="D151" s="3">
        <v>45363</v>
      </c>
      <c r="E151" s="1">
        <v>38717.58</v>
      </c>
      <c r="F151" t="s">
        <v>4040</v>
      </c>
      <c r="G151" t="str">
        <f>_xlfn.XLOOKUP(B151,tblCustomers[CustomerID],tblCustomers[CustomerName],"Unmapped")</f>
        <v>Gourmet Shop C</v>
      </c>
      <c r="H151">
        <f t="shared" si="6"/>
        <v>30</v>
      </c>
      <c r="I151" s="1">
        <f t="shared" si="7"/>
        <v>38717.58</v>
      </c>
      <c r="J151" t="str">
        <f t="shared" ca="1" si="8"/>
        <v>Overdue</v>
      </c>
    </row>
    <row r="152" spans="1:10" x14ac:dyDescent="0.25">
      <c r="A152" t="s">
        <v>4754</v>
      </c>
      <c r="B152" t="s">
        <v>4555</v>
      </c>
      <c r="C152" s="3">
        <v>45339</v>
      </c>
      <c r="D152" s="3">
        <v>45369</v>
      </c>
      <c r="E152" s="1">
        <v>16332.73</v>
      </c>
      <c r="F152" t="s">
        <v>4040</v>
      </c>
      <c r="G152" t="str">
        <f>_xlfn.XLOOKUP(B152,tblCustomers[CustomerID],tblCustomers[CustomerName],"Unmapped")</f>
        <v>Gourmet Shop C</v>
      </c>
      <c r="H152">
        <f t="shared" si="6"/>
        <v>30</v>
      </c>
      <c r="I152" s="1">
        <f t="shared" si="7"/>
        <v>16332.73</v>
      </c>
      <c r="J152" t="str">
        <f t="shared" ca="1" si="8"/>
        <v>Overdue</v>
      </c>
    </row>
    <row r="153" spans="1:10" x14ac:dyDescent="0.25">
      <c r="A153" t="s">
        <v>4955</v>
      </c>
      <c r="B153" t="s">
        <v>4552</v>
      </c>
      <c r="C153" s="3">
        <v>45340</v>
      </c>
      <c r="D153" s="3">
        <v>45370</v>
      </c>
      <c r="E153" s="1">
        <v>21896.98</v>
      </c>
      <c r="F153" t="s">
        <v>4037</v>
      </c>
      <c r="G153" t="str">
        <f>_xlfn.XLOOKUP(B153,tblCustomers[CustomerID],tblCustomers[CustomerName],"Unmapped")</f>
        <v>Online Retailer D</v>
      </c>
      <c r="H153">
        <f t="shared" si="6"/>
        <v>30</v>
      </c>
      <c r="I153" s="1">
        <f t="shared" si="7"/>
        <v>0</v>
      </c>
      <c r="J153" t="str">
        <f t="shared" ca="1" si="8"/>
        <v>Paid</v>
      </c>
    </row>
    <row r="154" spans="1:10" x14ac:dyDescent="0.25">
      <c r="A154" t="s">
        <v>4948</v>
      </c>
      <c r="B154" t="s">
        <v>4555</v>
      </c>
      <c r="C154" s="3">
        <v>45346</v>
      </c>
      <c r="D154" s="3">
        <v>45376</v>
      </c>
      <c r="E154" s="1">
        <v>15434.26</v>
      </c>
      <c r="F154" t="s">
        <v>4037</v>
      </c>
      <c r="G154" t="str">
        <f>_xlfn.XLOOKUP(B154,tblCustomers[CustomerID],tblCustomers[CustomerName],"Unmapped")</f>
        <v>Gourmet Shop C</v>
      </c>
      <c r="H154">
        <f t="shared" si="6"/>
        <v>30</v>
      </c>
      <c r="I154" s="1">
        <f t="shared" si="7"/>
        <v>0</v>
      </c>
      <c r="J154" t="str">
        <f t="shared" ca="1" si="8"/>
        <v>Paid</v>
      </c>
    </row>
    <row r="155" spans="1:10" x14ac:dyDescent="0.25">
      <c r="A155" t="s">
        <v>4915</v>
      </c>
      <c r="B155" t="s">
        <v>4559</v>
      </c>
      <c r="C155" s="3">
        <v>45347</v>
      </c>
      <c r="D155" s="3">
        <v>45377</v>
      </c>
      <c r="E155" s="1">
        <v>15019.57</v>
      </c>
      <c r="F155" t="s">
        <v>4040</v>
      </c>
      <c r="G155" t="str">
        <f>_xlfn.XLOOKUP(B155,tblCustomers[CustomerID],tblCustomers[CustomerName],"Unmapped")</f>
        <v>Hotel Group E</v>
      </c>
      <c r="H155">
        <f t="shared" si="6"/>
        <v>30</v>
      </c>
      <c r="I155" s="1">
        <f t="shared" si="7"/>
        <v>15019.57</v>
      </c>
      <c r="J155" t="str">
        <f t="shared" ca="1" si="8"/>
        <v>Overdue</v>
      </c>
    </row>
    <row r="156" spans="1:10" x14ac:dyDescent="0.25">
      <c r="A156" t="s">
        <v>4648</v>
      </c>
      <c r="B156" t="s">
        <v>4559</v>
      </c>
      <c r="C156" s="3">
        <v>45353</v>
      </c>
      <c r="D156" s="3">
        <v>45383</v>
      </c>
      <c r="E156" s="1">
        <v>34365.879999999997</v>
      </c>
      <c r="F156" t="s">
        <v>4037</v>
      </c>
      <c r="G156" t="str">
        <f>_xlfn.XLOOKUP(B156,tblCustomers[CustomerID],tblCustomers[CustomerName],"Unmapped")</f>
        <v>Hotel Group E</v>
      </c>
      <c r="H156">
        <f t="shared" si="6"/>
        <v>30</v>
      </c>
      <c r="I156" s="1">
        <f t="shared" si="7"/>
        <v>0</v>
      </c>
      <c r="J156" t="str">
        <f t="shared" ca="1" si="8"/>
        <v>Paid</v>
      </c>
    </row>
    <row r="157" spans="1:10" x14ac:dyDescent="0.25">
      <c r="A157" t="s">
        <v>4861</v>
      </c>
      <c r="B157" t="s">
        <v>4559</v>
      </c>
      <c r="C157" s="3">
        <v>45354</v>
      </c>
      <c r="D157" s="3">
        <v>45384</v>
      </c>
      <c r="E157" s="1">
        <v>8498.1200000000008</v>
      </c>
      <c r="F157" t="s">
        <v>4037</v>
      </c>
      <c r="G157" t="str">
        <f>_xlfn.XLOOKUP(B157,tblCustomers[CustomerID],tblCustomers[CustomerName],"Unmapped")</f>
        <v>Hotel Group E</v>
      </c>
      <c r="H157">
        <f t="shared" si="6"/>
        <v>30</v>
      </c>
      <c r="I157" s="1">
        <f t="shared" si="7"/>
        <v>0</v>
      </c>
      <c r="J157" t="str">
        <f t="shared" ca="1" si="8"/>
        <v>Paid</v>
      </c>
    </row>
    <row r="158" spans="1:10" x14ac:dyDescent="0.25">
      <c r="A158" t="s">
        <v>4729</v>
      </c>
      <c r="B158" t="s">
        <v>4563</v>
      </c>
      <c r="C158" s="3">
        <v>45359</v>
      </c>
      <c r="D158" s="3">
        <v>45389</v>
      </c>
      <c r="E158" s="1">
        <v>8867.57</v>
      </c>
      <c r="F158" t="s">
        <v>4037</v>
      </c>
      <c r="G158" t="str">
        <f>_xlfn.XLOOKUP(B158,tblCustomers[CustomerID],tblCustomers[CustomerName],"Unmapped")</f>
        <v>Supermarket Chain B</v>
      </c>
      <c r="H158">
        <f t="shared" si="6"/>
        <v>30</v>
      </c>
      <c r="I158" s="1">
        <f t="shared" si="7"/>
        <v>0</v>
      </c>
      <c r="J158" t="str">
        <f t="shared" ca="1" si="8"/>
        <v>Paid</v>
      </c>
    </row>
    <row r="159" spans="1:10" x14ac:dyDescent="0.25">
      <c r="A159" t="s">
        <v>4805</v>
      </c>
      <c r="B159" t="s">
        <v>4552</v>
      </c>
      <c r="C159" s="3">
        <v>45364</v>
      </c>
      <c r="D159" s="3">
        <v>45394</v>
      </c>
      <c r="E159" s="1">
        <v>39380.36</v>
      </c>
      <c r="F159" t="s">
        <v>4037</v>
      </c>
      <c r="G159" t="str">
        <f>_xlfn.XLOOKUP(B159,tblCustomers[CustomerID],tblCustomers[CustomerName],"Unmapped")</f>
        <v>Online Retailer D</v>
      </c>
      <c r="H159">
        <f t="shared" si="6"/>
        <v>30</v>
      </c>
      <c r="I159" s="1">
        <f t="shared" si="7"/>
        <v>0</v>
      </c>
      <c r="J159" t="str">
        <f t="shared" ca="1" si="8"/>
        <v>Paid</v>
      </c>
    </row>
    <row r="160" spans="1:10" x14ac:dyDescent="0.25">
      <c r="A160" t="s">
        <v>4564</v>
      </c>
      <c r="B160" t="s">
        <v>4555</v>
      </c>
      <c r="C160" s="3">
        <v>45366</v>
      </c>
      <c r="D160" s="3">
        <v>45396</v>
      </c>
      <c r="E160" s="1">
        <v>34496.639999999999</v>
      </c>
      <c r="F160" t="s">
        <v>4037</v>
      </c>
      <c r="G160" t="str">
        <f>_xlfn.XLOOKUP(B160,tblCustomers[CustomerID],tblCustomers[CustomerName],"Unmapped")</f>
        <v>Gourmet Shop C</v>
      </c>
      <c r="H160">
        <f t="shared" si="6"/>
        <v>30</v>
      </c>
      <c r="I160" s="1">
        <f t="shared" si="7"/>
        <v>0</v>
      </c>
      <c r="J160" t="str">
        <f t="shared" ca="1" si="8"/>
        <v>Paid</v>
      </c>
    </row>
    <row r="161" spans="1:10" x14ac:dyDescent="0.25">
      <c r="A161" t="s">
        <v>4649</v>
      </c>
      <c r="B161" t="s">
        <v>4552</v>
      </c>
      <c r="C161" s="3">
        <v>45366</v>
      </c>
      <c r="D161" s="3">
        <v>45396</v>
      </c>
      <c r="E161" s="1">
        <v>21465.67</v>
      </c>
      <c r="F161" t="s">
        <v>4037</v>
      </c>
      <c r="G161" t="str">
        <f>_xlfn.XLOOKUP(B161,tblCustomers[CustomerID],tblCustomers[CustomerName],"Unmapped")</f>
        <v>Online Retailer D</v>
      </c>
      <c r="H161">
        <f t="shared" si="6"/>
        <v>30</v>
      </c>
      <c r="I161" s="1">
        <f t="shared" si="7"/>
        <v>0</v>
      </c>
      <c r="J161" t="str">
        <f t="shared" ca="1" si="8"/>
        <v>Paid</v>
      </c>
    </row>
    <row r="162" spans="1:10" x14ac:dyDescent="0.25">
      <c r="A162" t="s">
        <v>4693</v>
      </c>
      <c r="B162" t="s">
        <v>4563</v>
      </c>
      <c r="C162" s="3">
        <v>45366</v>
      </c>
      <c r="D162" s="3">
        <v>45396</v>
      </c>
      <c r="E162" s="1">
        <v>25768.94</v>
      </c>
      <c r="F162" t="s">
        <v>4037</v>
      </c>
      <c r="G162" t="str">
        <f>_xlfn.XLOOKUP(B162,tblCustomers[CustomerID],tblCustomers[CustomerName],"Unmapped")</f>
        <v>Supermarket Chain B</v>
      </c>
      <c r="H162">
        <f t="shared" si="6"/>
        <v>30</v>
      </c>
      <c r="I162" s="1">
        <f t="shared" si="7"/>
        <v>0</v>
      </c>
      <c r="J162" t="str">
        <f t="shared" ca="1" si="8"/>
        <v>Paid</v>
      </c>
    </row>
    <row r="163" spans="1:10" x14ac:dyDescent="0.25">
      <c r="A163" t="s">
        <v>4986</v>
      </c>
      <c r="B163" t="s">
        <v>4555</v>
      </c>
      <c r="C163" s="3">
        <v>45367</v>
      </c>
      <c r="D163" s="3">
        <v>45397</v>
      </c>
      <c r="E163" s="1">
        <v>13980.78</v>
      </c>
      <c r="F163" t="s">
        <v>4037</v>
      </c>
      <c r="G163" t="str">
        <f>_xlfn.XLOOKUP(B163,tblCustomers[CustomerID],tblCustomers[CustomerName],"Unmapped")</f>
        <v>Gourmet Shop C</v>
      </c>
      <c r="H163">
        <f t="shared" si="6"/>
        <v>30</v>
      </c>
      <c r="I163" s="1">
        <f t="shared" si="7"/>
        <v>0</v>
      </c>
      <c r="J163" t="str">
        <f t="shared" ca="1" si="8"/>
        <v>Paid</v>
      </c>
    </row>
    <row r="164" spans="1:10" x14ac:dyDescent="0.25">
      <c r="A164" t="s">
        <v>4746</v>
      </c>
      <c r="B164" t="s">
        <v>4563</v>
      </c>
      <c r="C164" s="3">
        <v>45369</v>
      </c>
      <c r="D164" s="3">
        <v>45399</v>
      </c>
      <c r="E164" s="1">
        <v>39193.660000000003</v>
      </c>
      <c r="F164" t="s">
        <v>4037</v>
      </c>
      <c r="G164" t="str">
        <f>_xlfn.XLOOKUP(B164,tblCustomers[CustomerID],tblCustomers[CustomerName],"Unmapped")</f>
        <v>Supermarket Chain B</v>
      </c>
      <c r="H164">
        <f t="shared" si="6"/>
        <v>30</v>
      </c>
      <c r="I164" s="1">
        <f t="shared" si="7"/>
        <v>0</v>
      </c>
      <c r="J164" t="str">
        <f t="shared" ca="1" si="8"/>
        <v>Paid</v>
      </c>
    </row>
    <row r="165" spans="1:10" x14ac:dyDescent="0.25">
      <c r="A165" t="s">
        <v>4947</v>
      </c>
      <c r="B165" t="s">
        <v>4561</v>
      </c>
      <c r="C165" s="3">
        <v>45370</v>
      </c>
      <c r="D165" s="3">
        <v>45400</v>
      </c>
      <c r="E165" s="1">
        <v>18996.2</v>
      </c>
      <c r="F165" t="s">
        <v>4037</v>
      </c>
      <c r="G165" t="str">
        <f>_xlfn.XLOOKUP(B165,tblCustomers[CustomerID],tblCustomers[CustomerName],"Unmapped")</f>
        <v>Retail Giant A</v>
      </c>
      <c r="H165">
        <f t="shared" si="6"/>
        <v>30</v>
      </c>
      <c r="I165" s="1">
        <f t="shared" si="7"/>
        <v>0</v>
      </c>
      <c r="J165" t="str">
        <f t="shared" ca="1" si="8"/>
        <v>Paid</v>
      </c>
    </row>
    <row r="166" spans="1:10" x14ac:dyDescent="0.25">
      <c r="A166" t="s">
        <v>5048</v>
      </c>
      <c r="B166" t="s">
        <v>4559</v>
      </c>
      <c r="C166" s="3">
        <v>45373</v>
      </c>
      <c r="D166" s="3">
        <v>45403</v>
      </c>
      <c r="E166" s="1">
        <v>42327.93</v>
      </c>
      <c r="F166" t="s">
        <v>4037</v>
      </c>
      <c r="G166" t="str">
        <f>_xlfn.XLOOKUP(B166,tblCustomers[CustomerID],tblCustomers[CustomerName],"Unmapped")</f>
        <v>Hotel Group E</v>
      </c>
      <c r="H166">
        <f t="shared" si="6"/>
        <v>30</v>
      </c>
      <c r="I166" s="1">
        <f t="shared" si="7"/>
        <v>0</v>
      </c>
      <c r="J166" t="str">
        <f t="shared" ca="1" si="8"/>
        <v>Paid</v>
      </c>
    </row>
    <row r="167" spans="1:10" x14ac:dyDescent="0.25">
      <c r="A167" t="s">
        <v>4583</v>
      </c>
      <c r="B167" t="s">
        <v>4552</v>
      </c>
      <c r="C167" s="3">
        <v>45374</v>
      </c>
      <c r="D167" s="3">
        <v>45404</v>
      </c>
      <c r="E167" s="1">
        <v>19067.45</v>
      </c>
      <c r="F167" t="s">
        <v>4037</v>
      </c>
      <c r="G167" t="str">
        <f>_xlfn.XLOOKUP(B167,tblCustomers[CustomerID],tblCustomers[CustomerName],"Unmapped")</f>
        <v>Online Retailer D</v>
      </c>
      <c r="H167">
        <f t="shared" si="6"/>
        <v>30</v>
      </c>
      <c r="I167" s="1">
        <f t="shared" si="7"/>
        <v>0</v>
      </c>
      <c r="J167" t="str">
        <f t="shared" ca="1" si="8"/>
        <v>Paid</v>
      </c>
    </row>
    <row r="168" spans="1:10" x14ac:dyDescent="0.25">
      <c r="A168" t="s">
        <v>4812</v>
      </c>
      <c r="B168" t="s">
        <v>4552</v>
      </c>
      <c r="C168" s="3">
        <v>45377</v>
      </c>
      <c r="D168" s="3">
        <v>45407</v>
      </c>
      <c r="E168" s="1">
        <v>39136.22</v>
      </c>
      <c r="F168" t="s">
        <v>4037</v>
      </c>
      <c r="G168" t="str">
        <f>_xlfn.XLOOKUP(B168,tblCustomers[CustomerID],tblCustomers[CustomerName],"Unmapped")</f>
        <v>Online Retailer D</v>
      </c>
      <c r="H168">
        <f t="shared" si="6"/>
        <v>30</v>
      </c>
      <c r="I168" s="1">
        <f t="shared" si="7"/>
        <v>0</v>
      </c>
      <c r="J168" t="str">
        <f t="shared" ca="1" si="8"/>
        <v>Paid</v>
      </c>
    </row>
    <row r="169" spans="1:10" x14ac:dyDescent="0.25">
      <c r="A169" t="s">
        <v>4784</v>
      </c>
      <c r="B169" t="s">
        <v>4563</v>
      </c>
      <c r="C169" s="3">
        <v>45379</v>
      </c>
      <c r="D169" s="3">
        <v>45409</v>
      </c>
      <c r="E169" s="1">
        <v>9269.9599999999991</v>
      </c>
      <c r="F169" t="s">
        <v>4037</v>
      </c>
      <c r="G169" t="str">
        <f>_xlfn.XLOOKUP(B169,tblCustomers[CustomerID],tblCustomers[CustomerName],"Unmapped")</f>
        <v>Supermarket Chain B</v>
      </c>
      <c r="H169">
        <f t="shared" si="6"/>
        <v>30</v>
      </c>
      <c r="I169" s="1">
        <f t="shared" si="7"/>
        <v>0</v>
      </c>
      <c r="J169" t="str">
        <f t="shared" ca="1" si="8"/>
        <v>Paid</v>
      </c>
    </row>
    <row r="170" spans="1:10" x14ac:dyDescent="0.25">
      <c r="A170" t="s">
        <v>4810</v>
      </c>
      <c r="B170" t="s">
        <v>4555</v>
      </c>
      <c r="C170" s="3">
        <v>45381</v>
      </c>
      <c r="D170" s="3">
        <v>45411</v>
      </c>
      <c r="E170" s="1">
        <v>12124.84</v>
      </c>
      <c r="F170" t="s">
        <v>4037</v>
      </c>
      <c r="G170" t="str">
        <f>_xlfn.XLOOKUP(B170,tblCustomers[CustomerID],tblCustomers[CustomerName],"Unmapped")</f>
        <v>Gourmet Shop C</v>
      </c>
      <c r="H170">
        <f t="shared" si="6"/>
        <v>30</v>
      </c>
      <c r="I170" s="1">
        <f t="shared" si="7"/>
        <v>0</v>
      </c>
      <c r="J170" t="str">
        <f t="shared" ca="1" si="8"/>
        <v>Paid</v>
      </c>
    </row>
    <row r="171" spans="1:10" x14ac:dyDescent="0.25">
      <c r="A171" t="s">
        <v>4845</v>
      </c>
      <c r="B171" t="s">
        <v>4559</v>
      </c>
      <c r="C171" s="3">
        <v>45386</v>
      </c>
      <c r="D171" s="3">
        <v>45416</v>
      </c>
      <c r="E171" s="1">
        <v>46477.16</v>
      </c>
      <c r="F171" t="s">
        <v>4037</v>
      </c>
      <c r="G171" t="str">
        <f>_xlfn.XLOOKUP(B171,tblCustomers[CustomerID],tblCustomers[CustomerName],"Unmapped")</f>
        <v>Hotel Group E</v>
      </c>
      <c r="H171">
        <f t="shared" si="6"/>
        <v>30</v>
      </c>
      <c r="I171" s="1">
        <f t="shared" si="7"/>
        <v>0</v>
      </c>
      <c r="J171" t="str">
        <f t="shared" ca="1" si="8"/>
        <v>Paid</v>
      </c>
    </row>
    <row r="172" spans="1:10" x14ac:dyDescent="0.25">
      <c r="A172" t="s">
        <v>4565</v>
      </c>
      <c r="B172" t="s">
        <v>4561</v>
      </c>
      <c r="C172" s="3">
        <v>45387</v>
      </c>
      <c r="D172" s="3">
        <v>45417</v>
      </c>
      <c r="E172" s="1">
        <v>46056.76</v>
      </c>
      <c r="F172" t="s">
        <v>4037</v>
      </c>
      <c r="G172" t="str">
        <f>_xlfn.XLOOKUP(B172,tblCustomers[CustomerID],tblCustomers[CustomerName],"Unmapped")</f>
        <v>Retail Giant A</v>
      </c>
      <c r="H172">
        <f t="shared" si="6"/>
        <v>30</v>
      </c>
      <c r="I172" s="1">
        <f t="shared" si="7"/>
        <v>0</v>
      </c>
      <c r="J172" t="str">
        <f t="shared" ca="1" si="8"/>
        <v>Paid</v>
      </c>
    </row>
    <row r="173" spans="1:10" x14ac:dyDescent="0.25">
      <c r="A173" t="s">
        <v>4727</v>
      </c>
      <c r="B173" t="s">
        <v>4552</v>
      </c>
      <c r="C173" s="3">
        <v>45392</v>
      </c>
      <c r="D173" s="3">
        <v>45422</v>
      </c>
      <c r="E173" s="1">
        <v>45911.54</v>
      </c>
      <c r="F173" t="s">
        <v>4037</v>
      </c>
      <c r="G173" t="str">
        <f>_xlfn.XLOOKUP(B173,tblCustomers[CustomerID],tblCustomers[CustomerName],"Unmapped")</f>
        <v>Online Retailer D</v>
      </c>
      <c r="H173">
        <f t="shared" si="6"/>
        <v>30</v>
      </c>
      <c r="I173" s="1">
        <f t="shared" si="7"/>
        <v>0</v>
      </c>
      <c r="J173" t="str">
        <f t="shared" ca="1" si="8"/>
        <v>Paid</v>
      </c>
    </row>
    <row r="174" spans="1:10" x14ac:dyDescent="0.25">
      <c r="A174" t="s">
        <v>4752</v>
      </c>
      <c r="B174" t="s">
        <v>4561</v>
      </c>
      <c r="C174" s="3">
        <v>45399</v>
      </c>
      <c r="D174" s="3">
        <v>45429</v>
      </c>
      <c r="E174" s="1">
        <v>24256.41</v>
      </c>
      <c r="F174" t="s">
        <v>4040</v>
      </c>
      <c r="G174" t="str">
        <f>_xlfn.XLOOKUP(B174,tblCustomers[CustomerID],tblCustomers[CustomerName],"Unmapped")</f>
        <v>Retail Giant A</v>
      </c>
      <c r="H174">
        <f t="shared" si="6"/>
        <v>30</v>
      </c>
      <c r="I174" s="1">
        <f t="shared" si="7"/>
        <v>24256.41</v>
      </c>
      <c r="J174" t="str">
        <f t="shared" ca="1" si="8"/>
        <v>Overdue</v>
      </c>
    </row>
    <row r="175" spans="1:10" x14ac:dyDescent="0.25">
      <c r="A175" t="s">
        <v>4896</v>
      </c>
      <c r="B175" t="s">
        <v>4552</v>
      </c>
      <c r="C175" s="3">
        <v>45399</v>
      </c>
      <c r="D175" s="3">
        <v>45429</v>
      </c>
      <c r="E175" s="1">
        <v>1139.28</v>
      </c>
      <c r="F175" t="s">
        <v>4037</v>
      </c>
      <c r="G175" t="str">
        <f>_xlfn.XLOOKUP(B175,tblCustomers[CustomerID],tblCustomers[CustomerName],"Unmapped")</f>
        <v>Online Retailer D</v>
      </c>
      <c r="H175">
        <f t="shared" si="6"/>
        <v>30</v>
      </c>
      <c r="I175" s="1">
        <f t="shared" si="7"/>
        <v>0</v>
      </c>
      <c r="J175" t="str">
        <f t="shared" ca="1" si="8"/>
        <v>Paid</v>
      </c>
    </row>
    <row r="176" spans="1:10" x14ac:dyDescent="0.25">
      <c r="A176" t="s">
        <v>5038</v>
      </c>
      <c r="B176" t="s">
        <v>4559</v>
      </c>
      <c r="C176" s="3">
        <v>45400</v>
      </c>
      <c r="D176" s="3">
        <v>45430</v>
      </c>
      <c r="E176" s="1">
        <v>38230.620000000003</v>
      </c>
      <c r="F176" t="s">
        <v>4037</v>
      </c>
      <c r="G176" t="str">
        <f>_xlfn.XLOOKUP(B176,tblCustomers[CustomerID],tblCustomers[CustomerName],"Unmapped")</f>
        <v>Hotel Group E</v>
      </c>
      <c r="H176">
        <f t="shared" si="6"/>
        <v>30</v>
      </c>
      <c r="I176" s="1">
        <f t="shared" si="7"/>
        <v>0</v>
      </c>
      <c r="J176" t="str">
        <f t="shared" ca="1" si="8"/>
        <v>Paid</v>
      </c>
    </row>
    <row r="177" spans="1:10" x14ac:dyDescent="0.25">
      <c r="A177" t="s">
        <v>4821</v>
      </c>
      <c r="B177" t="s">
        <v>4563</v>
      </c>
      <c r="C177" s="3">
        <v>45405</v>
      </c>
      <c r="D177" s="3">
        <v>45435</v>
      </c>
      <c r="E177" s="1">
        <v>19546.189999999999</v>
      </c>
      <c r="F177" t="s">
        <v>4037</v>
      </c>
      <c r="G177" t="str">
        <f>_xlfn.XLOOKUP(B177,tblCustomers[CustomerID],tblCustomers[CustomerName],"Unmapped")</f>
        <v>Supermarket Chain B</v>
      </c>
      <c r="H177">
        <f t="shared" si="6"/>
        <v>30</v>
      </c>
      <c r="I177" s="1">
        <f t="shared" si="7"/>
        <v>0</v>
      </c>
      <c r="J177" t="str">
        <f t="shared" ca="1" si="8"/>
        <v>Paid</v>
      </c>
    </row>
    <row r="178" spans="1:10" x14ac:dyDescent="0.25">
      <c r="A178" t="s">
        <v>4697</v>
      </c>
      <c r="B178" t="s">
        <v>4552</v>
      </c>
      <c r="C178" s="3">
        <v>45410</v>
      </c>
      <c r="D178" s="3">
        <v>45440</v>
      </c>
      <c r="E178" s="1">
        <v>15916.15</v>
      </c>
      <c r="F178" t="s">
        <v>4037</v>
      </c>
      <c r="G178" t="str">
        <f>_xlfn.XLOOKUP(B178,tblCustomers[CustomerID],tblCustomers[CustomerName],"Unmapped")</f>
        <v>Online Retailer D</v>
      </c>
      <c r="H178">
        <f t="shared" si="6"/>
        <v>30</v>
      </c>
      <c r="I178" s="1">
        <f t="shared" si="7"/>
        <v>0</v>
      </c>
      <c r="J178" t="str">
        <f t="shared" ca="1" si="8"/>
        <v>Paid</v>
      </c>
    </row>
    <row r="179" spans="1:10" x14ac:dyDescent="0.25">
      <c r="A179" t="s">
        <v>4960</v>
      </c>
      <c r="B179" t="s">
        <v>4559</v>
      </c>
      <c r="C179" s="3">
        <v>45415</v>
      </c>
      <c r="D179" s="3">
        <v>45445</v>
      </c>
      <c r="E179" s="1">
        <v>36873</v>
      </c>
      <c r="F179" t="s">
        <v>4037</v>
      </c>
      <c r="G179" t="str">
        <f>_xlfn.XLOOKUP(B179,tblCustomers[CustomerID],tblCustomers[CustomerName],"Unmapped")</f>
        <v>Hotel Group E</v>
      </c>
      <c r="H179">
        <f t="shared" si="6"/>
        <v>30</v>
      </c>
      <c r="I179" s="1">
        <f t="shared" si="7"/>
        <v>0</v>
      </c>
      <c r="J179" t="str">
        <f t="shared" ca="1" si="8"/>
        <v>Paid</v>
      </c>
    </row>
    <row r="180" spans="1:10" x14ac:dyDescent="0.25">
      <c r="A180" t="s">
        <v>4756</v>
      </c>
      <c r="B180" t="s">
        <v>4559</v>
      </c>
      <c r="C180" s="3">
        <v>45418</v>
      </c>
      <c r="D180" s="3">
        <v>45448</v>
      </c>
      <c r="E180" s="1">
        <v>32953.85</v>
      </c>
      <c r="F180" t="s">
        <v>4037</v>
      </c>
      <c r="G180" t="str">
        <f>_xlfn.XLOOKUP(B180,tblCustomers[CustomerID],tblCustomers[CustomerName],"Unmapped")</f>
        <v>Hotel Group E</v>
      </c>
      <c r="H180">
        <f t="shared" si="6"/>
        <v>30</v>
      </c>
      <c r="I180" s="1">
        <f t="shared" si="7"/>
        <v>0</v>
      </c>
      <c r="J180" t="str">
        <f t="shared" ca="1" si="8"/>
        <v>Paid</v>
      </c>
    </row>
    <row r="181" spans="1:10" x14ac:dyDescent="0.25">
      <c r="A181" t="s">
        <v>4989</v>
      </c>
      <c r="B181" t="s">
        <v>4561</v>
      </c>
      <c r="C181" s="3">
        <v>45418</v>
      </c>
      <c r="D181" s="3">
        <v>45448</v>
      </c>
      <c r="E181" s="1">
        <v>2373.2199999999998</v>
      </c>
      <c r="F181" t="s">
        <v>4037</v>
      </c>
      <c r="G181" t="str">
        <f>_xlfn.XLOOKUP(B181,tblCustomers[CustomerID],tblCustomers[CustomerName],"Unmapped")</f>
        <v>Retail Giant A</v>
      </c>
      <c r="H181">
        <f t="shared" si="6"/>
        <v>30</v>
      </c>
      <c r="I181" s="1">
        <f t="shared" si="7"/>
        <v>0</v>
      </c>
      <c r="J181" t="str">
        <f t="shared" ca="1" si="8"/>
        <v>Paid</v>
      </c>
    </row>
    <row r="182" spans="1:10" x14ac:dyDescent="0.25">
      <c r="A182" t="s">
        <v>4991</v>
      </c>
      <c r="B182" t="s">
        <v>4559</v>
      </c>
      <c r="C182" s="3">
        <v>45421</v>
      </c>
      <c r="D182" s="3">
        <v>45451</v>
      </c>
      <c r="E182" s="1">
        <v>2431.2600000000002</v>
      </c>
      <c r="F182" t="s">
        <v>4037</v>
      </c>
      <c r="G182" t="str">
        <f>_xlfn.XLOOKUP(B182,tblCustomers[CustomerID],tblCustomers[CustomerName],"Unmapped")</f>
        <v>Hotel Group E</v>
      </c>
      <c r="H182">
        <f t="shared" si="6"/>
        <v>30</v>
      </c>
      <c r="I182" s="1">
        <f t="shared" si="7"/>
        <v>0</v>
      </c>
      <c r="J182" t="str">
        <f t="shared" ca="1" si="8"/>
        <v>Paid</v>
      </c>
    </row>
    <row r="183" spans="1:10" x14ac:dyDescent="0.25">
      <c r="A183" t="s">
        <v>4802</v>
      </c>
      <c r="B183" t="s">
        <v>4552</v>
      </c>
      <c r="C183" s="3">
        <v>45431</v>
      </c>
      <c r="D183" s="3">
        <v>45461</v>
      </c>
      <c r="E183" s="1">
        <v>23383.98</v>
      </c>
      <c r="F183" t="s">
        <v>4037</v>
      </c>
      <c r="G183" t="str">
        <f>_xlfn.XLOOKUP(B183,tblCustomers[CustomerID],tblCustomers[CustomerName],"Unmapped")</f>
        <v>Online Retailer D</v>
      </c>
      <c r="H183">
        <f t="shared" si="6"/>
        <v>30</v>
      </c>
      <c r="I183" s="1">
        <f t="shared" si="7"/>
        <v>0</v>
      </c>
      <c r="J183" t="str">
        <f t="shared" ca="1" si="8"/>
        <v>Paid</v>
      </c>
    </row>
    <row r="184" spans="1:10" x14ac:dyDescent="0.25">
      <c r="A184" t="s">
        <v>4731</v>
      </c>
      <c r="B184" t="s">
        <v>4563</v>
      </c>
      <c r="C184" s="3">
        <v>45443</v>
      </c>
      <c r="D184" s="3">
        <v>45473</v>
      </c>
      <c r="E184" s="1">
        <v>12831.26</v>
      </c>
      <c r="F184" t="s">
        <v>4037</v>
      </c>
      <c r="G184" t="str">
        <f>_xlfn.XLOOKUP(B184,tblCustomers[CustomerID],tblCustomers[CustomerName],"Unmapped")</f>
        <v>Supermarket Chain B</v>
      </c>
      <c r="H184">
        <f t="shared" si="6"/>
        <v>30</v>
      </c>
      <c r="I184" s="1">
        <f t="shared" si="7"/>
        <v>0</v>
      </c>
      <c r="J184" t="str">
        <f t="shared" ca="1" si="8"/>
        <v>Paid</v>
      </c>
    </row>
    <row r="185" spans="1:10" x14ac:dyDescent="0.25">
      <c r="A185" t="s">
        <v>4667</v>
      </c>
      <c r="B185" t="s">
        <v>4563</v>
      </c>
      <c r="C185" s="3">
        <v>45446</v>
      </c>
      <c r="D185" s="3">
        <v>45476</v>
      </c>
      <c r="E185" s="1">
        <v>1394.59</v>
      </c>
      <c r="F185" t="s">
        <v>4037</v>
      </c>
      <c r="G185" t="str">
        <f>_xlfn.XLOOKUP(B185,tblCustomers[CustomerID],tblCustomers[CustomerName],"Unmapped")</f>
        <v>Supermarket Chain B</v>
      </c>
      <c r="H185">
        <f t="shared" si="6"/>
        <v>30</v>
      </c>
      <c r="I185" s="1">
        <f t="shared" si="7"/>
        <v>0</v>
      </c>
      <c r="J185" t="str">
        <f t="shared" ca="1" si="8"/>
        <v>Paid</v>
      </c>
    </row>
    <row r="186" spans="1:10" x14ac:dyDescent="0.25">
      <c r="A186" t="s">
        <v>4665</v>
      </c>
      <c r="B186" t="s">
        <v>4561</v>
      </c>
      <c r="C186" s="3">
        <v>45449</v>
      </c>
      <c r="D186" s="3">
        <v>45479</v>
      </c>
      <c r="E186" s="1">
        <v>7334.88</v>
      </c>
      <c r="F186" t="s">
        <v>4037</v>
      </c>
      <c r="G186" t="str">
        <f>_xlfn.XLOOKUP(B186,tblCustomers[CustomerID],tblCustomers[CustomerName],"Unmapped")</f>
        <v>Retail Giant A</v>
      </c>
      <c r="H186">
        <f t="shared" si="6"/>
        <v>30</v>
      </c>
      <c r="I186" s="1">
        <f t="shared" si="7"/>
        <v>0</v>
      </c>
      <c r="J186" t="str">
        <f t="shared" ca="1" si="8"/>
        <v>Paid</v>
      </c>
    </row>
    <row r="187" spans="1:10" x14ac:dyDescent="0.25">
      <c r="A187" t="s">
        <v>4833</v>
      </c>
      <c r="B187" t="s">
        <v>4555</v>
      </c>
      <c r="C187" s="3">
        <v>45453</v>
      </c>
      <c r="D187" s="3">
        <v>45483</v>
      </c>
      <c r="E187" s="1">
        <v>31127.65</v>
      </c>
      <c r="F187" t="s">
        <v>4037</v>
      </c>
      <c r="G187" t="str">
        <f>_xlfn.XLOOKUP(B187,tblCustomers[CustomerID],tblCustomers[CustomerName],"Unmapped")</f>
        <v>Gourmet Shop C</v>
      </c>
      <c r="H187">
        <f t="shared" si="6"/>
        <v>30</v>
      </c>
      <c r="I187" s="1">
        <f t="shared" si="7"/>
        <v>0</v>
      </c>
      <c r="J187" t="str">
        <f t="shared" ca="1" si="8"/>
        <v>Paid</v>
      </c>
    </row>
    <row r="188" spans="1:10" x14ac:dyDescent="0.25">
      <c r="A188" t="s">
        <v>4883</v>
      </c>
      <c r="B188" t="s">
        <v>4559</v>
      </c>
      <c r="C188" s="3">
        <v>45464</v>
      </c>
      <c r="D188" s="3">
        <v>45494</v>
      </c>
      <c r="E188" s="1">
        <v>47875.88</v>
      </c>
      <c r="F188" t="s">
        <v>4037</v>
      </c>
      <c r="G188" t="str">
        <f>_xlfn.XLOOKUP(B188,tblCustomers[CustomerID],tblCustomers[CustomerName],"Unmapped")</f>
        <v>Hotel Group E</v>
      </c>
      <c r="H188">
        <f t="shared" si="6"/>
        <v>30</v>
      </c>
      <c r="I188" s="1">
        <f t="shared" si="7"/>
        <v>0</v>
      </c>
      <c r="J188" t="str">
        <f t="shared" ca="1" si="8"/>
        <v>Paid</v>
      </c>
    </row>
    <row r="189" spans="1:10" x14ac:dyDescent="0.25">
      <c r="A189" t="s">
        <v>4796</v>
      </c>
      <c r="B189" t="s">
        <v>4561</v>
      </c>
      <c r="C189" s="3">
        <v>45473</v>
      </c>
      <c r="D189" s="3">
        <v>45503</v>
      </c>
      <c r="E189" s="1">
        <v>13089.24</v>
      </c>
      <c r="F189" t="s">
        <v>4040</v>
      </c>
      <c r="G189" t="str">
        <f>_xlfn.XLOOKUP(B189,tblCustomers[CustomerID],tblCustomers[CustomerName],"Unmapped")</f>
        <v>Retail Giant A</v>
      </c>
      <c r="H189">
        <f t="shared" si="6"/>
        <v>30</v>
      </c>
      <c r="I189" s="1">
        <f t="shared" si="7"/>
        <v>13089.24</v>
      </c>
      <c r="J189" t="str">
        <f t="shared" ca="1" si="8"/>
        <v>Overdue</v>
      </c>
    </row>
    <row r="190" spans="1:10" x14ac:dyDescent="0.25">
      <c r="A190" t="s">
        <v>4945</v>
      </c>
      <c r="B190" t="s">
        <v>4555</v>
      </c>
      <c r="C190" s="3">
        <v>45473</v>
      </c>
      <c r="D190" s="3">
        <v>45503</v>
      </c>
      <c r="E190" s="1">
        <v>47032.45</v>
      </c>
      <c r="F190" t="s">
        <v>4037</v>
      </c>
      <c r="G190" t="str">
        <f>_xlfn.XLOOKUP(B190,tblCustomers[CustomerID],tblCustomers[CustomerName],"Unmapped")</f>
        <v>Gourmet Shop C</v>
      </c>
      <c r="H190">
        <f t="shared" si="6"/>
        <v>30</v>
      </c>
      <c r="I190" s="1">
        <f t="shared" si="7"/>
        <v>0</v>
      </c>
      <c r="J190" t="str">
        <f t="shared" ca="1" si="8"/>
        <v>Paid</v>
      </c>
    </row>
    <row r="191" spans="1:10" x14ac:dyDescent="0.25">
      <c r="A191" t="s">
        <v>4601</v>
      </c>
      <c r="B191" t="s">
        <v>4552</v>
      </c>
      <c r="C191" s="3">
        <v>45480</v>
      </c>
      <c r="D191" s="3">
        <v>45510</v>
      </c>
      <c r="E191" s="1">
        <v>19908.3</v>
      </c>
      <c r="F191" t="s">
        <v>4037</v>
      </c>
      <c r="G191" t="str">
        <f>_xlfn.XLOOKUP(B191,tblCustomers[CustomerID],tblCustomers[CustomerName],"Unmapped")</f>
        <v>Online Retailer D</v>
      </c>
      <c r="H191">
        <f t="shared" si="6"/>
        <v>30</v>
      </c>
      <c r="I191" s="1">
        <f t="shared" si="7"/>
        <v>0</v>
      </c>
      <c r="J191" t="str">
        <f t="shared" ca="1" si="8"/>
        <v>Paid</v>
      </c>
    </row>
    <row r="192" spans="1:10" x14ac:dyDescent="0.25">
      <c r="A192" t="s">
        <v>5019</v>
      </c>
      <c r="B192" t="s">
        <v>4552</v>
      </c>
      <c r="C192" s="3">
        <v>45487</v>
      </c>
      <c r="D192" s="3">
        <v>45517</v>
      </c>
      <c r="E192" s="1">
        <v>35128.050000000003</v>
      </c>
      <c r="F192" t="s">
        <v>4037</v>
      </c>
      <c r="G192" t="str">
        <f>_xlfn.XLOOKUP(B192,tblCustomers[CustomerID],tblCustomers[CustomerName],"Unmapped")</f>
        <v>Online Retailer D</v>
      </c>
      <c r="H192">
        <f t="shared" si="6"/>
        <v>30</v>
      </c>
      <c r="I192" s="1">
        <f t="shared" si="7"/>
        <v>0</v>
      </c>
      <c r="J192" t="str">
        <f t="shared" ca="1" si="8"/>
        <v>Paid</v>
      </c>
    </row>
    <row r="193" spans="1:10" x14ac:dyDescent="0.25">
      <c r="A193" t="s">
        <v>4597</v>
      </c>
      <c r="B193" t="s">
        <v>4559</v>
      </c>
      <c r="C193" s="3">
        <v>45496</v>
      </c>
      <c r="D193" s="3">
        <v>45526</v>
      </c>
      <c r="E193" s="1">
        <v>32202.43</v>
      </c>
      <c r="F193" t="s">
        <v>4037</v>
      </c>
      <c r="G193" t="str">
        <f>_xlfn.XLOOKUP(B193,tblCustomers[CustomerID],tblCustomers[CustomerName],"Unmapped")</f>
        <v>Hotel Group E</v>
      </c>
      <c r="H193">
        <f t="shared" si="6"/>
        <v>30</v>
      </c>
      <c r="I193" s="1">
        <f t="shared" si="7"/>
        <v>0</v>
      </c>
      <c r="J193" t="str">
        <f t="shared" ca="1" si="8"/>
        <v>Paid</v>
      </c>
    </row>
    <row r="194" spans="1:10" x14ac:dyDescent="0.25">
      <c r="A194" t="s">
        <v>4673</v>
      </c>
      <c r="B194" t="s">
        <v>4561</v>
      </c>
      <c r="C194" s="3">
        <v>45496</v>
      </c>
      <c r="D194" s="3">
        <v>45526</v>
      </c>
      <c r="E194" s="1">
        <v>23549.71</v>
      </c>
      <c r="F194" t="s">
        <v>4037</v>
      </c>
      <c r="G194" t="str">
        <f>_xlfn.XLOOKUP(B194,tblCustomers[CustomerID],tblCustomers[CustomerName],"Unmapped")</f>
        <v>Retail Giant A</v>
      </c>
      <c r="H194">
        <f t="shared" ref="H194:H257" si="9">D194-C194</f>
        <v>30</v>
      </c>
      <c r="I194" s="1">
        <f t="shared" ref="I194:I257" si="10">IF(F194="Unpaid",E194,0)</f>
        <v>0</v>
      </c>
      <c r="J194" t="str">
        <f t="shared" ref="J194:J257" ca="1" si="11">IF(F194="Paid","Paid",IF(D194&lt;TODAY(),"Overdue","Open"))</f>
        <v>Paid</v>
      </c>
    </row>
    <row r="195" spans="1:10" x14ac:dyDescent="0.25">
      <c r="A195" t="s">
        <v>4814</v>
      </c>
      <c r="B195" t="s">
        <v>4552</v>
      </c>
      <c r="C195" s="3">
        <v>45500</v>
      </c>
      <c r="D195" s="3">
        <v>45530</v>
      </c>
      <c r="E195" s="1">
        <v>17371.830000000002</v>
      </c>
      <c r="F195" t="s">
        <v>4037</v>
      </c>
      <c r="G195" t="str">
        <f>_xlfn.XLOOKUP(B195,tblCustomers[CustomerID],tblCustomers[CustomerName],"Unmapped")</f>
        <v>Online Retailer D</v>
      </c>
      <c r="H195">
        <f t="shared" si="9"/>
        <v>30</v>
      </c>
      <c r="I195" s="1">
        <f t="shared" si="10"/>
        <v>0</v>
      </c>
      <c r="J195" t="str">
        <f t="shared" ca="1" si="11"/>
        <v>Paid</v>
      </c>
    </row>
    <row r="196" spans="1:10" x14ac:dyDescent="0.25">
      <c r="A196" t="s">
        <v>4786</v>
      </c>
      <c r="B196" t="s">
        <v>4552</v>
      </c>
      <c r="C196" s="3">
        <v>45504</v>
      </c>
      <c r="D196" s="3">
        <v>45534</v>
      </c>
      <c r="E196" s="1">
        <v>12729.74</v>
      </c>
      <c r="F196" t="s">
        <v>4037</v>
      </c>
      <c r="G196" t="str">
        <f>_xlfn.XLOOKUP(B196,tblCustomers[CustomerID],tblCustomers[CustomerName],"Unmapped")</f>
        <v>Online Retailer D</v>
      </c>
      <c r="H196">
        <f t="shared" si="9"/>
        <v>30</v>
      </c>
      <c r="I196" s="1">
        <f t="shared" si="10"/>
        <v>0</v>
      </c>
      <c r="J196" t="str">
        <f t="shared" ca="1" si="11"/>
        <v>Paid</v>
      </c>
    </row>
    <row r="197" spans="1:10" x14ac:dyDescent="0.25">
      <c r="A197" t="s">
        <v>4726</v>
      </c>
      <c r="B197" t="s">
        <v>4563</v>
      </c>
      <c r="C197" s="3">
        <v>45506</v>
      </c>
      <c r="D197" s="3">
        <v>45536</v>
      </c>
      <c r="E197" s="1">
        <v>26456.400000000001</v>
      </c>
      <c r="F197" t="s">
        <v>4037</v>
      </c>
      <c r="G197" t="str">
        <f>_xlfn.XLOOKUP(B197,tblCustomers[CustomerID],tblCustomers[CustomerName],"Unmapped")</f>
        <v>Supermarket Chain B</v>
      </c>
      <c r="H197">
        <f t="shared" si="9"/>
        <v>30</v>
      </c>
      <c r="I197" s="1">
        <f t="shared" si="10"/>
        <v>0</v>
      </c>
      <c r="J197" t="str">
        <f t="shared" ca="1" si="11"/>
        <v>Paid</v>
      </c>
    </row>
    <row r="198" spans="1:10" x14ac:dyDescent="0.25">
      <c r="A198" t="s">
        <v>4617</v>
      </c>
      <c r="B198" t="s">
        <v>4563</v>
      </c>
      <c r="C198" s="3">
        <v>45509</v>
      </c>
      <c r="D198" s="3">
        <v>45539</v>
      </c>
      <c r="E198" s="1">
        <v>48863.27</v>
      </c>
      <c r="F198" t="s">
        <v>4040</v>
      </c>
      <c r="G198" t="str">
        <f>_xlfn.XLOOKUP(B198,tblCustomers[CustomerID],tblCustomers[CustomerName],"Unmapped")</f>
        <v>Supermarket Chain B</v>
      </c>
      <c r="H198">
        <f t="shared" si="9"/>
        <v>30</v>
      </c>
      <c r="I198" s="1">
        <f t="shared" si="10"/>
        <v>48863.27</v>
      </c>
      <c r="J198" t="str">
        <f t="shared" ca="1" si="11"/>
        <v>Overdue</v>
      </c>
    </row>
    <row r="199" spans="1:10" x14ac:dyDescent="0.25">
      <c r="A199" t="s">
        <v>4808</v>
      </c>
      <c r="B199" t="s">
        <v>4555</v>
      </c>
      <c r="C199" s="3">
        <v>45512</v>
      </c>
      <c r="D199" s="3">
        <v>45542</v>
      </c>
      <c r="E199" s="1">
        <v>36413.5</v>
      </c>
      <c r="F199" t="s">
        <v>4037</v>
      </c>
      <c r="G199" t="str">
        <f>_xlfn.XLOOKUP(B199,tblCustomers[CustomerID],tblCustomers[CustomerName],"Unmapped")</f>
        <v>Gourmet Shop C</v>
      </c>
      <c r="H199">
        <f t="shared" si="9"/>
        <v>30</v>
      </c>
      <c r="I199" s="1">
        <f t="shared" si="10"/>
        <v>0</v>
      </c>
      <c r="J199" t="str">
        <f t="shared" ca="1" si="11"/>
        <v>Paid</v>
      </c>
    </row>
    <row r="200" spans="1:10" x14ac:dyDescent="0.25">
      <c r="A200" t="s">
        <v>4763</v>
      </c>
      <c r="B200" t="s">
        <v>4559</v>
      </c>
      <c r="C200" s="3">
        <v>45516</v>
      </c>
      <c r="D200" s="3">
        <v>45546</v>
      </c>
      <c r="E200" s="1">
        <v>30870.61</v>
      </c>
      <c r="F200" t="s">
        <v>4040</v>
      </c>
      <c r="G200" t="str">
        <f>_xlfn.XLOOKUP(B200,tblCustomers[CustomerID],tblCustomers[CustomerName],"Unmapped")</f>
        <v>Hotel Group E</v>
      </c>
      <c r="H200">
        <f t="shared" si="9"/>
        <v>30</v>
      </c>
      <c r="I200" s="1">
        <f t="shared" si="10"/>
        <v>30870.61</v>
      </c>
      <c r="J200" t="str">
        <f t="shared" ca="1" si="11"/>
        <v>Overdue</v>
      </c>
    </row>
    <row r="201" spans="1:10" x14ac:dyDescent="0.25">
      <c r="A201" t="s">
        <v>4567</v>
      </c>
      <c r="B201" t="s">
        <v>4552</v>
      </c>
      <c r="C201" s="3">
        <v>45517</v>
      </c>
      <c r="D201" s="3">
        <v>45547</v>
      </c>
      <c r="E201" s="1">
        <v>27612.87</v>
      </c>
      <c r="F201" t="s">
        <v>4040</v>
      </c>
      <c r="G201" t="str">
        <f>_xlfn.XLOOKUP(B201,tblCustomers[CustomerID],tblCustomers[CustomerName],"Unmapped")</f>
        <v>Online Retailer D</v>
      </c>
      <c r="H201">
        <f t="shared" si="9"/>
        <v>30</v>
      </c>
      <c r="I201" s="1">
        <f t="shared" si="10"/>
        <v>27612.87</v>
      </c>
      <c r="J201" t="str">
        <f t="shared" ca="1" si="11"/>
        <v>Overdue</v>
      </c>
    </row>
    <row r="202" spans="1:10" x14ac:dyDescent="0.25">
      <c r="A202" t="s">
        <v>4878</v>
      </c>
      <c r="B202" t="s">
        <v>4563</v>
      </c>
      <c r="C202" s="3">
        <v>45517</v>
      </c>
      <c r="D202" s="3">
        <v>45547</v>
      </c>
      <c r="E202" s="1">
        <v>16562.900000000001</v>
      </c>
      <c r="F202" t="s">
        <v>4037</v>
      </c>
      <c r="G202" t="str">
        <f>_xlfn.XLOOKUP(B202,tblCustomers[CustomerID],tblCustomers[CustomerName],"Unmapped")</f>
        <v>Supermarket Chain B</v>
      </c>
      <c r="H202">
        <f t="shared" si="9"/>
        <v>30</v>
      </c>
      <c r="I202" s="1">
        <f t="shared" si="10"/>
        <v>0</v>
      </c>
      <c r="J202" t="str">
        <f t="shared" ca="1" si="11"/>
        <v>Paid</v>
      </c>
    </row>
    <row r="203" spans="1:10" x14ac:dyDescent="0.25">
      <c r="A203" t="s">
        <v>4602</v>
      </c>
      <c r="B203" t="s">
        <v>4555</v>
      </c>
      <c r="C203" s="3">
        <v>45518</v>
      </c>
      <c r="D203" s="3">
        <v>45548</v>
      </c>
      <c r="E203" s="1">
        <v>20740.48</v>
      </c>
      <c r="F203" t="s">
        <v>4037</v>
      </c>
      <c r="G203" t="str">
        <f>_xlfn.XLOOKUP(B203,tblCustomers[CustomerID],tblCustomers[CustomerName],"Unmapped")</f>
        <v>Gourmet Shop C</v>
      </c>
      <c r="H203">
        <f t="shared" si="9"/>
        <v>30</v>
      </c>
      <c r="I203" s="1">
        <f t="shared" si="10"/>
        <v>0</v>
      </c>
      <c r="J203" t="str">
        <f t="shared" ca="1" si="11"/>
        <v>Paid</v>
      </c>
    </row>
    <row r="204" spans="1:10" x14ac:dyDescent="0.25">
      <c r="A204" t="s">
        <v>4902</v>
      </c>
      <c r="B204" t="s">
        <v>4555</v>
      </c>
      <c r="C204" s="3">
        <v>45520</v>
      </c>
      <c r="D204" s="3">
        <v>45550</v>
      </c>
      <c r="E204" s="1">
        <v>19461.96</v>
      </c>
      <c r="F204" t="s">
        <v>4037</v>
      </c>
      <c r="G204" t="str">
        <f>_xlfn.XLOOKUP(B204,tblCustomers[CustomerID],tblCustomers[CustomerName],"Unmapped")</f>
        <v>Gourmet Shop C</v>
      </c>
      <c r="H204">
        <f t="shared" si="9"/>
        <v>30</v>
      </c>
      <c r="I204" s="1">
        <f t="shared" si="10"/>
        <v>0</v>
      </c>
      <c r="J204" t="str">
        <f t="shared" ca="1" si="11"/>
        <v>Paid</v>
      </c>
    </row>
    <row r="205" spans="1:10" x14ac:dyDescent="0.25">
      <c r="A205" t="s">
        <v>4568</v>
      </c>
      <c r="B205" t="s">
        <v>4552</v>
      </c>
      <c r="C205" s="3">
        <v>45523</v>
      </c>
      <c r="D205" s="3">
        <v>45553</v>
      </c>
      <c r="E205" s="1">
        <v>12286.76</v>
      </c>
      <c r="F205" t="s">
        <v>4037</v>
      </c>
      <c r="G205" t="str">
        <f>_xlfn.XLOOKUP(B205,tblCustomers[CustomerID],tblCustomers[CustomerName],"Unmapped")</f>
        <v>Online Retailer D</v>
      </c>
      <c r="H205">
        <f t="shared" si="9"/>
        <v>30</v>
      </c>
      <c r="I205" s="1">
        <f t="shared" si="10"/>
        <v>0</v>
      </c>
      <c r="J205" t="str">
        <f t="shared" ca="1" si="11"/>
        <v>Paid</v>
      </c>
    </row>
    <row r="206" spans="1:10" x14ac:dyDescent="0.25">
      <c r="A206" t="s">
        <v>4642</v>
      </c>
      <c r="B206" t="s">
        <v>4555</v>
      </c>
      <c r="C206" s="3">
        <v>45523</v>
      </c>
      <c r="D206" s="3">
        <v>45553</v>
      </c>
      <c r="E206" s="1">
        <v>43725.61</v>
      </c>
      <c r="F206" t="s">
        <v>4040</v>
      </c>
      <c r="G206" t="str">
        <f>_xlfn.XLOOKUP(B206,tblCustomers[CustomerID],tblCustomers[CustomerName],"Unmapped")</f>
        <v>Gourmet Shop C</v>
      </c>
      <c r="H206">
        <f t="shared" si="9"/>
        <v>30</v>
      </c>
      <c r="I206" s="1">
        <f t="shared" si="10"/>
        <v>43725.61</v>
      </c>
      <c r="J206" t="str">
        <f t="shared" ca="1" si="11"/>
        <v>Overdue</v>
      </c>
    </row>
    <row r="207" spans="1:10" x14ac:dyDescent="0.25">
      <c r="A207" t="s">
        <v>4788</v>
      </c>
      <c r="B207" t="s">
        <v>4559</v>
      </c>
      <c r="C207" s="3">
        <v>45526</v>
      </c>
      <c r="D207" s="3">
        <v>45556</v>
      </c>
      <c r="E207" s="1">
        <v>24031.62</v>
      </c>
      <c r="F207" t="s">
        <v>4040</v>
      </c>
      <c r="G207" t="str">
        <f>_xlfn.XLOOKUP(B207,tblCustomers[CustomerID],tblCustomers[CustomerName],"Unmapped")</f>
        <v>Hotel Group E</v>
      </c>
      <c r="H207">
        <f t="shared" si="9"/>
        <v>30</v>
      </c>
      <c r="I207" s="1">
        <f t="shared" si="10"/>
        <v>24031.62</v>
      </c>
      <c r="J207" t="str">
        <f t="shared" ca="1" si="11"/>
        <v>Overdue</v>
      </c>
    </row>
    <row r="208" spans="1:10" x14ac:dyDescent="0.25">
      <c r="A208" t="s">
        <v>4935</v>
      </c>
      <c r="B208" t="s">
        <v>4563</v>
      </c>
      <c r="C208" s="3">
        <v>45535</v>
      </c>
      <c r="D208" s="3">
        <v>45565</v>
      </c>
      <c r="E208" s="1">
        <v>30529.49</v>
      </c>
      <c r="F208" t="s">
        <v>4037</v>
      </c>
      <c r="G208" t="str">
        <f>_xlfn.XLOOKUP(B208,tblCustomers[CustomerID],tblCustomers[CustomerName],"Unmapped")</f>
        <v>Supermarket Chain B</v>
      </c>
      <c r="H208">
        <f t="shared" si="9"/>
        <v>30</v>
      </c>
      <c r="I208" s="1">
        <f t="shared" si="10"/>
        <v>0</v>
      </c>
      <c r="J208" t="str">
        <f t="shared" ca="1" si="11"/>
        <v>Paid</v>
      </c>
    </row>
    <row r="209" spans="1:10" x14ac:dyDescent="0.25">
      <c r="A209" t="s">
        <v>4877</v>
      </c>
      <c r="B209" t="s">
        <v>4561</v>
      </c>
      <c r="C209" s="3">
        <v>45540</v>
      </c>
      <c r="D209" s="3">
        <v>45570</v>
      </c>
      <c r="E209" s="1">
        <v>4168.7700000000004</v>
      </c>
      <c r="F209" t="s">
        <v>4037</v>
      </c>
      <c r="G209" t="str">
        <f>_xlfn.XLOOKUP(B209,tblCustomers[CustomerID],tblCustomers[CustomerName],"Unmapped")</f>
        <v>Retail Giant A</v>
      </c>
      <c r="H209">
        <f t="shared" si="9"/>
        <v>30</v>
      </c>
      <c r="I209" s="1">
        <f t="shared" si="10"/>
        <v>0</v>
      </c>
      <c r="J209" t="str">
        <f t="shared" ca="1" si="11"/>
        <v>Paid</v>
      </c>
    </row>
    <row r="210" spans="1:10" x14ac:dyDescent="0.25">
      <c r="A210" t="s">
        <v>4740</v>
      </c>
      <c r="B210" t="s">
        <v>4559</v>
      </c>
      <c r="C210" s="3">
        <v>45542</v>
      </c>
      <c r="D210" s="3">
        <v>45572</v>
      </c>
      <c r="E210" s="1">
        <v>23821.82</v>
      </c>
      <c r="F210" t="s">
        <v>4037</v>
      </c>
      <c r="G210" t="str">
        <f>_xlfn.XLOOKUP(B210,tblCustomers[CustomerID],tblCustomers[CustomerName],"Unmapped")</f>
        <v>Hotel Group E</v>
      </c>
      <c r="H210">
        <f t="shared" si="9"/>
        <v>30</v>
      </c>
      <c r="I210" s="1">
        <f t="shared" si="10"/>
        <v>0</v>
      </c>
      <c r="J210" t="str">
        <f t="shared" ca="1" si="11"/>
        <v>Paid</v>
      </c>
    </row>
    <row r="211" spans="1:10" x14ac:dyDescent="0.25">
      <c r="A211" t="s">
        <v>4923</v>
      </c>
      <c r="B211" t="s">
        <v>4555</v>
      </c>
      <c r="C211" s="3">
        <v>45546</v>
      </c>
      <c r="D211" s="3">
        <v>45576</v>
      </c>
      <c r="E211" s="1">
        <v>33314.22</v>
      </c>
      <c r="F211" t="s">
        <v>4037</v>
      </c>
      <c r="G211" t="str">
        <f>_xlfn.XLOOKUP(B211,tblCustomers[CustomerID],tblCustomers[CustomerName],"Unmapped")</f>
        <v>Gourmet Shop C</v>
      </c>
      <c r="H211">
        <f t="shared" si="9"/>
        <v>30</v>
      </c>
      <c r="I211" s="1">
        <f t="shared" si="10"/>
        <v>0</v>
      </c>
      <c r="J211" t="str">
        <f t="shared" ca="1" si="11"/>
        <v>Paid</v>
      </c>
    </row>
    <row r="212" spans="1:10" x14ac:dyDescent="0.25">
      <c r="A212" t="s">
        <v>4681</v>
      </c>
      <c r="B212" t="s">
        <v>4559</v>
      </c>
      <c r="C212" s="3">
        <v>45552</v>
      </c>
      <c r="D212" s="3">
        <v>45582</v>
      </c>
      <c r="E212" s="1">
        <v>29262.06</v>
      </c>
      <c r="F212" t="s">
        <v>4037</v>
      </c>
      <c r="G212" t="str">
        <f>_xlfn.XLOOKUP(B212,tblCustomers[CustomerID],tblCustomers[CustomerName],"Unmapped")</f>
        <v>Hotel Group E</v>
      </c>
      <c r="H212">
        <f t="shared" si="9"/>
        <v>30</v>
      </c>
      <c r="I212" s="1">
        <f t="shared" si="10"/>
        <v>0</v>
      </c>
      <c r="J212" t="str">
        <f t="shared" ca="1" si="11"/>
        <v>Paid</v>
      </c>
    </row>
    <row r="213" spans="1:10" x14ac:dyDescent="0.25">
      <c r="A213" t="s">
        <v>4815</v>
      </c>
      <c r="B213" t="s">
        <v>4552</v>
      </c>
      <c r="C213" s="3">
        <v>45560</v>
      </c>
      <c r="D213" s="3">
        <v>45590</v>
      </c>
      <c r="E213" s="1">
        <v>41345.69</v>
      </c>
      <c r="F213" t="s">
        <v>4037</v>
      </c>
      <c r="G213" t="str">
        <f>_xlfn.XLOOKUP(B213,tblCustomers[CustomerID],tblCustomers[CustomerName],"Unmapped")</f>
        <v>Online Retailer D</v>
      </c>
      <c r="H213">
        <f t="shared" si="9"/>
        <v>30</v>
      </c>
      <c r="I213" s="1">
        <f t="shared" si="10"/>
        <v>0</v>
      </c>
      <c r="J213" t="str">
        <f t="shared" ca="1" si="11"/>
        <v>Paid</v>
      </c>
    </row>
    <row r="214" spans="1:10" x14ac:dyDescent="0.25">
      <c r="A214" t="s">
        <v>4993</v>
      </c>
      <c r="B214" t="s">
        <v>4559</v>
      </c>
      <c r="C214" s="3">
        <v>45563</v>
      </c>
      <c r="D214" s="3">
        <v>45593</v>
      </c>
      <c r="E214" s="1">
        <v>25925.45</v>
      </c>
      <c r="F214" t="s">
        <v>4037</v>
      </c>
      <c r="G214" t="str">
        <f>_xlfn.XLOOKUP(B214,tblCustomers[CustomerID],tblCustomers[CustomerName],"Unmapped")</f>
        <v>Hotel Group E</v>
      </c>
      <c r="H214">
        <f t="shared" si="9"/>
        <v>30</v>
      </c>
      <c r="I214" s="1">
        <f t="shared" si="10"/>
        <v>0</v>
      </c>
      <c r="J214" t="str">
        <f t="shared" ca="1" si="11"/>
        <v>Paid</v>
      </c>
    </row>
    <row r="215" spans="1:10" x14ac:dyDescent="0.25">
      <c r="A215" t="s">
        <v>4890</v>
      </c>
      <c r="B215" t="s">
        <v>4561</v>
      </c>
      <c r="C215" s="3">
        <v>45564</v>
      </c>
      <c r="D215" s="3">
        <v>45594</v>
      </c>
      <c r="E215" s="1">
        <v>14881.23</v>
      </c>
      <c r="F215" t="s">
        <v>4037</v>
      </c>
      <c r="G215" t="str">
        <f>_xlfn.XLOOKUP(B215,tblCustomers[CustomerID],tblCustomers[CustomerName],"Unmapped")</f>
        <v>Retail Giant A</v>
      </c>
      <c r="H215">
        <f t="shared" si="9"/>
        <v>30</v>
      </c>
      <c r="I215" s="1">
        <f t="shared" si="10"/>
        <v>0</v>
      </c>
      <c r="J215" t="str">
        <f t="shared" ca="1" si="11"/>
        <v>Paid</v>
      </c>
    </row>
    <row r="216" spans="1:10" x14ac:dyDescent="0.25">
      <c r="A216" t="s">
        <v>4622</v>
      </c>
      <c r="B216" t="s">
        <v>4555</v>
      </c>
      <c r="C216" s="3">
        <v>45567</v>
      </c>
      <c r="D216" s="3">
        <v>45597</v>
      </c>
      <c r="E216" s="1">
        <v>23562.59</v>
      </c>
      <c r="F216" t="s">
        <v>4037</v>
      </c>
      <c r="G216" t="str">
        <f>_xlfn.XLOOKUP(B216,tblCustomers[CustomerID],tblCustomers[CustomerName],"Unmapped")</f>
        <v>Gourmet Shop C</v>
      </c>
      <c r="H216">
        <f t="shared" si="9"/>
        <v>30</v>
      </c>
      <c r="I216" s="1">
        <f t="shared" si="10"/>
        <v>0</v>
      </c>
      <c r="J216" t="str">
        <f t="shared" ca="1" si="11"/>
        <v>Paid</v>
      </c>
    </row>
    <row r="217" spans="1:10" x14ac:dyDescent="0.25">
      <c r="A217" t="s">
        <v>4901</v>
      </c>
      <c r="B217" t="s">
        <v>4561</v>
      </c>
      <c r="C217" s="3">
        <v>45567</v>
      </c>
      <c r="D217" s="3">
        <v>45597</v>
      </c>
      <c r="E217" s="1">
        <v>11916.53</v>
      </c>
      <c r="F217" t="s">
        <v>4037</v>
      </c>
      <c r="G217" t="str">
        <f>_xlfn.XLOOKUP(B217,tblCustomers[CustomerID],tblCustomers[CustomerName],"Unmapped")</f>
        <v>Retail Giant A</v>
      </c>
      <c r="H217">
        <f t="shared" si="9"/>
        <v>30</v>
      </c>
      <c r="I217" s="1">
        <f t="shared" si="10"/>
        <v>0</v>
      </c>
      <c r="J217" t="str">
        <f t="shared" ca="1" si="11"/>
        <v>Paid</v>
      </c>
    </row>
    <row r="218" spans="1:10" x14ac:dyDescent="0.25">
      <c r="A218" t="s">
        <v>4741</v>
      </c>
      <c r="B218" t="s">
        <v>4559</v>
      </c>
      <c r="C218" s="3">
        <v>45568</v>
      </c>
      <c r="D218" s="3">
        <v>45598</v>
      </c>
      <c r="E218" s="1">
        <v>25095.41</v>
      </c>
      <c r="F218" t="s">
        <v>4037</v>
      </c>
      <c r="G218" t="str">
        <f>_xlfn.XLOOKUP(B218,tblCustomers[CustomerID],tblCustomers[CustomerName],"Unmapped")</f>
        <v>Hotel Group E</v>
      </c>
      <c r="H218">
        <f t="shared" si="9"/>
        <v>30</v>
      </c>
      <c r="I218" s="1">
        <f t="shared" si="10"/>
        <v>0</v>
      </c>
      <c r="J218" t="str">
        <f t="shared" ca="1" si="11"/>
        <v>Paid</v>
      </c>
    </row>
    <row r="219" spans="1:10" x14ac:dyDescent="0.25">
      <c r="A219" t="s">
        <v>4807</v>
      </c>
      <c r="B219" t="s">
        <v>4559</v>
      </c>
      <c r="C219" s="3">
        <v>45568</v>
      </c>
      <c r="D219" s="3">
        <v>45598</v>
      </c>
      <c r="E219" s="1">
        <v>20025.5</v>
      </c>
      <c r="F219" t="s">
        <v>4037</v>
      </c>
      <c r="G219" t="str">
        <f>_xlfn.XLOOKUP(B219,tblCustomers[CustomerID],tblCustomers[CustomerName],"Unmapped")</f>
        <v>Hotel Group E</v>
      </c>
      <c r="H219">
        <f t="shared" si="9"/>
        <v>30</v>
      </c>
      <c r="I219" s="1">
        <f t="shared" si="10"/>
        <v>0</v>
      </c>
      <c r="J219" t="str">
        <f t="shared" ca="1" si="11"/>
        <v>Paid</v>
      </c>
    </row>
    <row r="220" spans="1:10" x14ac:dyDescent="0.25">
      <c r="A220" t="s">
        <v>4738</v>
      </c>
      <c r="B220" t="s">
        <v>4559</v>
      </c>
      <c r="C220" s="3">
        <v>45569</v>
      </c>
      <c r="D220" s="3">
        <v>45599</v>
      </c>
      <c r="E220" s="1">
        <v>11404.94</v>
      </c>
      <c r="F220" t="s">
        <v>4037</v>
      </c>
      <c r="G220" t="str">
        <f>_xlfn.XLOOKUP(B220,tblCustomers[CustomerID],tblCustomers[CustomerName],"Unmapped")</f>
        <v>Hotel Group E</v>
      </c>
      <c r="H220">
        <f t="shared" si="9"/>
        <v>30</v>
      </c>
      <c r="I220" s="1">
        <f t="shared" si="10"/>
        <v>0</v>
      </c>
      <c r="J220" t="str">
        <f t="shared" ca="1" si="11"/>
        <v>Paid</v>
      </c>
    </row>
    <row r="221" spans="1:10" x14ac:dyDescent="0.25">
      <c r="A221" t="s">
        <v>4893</v>
      </c>
      <c r="B221" t="s">
        <v>4561</v>
      </c>
      <c r="C221" s="3">
        <v>45570</v>
      </c>
      <c r="D221" s="3">
        <v>45600</v>
      </c>
      <c r="E221" s="1">
        <v>19971.87</v>
      </c>
      <c r="F221" t="s">
        <v>4037</v>
      </c>
      <c r="G221" t="str">
        <f>_xlfn.XLOOKUP(B221,tblCustomers[CustomerID],tblCustomers[CustomerName],"Unmapped")</f>
        <v>Retail Giant A</v>
      </c>
      <c r="H221">
        <f t="shared" si="9"/>
        <v>30</v>
      </c>
      <c r="I221" s="1">
        <f t="shared" si="10"/>
        <v>0</v>
      </c>
      <c r="J221" t="str">
        <f t="shared" ca="1" si="11"/>
        <v>Paid</v>
      </c>
    </row>
    <row r="222" spans="1:10" x14ac:dyDescent="0.25">
      <c r="A222" t="s">
        <v>4650</v>
      </c>
      <c r="B222" t="s">
        <v>4561</v>
      </c>
      <c r="C222" s="3">
        <v>45572</v>
      </c>
      <c r="D222" s="3">
        <v>45602</v>
      </c>
      <c r="E222" s="1">
        <v>16606.37</v>
      </c>
      <c r="F222" t="s">
        <v>4040</v>
      </c>
      <c r="G222" t="str">
        <f>_xlfn.XLOOKUP(B222,tblCustomers[CustomerID],tblCustomers[CustomerName],"Unmapped")</f>
        <v>Retail Giant A</v>
      </c>
      <c r="H222">
        <f t="shared" si="9"/>
        <v>30</v>
      </c>
      <c r="I222" s="1">
        <f t="shared" si="10"/>
        <v>16606.37</v>
      </c>
      <c r="J222" t="str">
        <f t="shared" ca="1" si="11"/>
        <v>Overdue</v>
      </c>
    </row>
    <row r="223" spans="1:10" x14ac:dyDescent="0.25">
      <c r="A223" t="s">
        <v>5035</v>
      </c>
      <c r="B223" t="s">
        <v>4559</v>
      </c>
      <c r="C223" s="3">
        <v>45576</v>
      </c>
      <c r="D223" s="3">
        <v>45606</v>
      </c>
      <c r="E223" s="1">
        <v>16087.04</v>
      </c>
      <c r="F223" t="s">
        <v>4037</v>
      </c>
      <c r="G223" t="str">
        <f>_xlfn.XLOOKUP(B223,tblCustomers[CustomerID],tblCustomers[CustomerName],"Unmapped")</f>
        <v>Hotel Group E</v>
      </c>
      <c r="H223">
        <f t="shared" si="9"/>
        <v>30</v>
      </c>
      <c r="I223" s="1">
        <f t="shared" si="10"/>
        <v>0</v>
      </c>
      <c r="J223" t="str">
        <f t="shared" ca="1" si="11"/>
        <v>Paid</v>
      </c>
    </row>
    <row r="224" spans="1:10" x14ac:dyDescent="0.25">
      <c r="A224" t="s">
        <v>5016</v>
      </c>
      <c r="B224" t="s">
        <v>4561</v>
      </c>
      <c r="C224" s="3">
        <v>45580</v>
      </c>
      <c r="D224" s="3">
        <v>45610</v>
      </c>
      <c r="E224" s="1">
        <v>27101.200000000001</v>
      </c>
      <c r="F224" t="s">
        <v>4040</v>
      </c>
      <c r="G224" t="str">
        <f>_xlfn.XLOOKUP(B224,tblCustomers[CustomerID],tblCustomers[CustomerName],"Unmapped")</f>
        <v>Retail Giant A</v>
      </c>
      <c r="H224">
        <f t="shared" si="9"/>
        <v>30</v>
      </c>
      <c r="I224" s="1">
        <f t="shared" si="10"/>
        <v>27101.200000000001</v>
      </c>
      <c r="J224" t="str">
        <f t="shared" ca="1" si="11"/>
        <v>Overdue</v>
      </c>
    </row>
    <row r="225" spans="1:10" x14ac:dyDescent="0.25">
      <c r="A225" t="s">
        <v>4672</v>
      </c>
      <c r="B225" t="s">
        <v>4552</v>
      </c>
      <c r="C225" s="3">
        <v>45581</v>
      </c>
      <c r="D225" s="3">
        <v>45611</v>
      </c>
      <c r="E225" s="1">
        <v>29025.13</v>
      </c>
      <c r="F225" t="s">
        <v>4037</v>
      </c>
      <c r="G225" t="str">
        <f>_xlfn.XLOOKUP(B225,tblCustomers[CustomerID],tblCustomers[CustomerName],"Unmapped")</f>
        <v>Online Retailer D</v>
      </c>
      <c r="H225">
        <f t="shared" si="9"/>
        <v>30</v>
      </c>
      <c r="I225" s="1">
        <f t="shared" si="10"/>
        <v>0</v>
      </c>
      <c r="J225" t="str">
        <f t="shared" ca="1" si="11"/>
        <v>Paid</v>
      </c>
    </row>
    <row r="226" spans="1:10" x14ac:dyDescent="0.25">
      <c r="A226" t="s">
        <v>4996</v>
      </c>
      <c r="B226" t="s">
        <v>4559</v>
      </c>
      <c r="C226" s="3">
        <v>45583</v>
      </c>
      <c r="D226" s="3">
        <v>45613</v>
      </c>
      <c r="E226" s="1">
        <v>32646.84</v>
      </c>
      <c r="F226" t="s">
        <v>4037</v>
      </c>
      <c r="G226" t="str">
        <f>_xlfn.XLOOKUP(B226,tblCustomers[CustomerID],tblCustomers[CustomerName],"Unmapped")</f>
        <v>Hotel Group E</v>
      </c>
      <c r="H226">
        <f t="shared" si="9"/>
        <v>30</v>
      </c>
      <c r="I226" s="1">
        <f t="shared" si="10"/>
        <v>0</v>
      </c>
      <c r="J226" t="str">
        <f t="shared" ca="1" si="11"/>
        <v>Paid</v>
      </c>
    </row>
    <row r="227" spans="1:10" x14ac:dyDescent="0.25">
      <c r="A227" t="s">
        <v>4910</v>
      </c>
      <c r="B227" t="s">
        <v>4561</v>
      </c>
      <c r="C227" s="3">
        <v>45587</v>
      </c>
      <c r="D227" s="3">
        <v>45617</v>
      </c>
      <c r="E227" s="1">
        <v>13926.88</v>
      </c>
      <c r="F227" t="s">
        <v>4037</v>
      </c>
      <c r="G227" t="str">
        <f>_xlfn.XLOOKUP(B227,tblCustomers[CustomerID],tblCustomers[CustomerName],"Unmapped")</f>
        <v>Retail Giant A</v>
      </c>
      <c r="H227">
        <f t="shared" si="9"/>
        <v>30</v>
      </c>
      <c r="I227" s="1">
        <f t="shared" si="10"/>
        <v>0</v>
      </c>
      <c r="J227" t="str">
        <f t="shared" ca="1" si="11"/>
        <v>Paid</v>
      </c>
    </row>
    <row r="228" spans="1:10" x14ac:dyDescent="0.25">
      <c r="A228" t="s">
        <v>4658</v>
      </c>
      <c r="B228" t="s">
        <v>4559</v>
      </c>
      <c r="C228" s="3">
        <v>45588</v>
      </c>
      <c r="D228" s="3">
        <v>45618</v>
      </c>
      <c r="E228" s="1">
        <v>28598.18</v>
      </c>
      <c r="F228" t="s">
        <v>4037</v>
      </c>
      <c r="G228" t="str">
        <f>_xlfn.XLOOKUP(B228,tblCustomers[CustomerID],tblCustomers[CustomerName],"Unmapped")</f>
        <v>Hotel Group E</v>
      </c>
      <c r="H228">
        <f t="shared" si="9"/>
        <v>30</v>
      </c>
      <c r="I228" s="1">
        <f t="shared" si="10"/>
        <v>0</v>
      </c>
      <c r="J228" t="str">
        <f t="shared" ca="1" si="11"/>
        <v>Paid</v>
      </c>
    </row>
    <row r="229" spans="1:10" x14ac:dyDescent="0.25">
      <c r="A229" t="s">
        <v>4936</v>
      </c>
      <c r="B229" t="s">
        <v>4559</v>
      </c>
      <c r="C229" s="3">
        <v>45589</v>
      </c>
      <c r="D229" s="3">
        <v>45619</v>
      </c>
      <c r="E229" s="1">
        <v>39916.22</v>
      </c>
      <c r="F229" t="s">
        <v>4037</v>
      </c>
      <c r="G229" t="str">
        <f>_xlfn.XLOOKUP(B229,tblCustomers[CustomerID],tblCustomers[CustomerName],"Unmapped")</f>
        <v>Hotel Group E</v>
      </c>
      <c r="H229">
        <f t="shared" si="9"/>
        <v>30</v>
      </c>
      <c r="I229" s="1">
        <f t="shared" si="10"/>
        <v>0</v>
      </c>
      <c r="J229" t="str">
        <f t="shared" ca="1" si="11"/>
        <v>Paid</v>
      </c>
    </row>
    <row r="230" spans="1:10" x14ac:dyDescent="0.25">
      <c r="A230" t="s">
        <v>4683</v>
      </c>
      <c r="B230" t="s">
        <v>4561</v>
      </c>
      <c r="C230" s="3">
        <v>45595</v>
      </c>
      <c r="D230" s="3">
        <v>45625</v>
      </c>
      <c r="E230" s="1">
        <v>23030.04</v>
      </c>
      <c r="F230" t="s">
        <v>4040</v>
      </c>
      <c r="G230" t="str">
        <f>_xlfn.XLOOKUP(B230,tblCustomers[CustomerID],tblCustomers[CustomerName],"Unmapped")</f>
        <v>Retail Giant A</v>
      </c>
      <c r="H230">
        <f t="shared" si="9"/>
        <v>30</v>
      </c>
      <c r="I230" s="1">
        <f t="shared" si="10"/>
        <v>23030.04</v>
      </c>
      <c r="J230" t="str">
        <f t="shared" ca="1" si="11"/>
        <v>Overdue</v>
      </c>
    </row>
    <row r="231" spans="1:10" x14ac:dyDescent="0.25">
      <c r="A231" t="s">
        <v>4684</v>
      </c>
      <c r="B231" t="s">
        <v>4552</v>
      </c>
      <c r="C231" s="3">
        <v>45604</v>
      </c>
      <c r="D231" s="3">
        <v>45634</v>
      </c>
      <c r="E231" s="1">
        <v>7835.55</v>
      </c>
      <c r="F231" t="s">
        <v>4037</v>
      </c>
      <c r="G231" t="str">
        <f>_xlfn.XLOOKUP(B231,tblCustomers[CustomerID],tblCustomers[CustomerName],"Unmapped")</f>
        <v>Online Retailer D</v>
      </c>
      <c r="H231">
        <f t="shared" si="9"/>
        <v>30</v>
      </c>
      <c r="I231" s="1">
        <f t="shared" si="10"/>
        <v>0</v>
      </c>
      <c r="J231" t="str">
        <f t="shared" ca="1" si="11"/>
        <v>Paid</v>
      </c>
    </row>
    <row r="232" spans="1:10" x14ac:dyDescent="0.25">
      <c r="A232" t="s">
        <v>4850</v>
      </c>
      <c r="B232" t="s">
        <v>4563</v>
      </c>
      <c r="C232" s="3">
        <v>45605</v>
      </c>
      <c r="D232" s="3">
        <v>45635</v>
      </c>
      <c r="E232" s="1">
        <v>33581.96</v>
      </c>
      <c r="F232" t="s">
        <v>4037</v>
      </c>
      <c r="G232" t="str">
        <f>_xlfn.XLOOKUP(B232,tblCustomers[CustomerID],tblCustomers[CustomerName],"Unmapped")</f>
        <v>Supermarket Chain B</v>
      </c>
      <c r="H232">
        <f t="shared" si="9"/>
        <v>30</v>
      </c>
      <c r="I232" s="1">
        <f t="shared" si="10"/>
        <v>0</v>
      </c>
      <c r="J232" t="str">
        <f t="shared" ca="1" si="11"/>
        <v>Paid</v>
      </c>
    </row>
    <row r="233" spans="1:10" x14ac:dyDescent="0.25">
      <c r="A233" t="s">
        <v>4556</v>
      </c>
      <c r="B233" t="s">
        <v>4552</v>
      </c>
      <c r="C233" s="3">
        <v>45610</v>
      </c>
      <c r="D233" s="3">
        <v>45640</v>
      </c>
      <c r="E233" s="1">
        <v>38399.269999999997</v>
      </c>
      <c r="F233" t="s">
        <v>4037</v>
      </c>
      <c r="G233" t="str">
        <f>_xlfn.XLOOKUP(B233,tblCustomers[CustomerID],tblCustomers[CustomerName],"Unmapped")</f>
        <v>Online Retailer D</v>
      </c>
      <c r="H233">
        <f t="shared" si="9"/>
        <v>30</v>
      </c>
      <c r="I233" s="1">
        <f t="shared" si="10"/>
        <v>0</v>
      </c>
      <c r="J233" t="str">
        <f t="shared" ca="1" si="11"/>
        <v>Paid</v>
      </c>
    </row>
    <row r="234" spans="1:10" x14ac:dyDescent="0.25">
      <c r="A234" t="s">
        <v>4636</v>
      </c>
      <c r="B234" t="s">
        <v>4559</v>
      </c>
      <c r="C234" s="3">
        <v>45613</v>
      </c>
      <c r="D234" s="3">
        <v>45643</v>
      </c>
      <c r="E234" s="1">
        <v>44978.6</v>
      </c>
      <c r="F234" t="s">
        <v>4040</v>
      </c>
      <c r="G234" t="str">
        <f>_xlfn.XLOOKUP(B234,tblCustomers[CustomerID],tblCustomers[CustomerName],"Unmapped")</f>
        <v>Hotel Group E</v>
      </c>
      <c r="H234">
        <f t="shared" si="9"/>
        <v>30</v>
      </c>
      <c r="I234" s="1">
        <f t="shared" si="10"/>
        <v>44978.6</v>
      </c>
      <c r="J234" t="str">
        <f t="shared" ca="1" si="11"/>
        <v>Overdue</v>
      </c>
    </row>
    <row r="235" spans="1:10" x14ac:dyDescent="0.25">
      <c r="A235" t="s">
        <v>4608</v>
      </c>
      <c r="B235" t="s">
        <v>4555</v>
      </c>
      <c r="C235" s="3">
        <v>45619</v>
      </c>
      <c r="D235" s="3">
        <v>45649</v>
      </c>
      <c r="E235" s="1">
        <v>46557.19</v>
      </c>
      <c r="F235" t="s">
        <v>4037</v>
      </c>
      <c r="G235" t="str">
        <f>_xlfn.XLOOKUP(B235,tblCustomers[CustomerID],tblCustomers[CustomerName],"Unmapped")</f>
        <v>Gourmet Shop C</v>
      </c>
      <c r="H235">
        <f t="shared" si="9"/>
        <v>30</v>
      </c>
      <c r="I235" s="1">
        <f t="shared" si="10"/>
        <v>0</v>
      </c>
      <c r="J235" t="str">
        <f t="shared" ca="1" si="11"/>
        <v>Paid</v>
      </c>
    </row>
    <row r="236" spans="1:10" x14ac:dyDescent="0.25">
      <c r="A236" t="s">
        <v>4854</v>
      </c>
      <c r="B236" t="s">
        <v>4555</v>
      </c>
      <c r="C236" s="3">
        <v>45619</v>
      </c>
      <c r="D236" s="3">
        <v>45649</v>
      </c>
      <c r="E236" s="1">
        <v>31571.96</v>
      </c>
      <c r="F236" t="s">
        <v>4037</v>
      </c>
      <c r="G236" t="str">
        <f>_xlfn.XLOOKUP(B236,tblCustomers[CustomerID],tblCustomers[CustomerName],"Unmapped")</f>
        <v>Gourmet Shop C</v>
      </c>
      <c r="H236">
        <f t="shared" si="9"/>
        <v>30</v>
      </c>
      <c r="I236" s="1">
        <f t="shared" si="10"/>
        <v>0</v>
      </c>
      <c r="J236" t="str">
        <f t="shared" ca="1" si="11"/>
        <v>Paid</v>
      </c>
    </row>
    <row r="237" spans="1:10" x14ac:dyDescent="0.25">
      <c r="A237" t="s">
        <v>4828</v>
      </c>
      <c r="B237" t="s">
        <v>4563</v>
      </c>
      <c r="C237" s="3">
        <v>45620</v>
      </c>
      <c r="D237" s="3">
        <v>45650</v>
      </c>
      <c r="E237" s="1">
        <v>19159.57</v>
      </c>
      <c r="F237" t="s">
        <v>4040</v>
      </c>
      <c r="G237" t="str">
        <f>_xlfn.XLOOKUP(B237,tblCustomers[CustomerID],tblCustomers[CustomerName],"Unmapped")</f>
        <v>Supermarket Chain B</v>
      </c>
      <c r="H237">
        <f t="shared" si="9"/>
        <v>30</v>
      </c>
      <c r="I237" s="1">
        <f t="shared" si="10"/>
        <v>19159.57</v>
      </c>
      <c r="J237" t="str">
        <f t="shared" ca="1" si="11"/>
        <v>Overdue</v>
      </c>
    </row>
    <row r="238" spans="1:10" x14ac:dyDescent="0.25">
      <c r="A238" t="s">
        <v>4928</v>
      </c>
      <c r="B238" t="s">
        <v>4561</v>
      </c>
      <c r="C238" s="3">
        <v>45624</v>
      </c>
      <c r="D238" s="3">
        <v>45654</v>
      </c>
      <c r="E238" s="1">
        <v>26685.22</v>
      </c>
      <c r="F238" t="s">
        <v>4040</v>
      </c>
      <c r="G238" t="str">
        <f>_xlfn.XLOOKUP(B238,tblCustomers[CustomerID],tblCustomers[CustomerName],"Unmapped")</f>
        <v>Retail Giant A</v>
      </c>
      <c r="H238">
        <f t="shared" si="9"/>
        <v>30</v>
      </c>
      <c r="I238" s="1">
        <f t="shared" si="10"/>
        <v>26685.22</v>
      </c>
      <c r="J238" t="str">
        <f t="shared" ca="1" si="11"/>
        <v>Overdue</v>
      </c>
    </row>
    <row r="239" spans="1:10" x14ac:dyDescent="0.25">
      <c r="A239" t="s">
        <v>4577</v>
      </c>
      <c r="B239" t="s">
        <v>4561</v>
      </c>
      <c r="C239" s="3">
        <v>45627</v>
      </c>
      <c r="D239" s="3">
        <v>45657</v>
      </c>
      <c r="E239" s="1">
        <v>37381.089999999997</v>
      </c>
      <c r="F239" t="s">
        <v>4037</v>
      </c>
      <c r="G239" t="str">
        <f>_xlfn.XLOOKUP(B239,tblCustomers[CustomerID],tblCustomers[CustomerName],"Unmapped")</f>
        <v>Retail Giant A</v>
      </c>
      <c r="H239">
        <f t="shared" si="9"/>
        <v>30</v>
      </c>
      <c r="I239" s="1">
        <f t="shared" si="10"/>
        <v>0</v>
      </c>
      <c r="J239" t="str">
        <f t="shared" ca="1" si="11"/>
        <v>Paid</v>
      </c>
    </row>
    <row r="240" spans="1:10" x14ac:dyDescent="0.25">
      <c r="A240" t="s">
        <v>4711</v>
      </c>
      <c r="B240" t="s">
        <v>4555</v>
      </c>
      <c r="C240" s="3">
        <v>45629</v>
      </c>
      <c r="D240" s="3">
        <v>45659</v>
      </c>
      <c r="E240" s="1">
        <v>44785.53</v>
      </c>
      <c r="F240" t="s">
        <v>4037</v>
      </c>
      <c r="G240" t="str">
        <f>_xlfn.XLOOKUP(B240,tblCustomers[CustomerID],tblCustomers[CustomerName],"Unmapped")</f>
        <v>Gourmet Shop C</v>
      </c>
      <c r="H240">
        <f t="shared" si="9"/>
        <v>30</v>
      </c>
      <c r="I240" s="1">
        <f t="shared" si="10"/>
        <v>0</v>
      </c>
      <c r="J240" t="str">
        <f t="shared" ca="1" si="11"/>
        <v>Paid</v>
      </c>
    </row>
    <row r="241" spans="1:10" x14ac:dyDescent="0.25">
      <c r="A241" t="s">
        <v>4884</v>
      </c>
      <c r="B241" t="s">
        <v>4555</v>
      </c>
      <c r="C241" s="3">
        <v>45630</v>
      </c>
      <c r="D241" s="3">
        <v>45660</v>
      </c>
      <c r="E241" s="1">
        <v>38597.79</v>
      </c>
      <c r="F241" t="s">
        <v>4037</v>
      </c>
      <c r="G241" t="str">
        <f>_xlfn.XLOOKUP(B241,tblCustomers[CustomerID],tblCustomers[CustomerName],"Unmapped")</f>
        <v>Gourmet Shop C</v>
      </c>
      <c r="H241">
        <f t="shared" si="9"/>
        <v>30</v>
      </c>
      <c r="I241" s="1">
        <f t="shared" si="10"/>
        <v>0</v>
      </c>
      <c r="J241" t="str">
        <f t="shared" ca="1" si="11"/>
        <v>Paid</v>
      </c>
    </row>
    <row r="242" spans="1:10" x14ac:dyDescent="0.25">
      <c r="A242" t="s">
        <v>4566</v>
      </c>
      <c r="B242" t="s">
        <v>4563</v>
      </c>
      <c r="C242" s="3">
        <v>45633</v>
      </c>
      <c r="D242" s="3">
        <v>45663</v>
      </c>
      <c r="E242" s="1">
        <v>12755.27</v>
      </c>
      <c r="F242" t="s">
        <v>4037</v>
      </c>
      <c r="G242" t="str">
        <f>_xlfn.XLOOKUP(B242,tblCustomers[CustomerID],tblCustomers[CustomerName],"Unmapped")</f>
        <v>Supermarket Chain B</v>
      </c>
      <c r="H242">
        <f t="shared" si="9"/>
        <v>30</v>
      </c>
      <c r="I242" s="1">
        <f t="shared" si="10"/>
        <v>0</v>
      </c>
      <c r="J242" t="str">
        <f t="shared" ca="1" si="11"/>
        <v>Paid</v>
      </c>
    </row>
    <row r="243" spans="1:10" x14ac:dyDescent="0.25">
      <c r="A243" t="s">
        <v>4876</v>
      </c>
      <c r="B243" t="s">
        <v>4563</v>
      </c>
      <c r="C243" s="3">
        <v>45634</v>
      </c>
      <c r="D243" s="3">
        <v>45664</v>
      </c>
      <c r="E243" s="1">
        <v>19805.98</v>
      </c>
      <c r="F243" t="s">
        <v>4037</v>
      </c>
      <c r="G243" t="str">
        <f>_xlfn.XLOOKUP(B243,tblCustomers[CustomerID],tblCustomers[CustomerName],"Unmapped")</f>
        <v>Supermarket Chain B</v>
      </c>
      <c r="H243">
        <f t="shared" si="9"/>
        <v>30</v>
      </c>
      <c r="I243" s="1">
        <f t="shared" si="10"/>
        <v>0</v>
      </c>
      <c r="J243" t="str">
        <f t="shared" ca="1" si="11"/>
        <v>Paid</v>
      </c>
    </row>
    <row r="244" spans="1:10" x14ac:dyDescent="0.25">
      <c r="A244" t="s">
        <v>4668</v>
      </c>
      <c r="B244" t="s">
        <v>4552</v>
      </c>
      <c r="C244" s="3">
        <v>45637</v>
      </c>
      <c r="D244" s="3">
        <v>45667</v>
      </c>
      <c r="E244" s="1">
        <v>5973.02</v>
      </c>
      <c r="F244" t="s">
        <v>4040</v>
      </c>
      <c r="G244" t="str">
        <f>_xlfn.XLOOKUP(B244,tblCustomers[CustomerID],tblCustomers[CustomerName],"Unmapped")</f>
        <v>Online Retailer D</v>
      </c>
      <c r="H244">
        <f t="shared" si="9"/>
        <v>30</v>
      </c>
      <c r="I244" s="1">
        <f t="shared" si="10"/>
        <v>5973.02</v>
      </c>
      <c r="J244" t="str">
        <f t="shared" ca="1" si="11"/>
        <v>Overdue</v>
      </c>
    </row>
    <row r="245" spans="1:10" x14ac:dyDescent="0.25">
      <c r="A245" t="s">
        <v>4730</v>
      </c>
      <c r="B245" t="s">
        <v>4552</v>
      </c>
      <c r="C245" s="3">
        <v>45638</v>
      </c>
      <c r="D245" s="3">
        <v>45668</v>
      </c>
      <c r="E245" s="1">
        <v>39428.67</v>
      </c>
      <c r="F245" t="s">
        <v>4037</v>
      </c>
      <c r="G245" t="str">
        <f>_xlfn.XLOOKUP(B245,tblCustomers[CustomerID],tblCustomers[CustomerName],"Unmapped")</f>
        <v>Online Retailer D</v>
      </c>
      <c r="H245">
        <f t="shared" si="9"/>
        <v>30</v>
      </c>
      <c r="I245" s="1">
        <f t="shared" si="10"/>
        <v>0</v>
      </c>
      <c r="J245" t="str">
        <f t="shared" ca="1" si="11"/>
        <v>Paid</v>
      </c>
    </row>
    <row r="246" spans="1:10" x14ac:dyDescent="0.25">
      <c r="A246" t="s">
        <v>4744</v>
      </c>
      <c r="B246" t="s">
        <v>4552</v>
      </c>
      <c r="C246" s="3">
        <v>45638</v>
      </c>
      <c r="D246" s="3">
        <v>45668</v>
      </c>
      <c r="E246" s="1">
        <v>3470.44</v>
      </c>
      <c r="F246" t="s">
        <v>4037</v>
      </c>
      <c r="G246" t="str">
        <f>_xlfn.XLOOKUP(B246,tblCustomers[CustomerID],tblCustomers[CustomerName],"Unmapped")</f>
        <v>Online Retailer D</v>
      </c>
      <c r="H246">
        <f t="shared" si="9"/>
        <v>30</v>
      </c>
      <c r="I246" s="1">
        <f t="shared" si="10"/>
        <v>0</v>
      </c>
      <c r="J246" t="str">
        <f t="shared" ca="1" si="11"/>
        <v>Paid</v>
      </c>
    </row>
    <row r="247" spans="1:10" x14ac:dyDescent="0.25">
      <c r="A247" t="s">
        <v>4840</v>
      </c>
      <c r="B247" t="s">
        <v>4559</v>
      </c>
      <c r="C247" s="3">
        <v>45642</v>
      </c>
      <c r="D247" s="3">
        <v>45672</v>
      </c>
      <c r="E247" s="1">
        <v>9202.68</v>
      </c>
      <c r="F247" t="s">
        <v>4037</v>
      </c>
      <c r="G247" t="str">
        <f>_xlfn.XLOOKUP(B247,tblCustomers[CustomerID],tblCustomers[CustomerName],"Unmapped")</f>
        <v>Hotel Group E</v>
      </c>
      <c r="H247">
        <f t="shared" si="9"/>
        <v>30</v>
      </c>
      <c r="I247" s="1">
        <f t="shared" si="10"/>
        <v>0</v>
      </c>
      <c r="J247" t="str">
        <f t="shared" ca="1" si="11"/>
        <v>Paid</v>
      </c>
    </row>
    <row r="248" spans="1:10" x14ac:dyDescent="0.25">
      <c r="A248" t="s">
        <v>4809</v>
      </c>
      <c r="B248" t="s">
        <v>4561</v>
      </c>
      <c r="C248" s="3">
        <v>45648</v>
      </c>
      <c r="D248" s="3">
        <v>45678</v>
      </c>
      <c r="E248" s="1">
        <v>4337.51</v>
      </c>
      <c r="F248" t="s">
        <v>4037</v>
      </c>
      <c r="G248" t="str">
        <f>_xlfn.XLOOKUP(B248,tblCustomers[CustomerID],tblCustomers[CustomerName],"Unmapped")</f>
        <v>Retail Giant A</v>
      </c>
      <c r="H248">
        <f t="shared" si="9"/>
        <v>30</v>
      </c>
      <c r="I248" s="1">
        <f t="shared" si="10"/>
        <v>0</v>
      </c>
      <c r="J248" t="str">
        <f t="shared" ca="1" si="11"/>
        <v>Paid</v>
      </c>
    </row>
    <row r="249" spans="1:10" x14ac:dyDescent="0.25">
      <c r="A249" t="s">
        <v>4837</v>
      </c>
      <c r="B249" t="s">
        <v>4561</v>
      </c>
      <c r="C249" s="3">
        <v>45650</v>
      </c>
      <c r="D249" s="3">
        <v>45680</v>
      </c>
      <c r="E249" s="1">
        <v>12873.25</v>
      </c>
      <c r="F249" t="s">
        <v>4037</v>
      </c>
      <c r="G249" t="str">
        <f>_xlfn.XLOOKUP(B249,tblCustomers[CustomerID],tblCustomers[CustomerName],"Unmapped")</f>
        <v>Retail Giant A</v>
      </c>
      <c r="H249">
        <f t="shared" si="9"/>
        <v>30</v>
      </c>
      <c r="I249" s="1">
        <f t="shared" si="10"/>
        <v>0</v>
      </c>
      <c r="J249" t="str">
        <f t="shared" ca="1" si="11"/>
        <v>Paid</v>
      </c>
    </row>
    <row r="250" spans="1:10" x14ac:dyDescent="0.25">
      <c r="A250" t="s">
        <v>4677</v>
      </c>
      <c r="B250" t="s">
        <v>4563</v>
      </c>
      <c r="C250" s="3">
        <v>45652</v>
      </c>
      <c r="D250" s="3">
        <v>45682</v>
      </c>
      <c r="E250" s="1">
        <v>49705.04</v>
      </c>
      <c r="F250" t="s">
        <v>4040</v>
      </c>
      <c r="G250" t="str">
        <f>_xlfn.XLOOKUP(B250,tblCustomers[CustomerID],tblCustomers[CustomerName],"Unmapped")</f>
        <v>Supermarket Chain B</v>
      </c>
      <c r="H250">
        <f t="shared" si="9"/>
        <v>30</v>
      </c>
      <c r="I250" s="1">
        <f t="shared" si="10"/>
        <v>49705.04</v>
      </c>
      <c r="J250" t="str">
        <f t="shared" ca="1" si="11"/>
        <v>Overdue</v>
      </c>
    </row>
    <row r="251" spans="1:10" x14ac:dyDescent="0.25">
      <c r="A251" t="s">
        <v>4701</v>
      </c>
      <c r="B251" t="s">
        <v>4555</v>
      </c>
      <c r="C251" s="3">
        <v>45662</v>
      </c>
      <c r="D251" s="3">
        <v>45692</v>
      </c>
      <c r="E251" s="1">
        <v>29708.86</v>
      </c>
      <c r="F251" t="s">
        <v>4037</v>
      </c>
      <c r="G251" t="str">
        <f>_xlfn.XLOOKUP(B251,tblCustomers[CustomerID],tblCustomers[CustomerName],"Unmapped")</f>
        <v>Gourmet Shop C</v>
      </c>
      <c r="H251">
        <f t="shared" si="9"/>
        <v>30</v>
      </c>
      <c r="I251" s="1">
        <f t="shared" si="10"/>
        <v>0</v>
      </c>
      <c r="J251" t="str">
        <f t="shared" ca="1" si="11"/>
        <v>Paid</v>
      </c>
    </row>
    <row r="252" spans="1:10" x14ac:dyDescent="0.25">
      <c r="A252" t="s">
        <v>4984</v>
      </c>
      <c r="B252" t="s">
        <v>4561</v>
      </c>
      <c r="C252" s="3">
        <v>45662</v>
      </c>
      <c r="D252" s="3">
        <v>45692</v>
      </c>
      <c r="E252" s="1">
        <v>27560.92</v>
      </c>
      <c r="F252" t="s">
        <v>4037</v>
      </c>
      <c r="G252" t="str">
        <f>_xlfn.XLOOKUP(B252,tblCustomers[CustomerID],tblCustomers[CustomerName],"Unmapped")</f>
        <v>Retail Giant A</v>
      </c>
      <c r="H252">
        <f t="shared" si="9"/>
        <v>30</v>
      </c>
      <c r="I252" s="1">
        <f t="shared" si="10"/>
        <v>0</v>
      </c>
      <c r="J252" t="str">
        <f t="shared" ca="1" si="11"/>
        <v>Paid</v>
      </c>
    </row>
    <row r="253" spans="1:10" x14ac:dyDescent="0.25">
      <c r="A253" t="s">
        <v>4795</v>
      </c>
      <c r="B253" t="s">
        <v>4563</v>
      </c>
      <c r="C253" s="3">
        <v>45666</v>
      </c>
      <c r="D253" s="3">
        <v>45696</v>
      </c>
      <c r="E253" s="1">
        <v>32261.73</v>
      </c>
      <c r="F253" t="s">
        <v>4037</v>
      </c>
      <c r="G253" t="str">
        <f>_xlfn.XLOOKUP(B253,tblCustomers[CustomerID],tblCustomers[CustomerName],"Unmapped")</f>
        <v>Supermarket Chain B</v>
      </c>
      <c r="H253">
        <f t="shared" si="9"/>
        <v>30</v>
      </c>
      <c r="I253" s="1">
        <f t="shared" si="10"/>
        <v>0</v>
      </c>
      <c r="J253" t="str">
        <f t="shared" ca="1" si="11"/>
        <v>Paid</v>
      </c>
    </row>
    <row r="254" spans="1:10" x14ac:dyDescent="0.25">
      <c r="A254" t="s">
        <v>4965</v>
      </c>
      <c r="B254" t="s">
        <v>4559</v>
      </c>
      <c r="C254" s="3">
        <v>45667</v>
      </c>
      <c r="D254" s="3">
        <v>45697</v>
      </c>
      <c r="E254" s="1">
        <v>6023.32</v>
      </c>
      <c r="F254" t="s">
        <v>4037</v>
      </c>
      <c r="G254" t="str">
        <f>_xlfn.XLOOKUP(B254,tblCustomers[CustomerID],tblCustomers[CustomerName],"Unmapped")</f>
        <v>Hotel Group E</v>
      </c>
      <c r="H254">
        <f t="shared" si="9"/>
        <v>30</v>
      </c>
      <c r="I254" s="1">
        <f t="shared" si="10"/>
        <v>0</v>
      </c>
      <c r="J254" t="str">
        <f t="shared" ca="1" si="11"/>
        <v>Paid</v>
      </c>
    </row>
    <row r="255" spans="1:10" x14ac:dyDescent="0.25">
      <c r="A255" t="s">
        <v>4946</v>
      </c>
      <c r="B255" t="s">
        <v>4559</v>
      </c>
      <c r="C255" s="3">
        <v>45668</v>
      </c>
      <c r="D255" s="3">
        <v>45698</v>
      </c>
      <c r="E255" s="1">
        <v>12533.11</v>
      </c>
      <c r="F255" t="s">
        <v>4037</v>
      </c>
      <c r="G255" t="str">
        <f>_xlfn.XLOOKUP(B255,tblCustomers[CustomerID],tblCustomers[CustomerName],"Unmapped")</f>
        <v>Hotel Group E</v>
      </c>
      <c r="H255">
        <f t="shared" si="9"/>
        <v>30</v>
      </c>
      <c r="I255" s="1">
        <f t="shared" si="10"/>
        <v>0</v>
      </c>
      <c r="J255" t="str">
        <f t="shared" ca="1" si="11"/>
        <v>Paid</v>
      </c>
    </row>
    <row r="256" spans="1:10" x14ac:dyDescent="0.25">
      <c r="A256" t="s">
        <v>4680</v>
      </c>
      <c r="B256" t="s">
        <v>4563</v>
      </c>
      <c r="C256" s="3">
        <v>45671</v>
      </c>
      <c r="D256" s="3">
        <v>45701</v>
      </c>
      <c r="E256" s="1">
        <v>38033.9</v>
      </c>
      <c r="F256" t="s">
        <v>4037</v>
      </c>
      <c r="G256" t="str">
        <f>_xlfn.XLOOKUP(B256,tblCustomers[CustomerID],tblCustomers[CustomerName],"Unmapped")</f>
        <v>Supermarket Chain B</v>
      </c>
      <c r="H256">
        <f t="shared" si="9"/>
        <v>30</v>
      </c>
      <c r="I256" s="1">
        <f t="shared" si="10"/>
        <v>0</v>
      </c>
      <c r="J256" t="str">
        <f t="shared" ca="1" si="11"/>
        <v>Paid</v>
      </c>
    </row>
    <row r="257" spans="1:10" x14ac:dyDescent="0.25">
      <c r="A257" t="s">
        <v>4699</v>
      </c>
      <c r="B257" t="s">
        <v>4559</v>
      </c>
      <c r="C257" s="3">
        <v>45671</v>
      </c>
      <c r="D257" s="3">
        <v>45701</v>
      </c>
      <c r="E257" s="1">
        <v>20787.810000000001</v>
      </c>
      <c r="F257" t="s">
        <v>4037</v>
      </c>
      <c r="G257" t="str">
        <f>_xlfn.XLOOKUP(B257,tblCustomers[CustomerID],tblCustomers[CustomerName],"Unmapped")</f>
        <v>Hotel Group E</v>
      </c>
      <c r="H257">
        <f t="shared" si="9"/>
        <v>30</v>
      </c>
      <c r="I257" s="1">
        <f t="shared" si="10"/>
        <v>0</v>
      </c>
      <c r="J257" t="str">
        <f t="shared" ca="1" si="11"/>
        <v>Paid</v>
      </c>
    </row>
    <row r="258" spans="1:10" x14ac:dyDescent="0.25">
      <c r="A258" t="s">
        <v>4570</v>
      </c>
      <c r="B258" t="s">
        <v>4563</v>
      </c>
      <c r="C258" s="3">
        <v>45673</v>
      </c>
      <c r="D258" s="3">
        <v>45703</v>
      </c>
      <c r="E258" s="1">
        <v>38220.910000000003</v>
      </c>
      <c r="F258" t="s">
        <v>4037</v>
      </c>
      <c r="G258" t="str">
        <f>_xlfn.XLOOKUP(B258,tblCustomers[CustomerID],tblCustomers[CustomerName],"Unmapped")</f>
        <v>Supermarket Chain B</v>
      </c>
      <c r="H258">
        <f t="shared" ref="H258:H321" si="12">D258-C258</f>
        <v>30</v>
      </c>
      <c r="I258" s="1">
        <f t="shared" ref="I258:I321" si="13">IF(F258="Unpaid",E258,0)</f>
        <v>0</v>
      </c>
      <c r="J258" t="str">
        <f t="shared" ref="J258:J321" ca="1" si="14">IF(F258="Paid","Paid",IF(D258&lt;TODAY(),"Overdue","Open"))</f>
        <v>Paid</v>
      </c>
    </row>
    <row r="259" spans="1:10" x14ac:dyDescent="0.25">
      <c r="A259" t="s">
        <v>4782</v>
      </c>
      <c r="B259" t="s">
        <v>4552</v>
      </c>
      <c r="C259" s="3">
        <v>45679</v>
      </c>
      <c r="D259" s="3">
        <v>45709</v>
      </c>
      <c r="E259" s="1">
        <v>12964.8</v>
      </c>
      <c r="F259" t="s">
        <v>4037</v>
      </c>
      <c r="G259" t="str">
        <f>_xlfn.XLOOKUP(B259,tblCustomers[CustomerID],tblCustomers[CustomerName],"Unmapped")</f>
        <v>Online Retailer D</v>
      </c>
      <c r="H259">
        <f t="shared" si="12"/>
        <v>30</v>
      </c>
      <c r="I259" s="1">
        <f t="shared" si="13"/>
        <v>0</v>
      </c>
      <c r="J259" t="str">
        <f t="shared" ca="1" si="14"/>
        <v>Paid</v>
      </c>
    </row>
    <row r="260" spans="1:10" x14ac:dyDescent="0.25">
      <c r="A260" t="s">
        <v>4973</v>
      </c>
      <c r="B260" t="s">
        <v>4563</v>
      </c>
      <c r="C260" s="3">
        <v>45680</v>
      </c>
      <c r="D260" s="3">
        <v>45710</v>
      </c>
      <c r="E260" s="1">
        <v>41218.36</v>
      </c>
      <c r="F260" t="s">
        <v>4037</v>
      </c>
      <c r="G260" t="str">
        <f>_xlfn.XLOOKUP(B260,tblCustomers[CustomerID],tblCustomers[CustomerName],"Unmapped")</f>
        <v>Supermarket Chain B</v>
      </c>
      <c r="H260">
        <f t="shared" si="12"/>
        <v>30</v>
      </c>
      <c r="I260" s="1">
        <f t="shared" si="13"/>
        <v>0</v>
      </c>
      <c r="J260" t="str">
        <f t="shared" ca="1" si="14"/>
        <v>Paid</v>
      </c>
    </row>
    <row r="261" spans="1:10" x14ac:dyDescent="0.25">
      <c r="A261" t="s">
        <v>4723</v>
      </c>
      <c r="B261" t="s">
        <v>4552</v>
      </c>
      <c r="C261" s="3">
        <v>45683</v>
      </c>
      <c r="D261" s="3">
        <v>45713</v>
      </c>
      <c r="E261" s="1">
        <v>10770.28</v>
      </c>
      <c r="F261" t="s">
        <v>4040</v>
      </c>
      <c r="G261" t="str">
        <f>_xlfn.XLOOKUP(B261,tblCustomers[CustomerID],tblCustomers[CustomerName],"Unmapped")</f>
        <v>Online Retailer D</v>
      </c>
      <c r="H261">
        <f t="shared" si="12"/>
        <v>30</v>
      </c>
      <c r="I261" s="1">
        <f t="shared" si="13"/>
        <v>10770.28</v>
      </c>
      <c r="J261" t="str">
        <f t="shared" ca="1" si="14"/>
        <v>Overdue</v>
      </c>
    </row>
    <row r="262" spans="1:10" x14ac:dyDescent="0.25">
      <c r="A262" t="s">
        <v>4816</v>
      </c>
      <c r="B262" t="s">
        <v>4555</v>
      </c>
      <c r="C262" s="3">
        <v>45688</v>
      </c>
      <c r="D262" s="3">
        <v>45718</v>
      </c>
      <c r="E262" s="1">
        <v>49599.07</v>
      </c>
      <c r="F262" t="s">
        <v>4040</v>
      </c>
      <c r="G262" t="str">
        <f>_xlfn.XLOOKUP(B262,tblCustomers[CustomerID],tblCustomers[CustomerName],"Unmapped")</f>
        <v>Gourmet Shop C</v>
      </c>
      <c r="H262">
        <f t="shared" si="12"/>
        <v>30</v>
      </c>
      <c r="I262" s="1">
        <f t="shared" si="13"/>
        <v>49599.07</v>
      </c>
      <c r="J262" t="str">
        <f t="shared" ca="1" si="14"/>
        <v>Overdue</v>
      </c>
    </row>
    <row r="263" spans="1:10" x14ac:dyDescent="0.25">
      <c r="A263" t="s">
        <v>4934</v>
      </c>
      <c r="B263" t="s">
        <v>4563</v>
      </c>
      <c r="C263" s="3">
        <v>45688</v>
      </c>
      <c r="D263" s="3">
        <v>45718</v>
      </c>
      <c r="E263" s="1">
        <v>37201.08</v>
      </c>
      <c r="F263" t="s">
        <v>4037</v>
      </c>
      <c r="G263" t="str">
        <f>_xlfn.XLOOKUP(B263,tblCustomers[CustomerID],tblCustomers[CustomerName],"Unmapped")</f>
        <v>Supermarket Chain B</v>
      </c>
      <c r="H263">
        <f t="shared" si="12"/>
        <v>30</v>
      </c>
      <c r="I263" s="1">
        <f t="shared" si="13"/>
        <v>0</v>
      </c>
      <c r="J263" t="str">
        <f t="shared" ca="1" si="14"/>
        <v>Paid</v>
      </c>
    </row>
    <row r="264" spans="1:10" x14ac:dyDescent="0.25">
      <c r="A264" t="s">
        <v>4985</v>
      </c>
      <c r="B264" t="s">
        <v>4561</v>
      </c>
      <c r="C264" s="3">
        <v>45692</v>
      </c>
      <c r="D264" s="3">
        <v>45722</v>
      </c>
      <c r="E264" s="1">
        <v>16905.75</v>
      </c>
      <c r="F264" t="s">
        <v>4037</v>
      </c>
      <c r="G264" t="str">
        <f>_xlfn.XLOOKUP(B264,tblCustomers[CustomerID],tblCustomers[CustomerName],"Unmapped")</f>
        <v>Retail Giant A</v>
      </c>
      <c r="H264">
        <f t="shared" si="12"/>
        <v>30</v>
      </c>
      <c r="I264" s="1">
        <f t="shared" si="13"/>
        <v>0</v>
      </c>
      <c r="J264" t="str">
        <f t="shared" ca="1" si="14"/>
        <v>Paid</v>
      </c>
    </row>
    <row r="265" spans="1:10" x14ac:dyDescent="0.25">
      <c r="A265" t="s">
        <v>4999</v>
      </c>
      <c r="B265" t="s">
        <v>4552</v>
      </c>
      <c r="C265" s="3">
        <v>45696</v>
      </c>
      <c r="D265" s="3">
        <v>45726</v>
      </c>
      <c r="E265" s="1">
        <v>14125.27</v>
      </c>
      <c r="F265" t="s">
        <v>4037</v>
      </c>
      <c r="G265" t="str">
        <f>_xlfn.XLOOKUP(B265,tblCustomers[CustomerID],tblCustomers[CustomerName],"Unmapped")</f>
        <v>Online Retailer D</v>
      </c>
      <c r="H265">
        <f t="shared" si="12"/>
        <v>30</v>
      </c>
      <c r="I265" s="1">
        <f t="shared" si="13"/>
        <v>0</v>
      </c>
      <c r="J265" t="str">
        <f t="shared" ca="1" si="14"/>
        <v>Paid</v>
      </c>
    </row>
    <row r="266" spans="1:10" x14ac:dyDescent="0.25">
      <c r="A266" t="s">
        <v>4885</v>
      </c>
      <c r="B266" t="s">
        <v>4555</v>
      </c>
      <c r="C266" s="3">
        <v>45699</v>
      </c>
      <c r="D266" s="3">
        <v>45729</v>
      </c>
      <c r="E266" s="1">
        <v>30945.86</v>
      </c>
      <c r="F266" t="s">
        <v>4037</v>
      </c>
      <c r="G266" t="str">
        <f>_xlfn.XLOOKUP(B266,tblCustomers[CustomerID],tblCustomers[CustomerName],"Unmapped")</f>
        <v>Gourmet Shop C</v>
      </c>
      <c r="H266">
        <f t="shared" si="12"/>
        <v>30</v>
      </c>
      <c r="I266" s="1">
        <f t="shared" si="13"/>
        <v>0</v>
      </c>
      <c r="J266" t="str">
        <f t="shared" ca="1" si="14"/>
        <v>Paid</v>
      </c>
    </row>
    <row r="267" spans="1:10" x14ac:dyDescent="0.25">
      <c r="A267" t="s">
        <v>4592</v>
      </c>
      <c r="B267" t="s">
        <v>4555</v>
      </c>
      <c r="C267" s="3">
        <v>45707</v>
      </c>
      <c r="D267" s="3">
        <v>45737</v>
      </c>
      <c r="E267" s="1">
        <v>18324.34</v>
      </c>
      <c r="F267" t="s">
        <v>4040</v>
      </c>
      <c r="G267" t="str">
        <f>_xlfn.XLOOKUP(B267,tblCustomers[CustomerID],tblCustomers[CustomerName],"Unmapped")</f>
        <v>Gourmet Shop C</v>
      </c>
      <c r="H267">
        <f t="shared" si="12"/>
        <v>30</v>
      </c>
      <c r="I267" s="1">
        <f t="shared" si="13"/>
        <v>18324.34</v>
      </c>
      <c r="J267" t="str">
        <f t="shared" ca="1" si="14"/>
        <v>Overdue</v>
      </c>
    </row>
    <row r="268" spans="1:10" x14ac:dyDescent="0.25">
      <c r="A268" t="s">
        <v>4897</v>
      </c>
      <c r="B268" t="s">
        <v>4559</v>
      </c>
      <c r="C268" s="3">
        <v>45710</v>
      </c>
      <c r="D268" s="3">
        <v>45740</v>
      </c>
      <c r="E268" s="1">
        <v>33527.08</v>
      </c>
      <c r="F268" t="s">
        <v>4037</v>
      </c>
      <c r="G268" t="str">
        <f>_xlfn.XLOOKUP(B268,tblCustomers[CustomerID],tblCustomers[CustomerName],"Unmapped")</f>
        <v>Hotel Group E</v>
      </c>
      <c r="H268">
        <f t="shared" si="12"/>
        <v>30</v>
      </c>
      <c r="I268" s="1">
        <f t="shared" si="13"/>
        <v>0</v>
      </c>
      <c r="J268" t="str">
        <f t="shared" ca="1" si="14"/>
        <v>Paid</v>
      </c>
    </row>
    <row r="269" spans="1:10" x14ac:dyDescent="0.25">
      <c r="A269" t="s">
        <v>4773</v>
      </c>
      <c r="B269" t="s">
        <v>4555</v>
      </c>
      <c r="C269" s="3">
        <v>45711</v>
      </c>
      <c r="D269" s="3">
        <v>45741</v>
      </c>
      <c r="E269" s="1">
        <v>30407.79</v>
      </c>
      <c r="F269" t="s">
        <v>4037</v>
      </c>
      <c r="G269" t="str">
        <f>_xlfn.XLOOKUP(B269,tblCustomers[CustomerID],tblCustomers[CustomerName],"Unmapped")</f>
        <v>Gourmet Shop C</v>
      </c>
      <c r="H269">
        <f t="shared" si="12"/>
        <v>30</v>
      </c>
      <c r="I269" s="1">
        <f t="shared" si="13"/>
        <v>0</v>
      </c>
      <c r="J269" t="str">
        <f t="shared" ca="1" si="14"/>
        <v>Paid</v>
      </c>
    </row>
    <row r="270" spans="1:10" x14ac:dyDescent="0.25">
      <c r="A270" t="s">
        <v>4919</v>
      </c>
      <c r="B270" t="s">
        <v>4563</v>
      </c>
      <c r="C270" s="3">
        <v>45712</v>
      </c>
      <c r="D270" s="3">
        <v>45742</v>
      </c>
      <c r="E270" s="1">
        <v>7962.39</v>
      </c>
      <c r="F270" t="s">
        <v>4037</v>
      </c>
      <c r="G270" t="str">
        <f>_xlfn.XLOOKUP(B270,tblCustomers[CustomerID],tblCustomers[CustomerName],"Unmapped")</f>
        <v>Supermarket Chain B</v>
      </c>
      <c r="H270">
        <f t="shared" si="12"/>
        <v>30</v>
      </c>
      <c r="I270" s="1">
        <f t="shared" si="13"/>
        <v>0</v>
      </c>
      <c r="J270" t="str">
        <f t="shared" ca="1" si="14"/>
        <v>Paid</v>
      </c>
    </row>
    <row r="271" spans="1:10" x14ac:dyDescent="0.25">
      <c r="A271" t="s">
        <v>4982</v>
      </c>
      <c r="B271" t="s">
        <v>4555</v>
      </c>
      <c r="C271" s="3">
        <v>45715</v>
      </c>
      <c r="D271" s="3">
        <v>45745</v>
      </c>
      <c r="E271" s="1">
        <v>18361.830000000002</v>
      </c>
      <c r="F271" t="s">
        <v>4040</v>
      </c>
      <c r="G271" t="str">
        <f>_xlfn.XLOOKUP(B271,tblCustomers[CustomerID],tblCustomers[CustomerName],"Unmapped")</f>
        <v>Gourmet Shop C</v>
      </c>
      <c r="H271">
        <f t="shared" si="12"/>
        <v>30</v>
      </c>
      <c r="I271" s="1">
        <f t="shared" si="13"/>
        <v>18361.830000000002</v>
      </c>
      <c r="J271" t="str">
        <f t="shared" ca="1" si="14"/>
        <v>Overdue</v>
      </c>
    </row>
    <row r="272" spans="1:10" x14ac:dyDescent="0.25">
      <c r="A272" t="s">
        <v>5002</v>
      </c>
      <c r="B272" t="s">
        <v>4561</v>
      </c>
      <c r="C272" s="3">
        <v>45720</v>
      </c>
      <c r="D272" s="3">
        <v>45750</v>
      </c>
      <c r="E272" s="1">
        <v>19872.169999999998</v>
      </c>
      <c r="F272" t="s">
        <v>4037</v>
      </c>
      <c r="G272" t="str">
        <f>_xlfn.XLOOKUP(B272,tblCustomers[CustomerID],tblCustomers[CustomerName],"Unmapped")</f>
        <v>Retail Giant A</v>
      </c>
      <c r="H272">
        <f t="shared" si="12"/>
        <v>30</v>
      </c>
      <c r="I272" s="1">
        <f t="shared" si="13"/>
        <v>0</v>
      </c>
      <c r="J272" t="str">
        <f t="shared" ca="1" si="14"/>
        <v>Paid</v>
      </c>
    </row>
    <row r="273" spans="1:10" x14ac:dyDescent="0.25">
      <c r="A273" t="s">
        <v>4739</v>
      </c>
      <c r="B273" t="s">
        <v>4555</v>
      </c>
      <c r="C273" s="3">
        <v>45728</v>
      </c>
      <c r="D273" s="3">
        <v>45758</v>
      </c>
      <c r="E273" s="1">
        <v>24363.47</v>
      </c>
      <c r="F273" t="s">
        <v>4037</v>
      </c>
      <c r="G273" t="str">
        <f>_xlfn.XLOOKUP(B273,tblCustomers[CustomerID],tblCustomers[CustomerName],"Unmapped")</f>
        <v>Gourmet Shop C</v>
      </c>
      <c r="H273">
        <f t="shared" si="12"/>
        <v>30</v>
      </c>
      <c r="I273" s="1">
        <f t="shared" si="13"/>
        <v>0</v>
      </c>
      <c r="J273" t="str">
        <f t="shared" ca="1" si="14"/>
        <v>Paid</v>
      </c>
    </row>
    <row r="274" spans="1:10" x14ac:dyDescent="0.25">
      <c r="A274" t="s">
        <v>4619</v>
      </c>
      <c r="B274" t="s">
        <v>4552</v>
      </c>
      <c r="C274" s="3">
        <v>45733</v>
      </c>
      <c r="D274" s="3">
        <v>45763</v>
      </c>
      <c r="E274" s="1">
        <v>16563.46</v>
      </c>
      <c r="F274" t="s">
        <v>4037</v>
      </c>
      <c r="G274" t="str">
        <f>_xlfn.XLOOKUP(B274,tblCustomers[CustomerID],tblCustomers[CustomerName],"Unmapped")</f>
        <v>Online Retailer D</v>
      </c>
      <c r="H274">
        <f t="shared" si="12"/>
        <v>30</v>
      </c>
      <c r="I274" s="1">
        <f t="shared" si="13"/>
        <v>0</v>
      </c>
      <c r="J274" t="str">
        <f t="shared" ca="1" si="14"/>
        <v>Paid</v>
      </c>
    </row>
    <row r="275" spans="1:10" x14ac:dyDescent="0.25">
      <c r="A275" t="s">
        <v>4932</v>
      </c>
      <c r="B275" t="s">
        <v>4552</v>
      </c>
      <c r="C275" s="3">
        <v>45734</v>
      </c>
      <c r="D275" s="3">
        <v>45764</v>
      </c>
      <c r="E275" s="1">
        <v>4628.05</v>
      </c>
      <c r="F275" t="s">
        <v>4037</v>
      </c>
      <c r="G275" t="str">
        <f>_xlfn.XLOOKUP(B275,tblCustomers[CustomerID],tblCustomers[CustomerName],"Unmapped")</f>
        <v>Online Retailer D</v>
      </c>
      <c r="H275">
        <f t="shared" si="12"/>
        <v>30</v>
      </c>
      <c r="I275" s="1">
        <f t="shared" si="13"/>
        <v>0</v>
      </c>
      <c r="J275" t="str">
        <f t="shared" ca="1" si="14"/>
        <v>Paid</v>
      </c>
    </row>
    <row r="276" spans="1:10" x14ac:dyDescent="0.25">
      <c r="A276" t="s">
        <v>4943</v>
      </c>
      <c r="B276" t="s">
        <v>4559</v>
      </c>
      <c r="C276" s="3">
        <v>45738</v>
      </c>
      <c r="D276" s="3">
        <v>45768</v>
      </c>
      <c r="E276" s="1">
        <v>36732.07</v>
      </c>
      <c r="F276" t="s">
        <v>4037</v>
      </c>
      <c r="G276" t="str">
        <f>_xlfn.XLOOKUP(B276,tblCustomers[CustomerID],tblCustomers[CustomerName],"Unmapped")</f>
        <v>Hotel Group E</v>
      </c>
      <c r="H276">
        <f t="shared" si="12"/>
        <v>30</v>
      </c>
      <c r="I276" s="1">
        <f t="shared" si="13"/>
        <v>0</v>
      </c>
      <c r="J276" t="str">
        <f t="shared" ca="1" si="14"/>
        <v>Paid</v>
      </c>
    </row>
    <row r="277" spans="1:10" x14ac:dyDescent="0.25">
      <c r="A277" t="s">
        <v>4969</v>
      </c>
      <c r="B277" t="s">
        <v>4552</v>
      </c>
      <c r="C277" s="3">
        <v>45742</v>
      </c>
      <c r="D277" s="3">
        <v>45772</v>
      </c>
      <c r="E277" s="1">
        <v>28785.360000000001</v>
      </c>
      <c r="F277" t="s">
        <v>4037</v>
      </c>
      <c r="G277" t="str">
        <f>_xlfn.XLOOKUP(B277,tblCustomers[CustomerID],tblCustomers[CustomerName],"Unmapped")</f>
        <v>Online Retailer D</v>
      </c>
      <c r="H277">
        <f t="shared" si="12"/>
        <v>30</v>
      </c>
      <c r="I277" s="1">
        <f t="shared" si="13"/>
        <v>0</v>
      </c>
      <c r="J277" t="str">
        <f t="shared" ca="1" si="14"/>
        <v>Paid</v>
      </c>
    </row>
    <row r="278" spans="1:10" x14ac:dyDescent="0.25">
      <c r="A278" t="s">
        <v>4799</v>
      </c>
      <c r="B278" t="s">
        <v>4555</v>
      </c>
      <c r="C278" s="3">
        <v>45743</v>
      </c>
      <c r="D278" s="3">
        <v>45773</v>
      </c>
      <c r="E278" s="1">
        <v>48957.64</v>
      </c>
      <c r="F278" t="s">
        <v>4037</v>
      </c>
      <c r="G278" t="str">
        <f>_xlfn.XLOOKUP(B278,tblCustomers[CustomerID],tblCustomers[CustomerName],"Unmapped")</f>
        <v>Gourmet Shop C</v>
      </c>
      <c r="H278">
        <f t="shared" si="12"/>
        <v>30</v>
      </c>
      <c r="I278" s="1">
        <f t="shared" si="13"/>
        <v>0</v>
      </c>
      <c r="J278" t="str">
        <f t="shared" ca="1" si="14"/>
        <v>Paid</v>
      </c>
    </row>
    <row r="279" spans="1:10" x14ac:dyDescent="0.25">
      <c r="A279" t="s">
        <v>4869</v>
      </c>
      <c r="B279" t="s">
        <v>4555</v>
      </c>
      <c r="C279" s="3">
        <v>45744</v>
      </c>
      <c r="D279" s="3">
        <v>45774</v>
      </c>
      <c r="E279" s="1">
        <v>47062.3</v>
      </c>
      <c r="F279" t="s">
        <v>4037</v>
      </c>
      <c r="G279" t="str">
        <f>_xlfn.XLOOKUP(B279,tblCustomers[CustomerID],tblCustomers[CustomerName],"Unmapped")</f>
        <v>Gourmet Shop C</v>
      </c>
      <c r="H279">
        <f t="shared" si="12"/>
        <v>30</v>
      </c>
      <c r="I279" s="1">
        <f t="shared" si="13"/>
        <v>0</v>
      </c>
      <c r="J279" t="str">
        <f t="shared" ca="1" si="14"/>
        <v>Paid</v>
      </c>
    </row>
    <row r="280" spans="1:10" x14ac:dyDescent="0.25">
      <c r="A280" t="s">
        <v>4848</v>
      </c>
      <c r="B280" t="s">
        <v>4559</v>
      </c>
      <c r="C280" s="3">
        <v>45748</v>
      </c>
      <c r="D280" s="3">
        <v>45778</v>
      </c>
      <c r="E280" s="1">
        <v>33320.870000000003</v>
      </c>
      <c r="F280" t="s">
        <v>4037</v>
      </c>
      <c r="G280" t="str">
        <f>_xlfn.XLOOKUP(B280,tblCustomers[CustomerID],tblCustomers[CustomerName],"Unmapped")</f>
        <v>Hotel Group E</v>
      </c>
      <c r="H280">
        <f t="shared" si="12"/>
        <v>30</v>
      </c>
      <c r="I280" s="1">
        <f t="shared" si="13"/>
        <v>0</v>
      </c>
      <c r="J280" t="str">
        <f t="shared" ca="1" si="14"/>
        <v>Paid</v>
      </c>
    </row>
    <row r="281" spans="1:10" x14ac:dyDescent="0.25">
      <c r="A281" t="s">
        <v>4627</v>
      </c>
      <c r="B281" t="s">
        <v>4559</v>
      </c>
      <c r="C281" s="3">
        <v>45754</v>
      </c>
      <c r="D281" s="3">
        <v>45784</v>
      </c>
      <c r="E281" s="1">
        <v>41643.39</v>
      </c>
      <c r="F281" t="s">
        <v>4037</v>
      </c>
      <c r="G281" t="str">
        <f>_xlfn.XLOOKUP(B281,tblCustomers[CustomerID],tblCustomers[CustomerName],"Unmapped")</f>
        <v>Hotel Group E</v>
      </c>
      <c r="H281">
        <f t="shared" si="12"/>
        <v>30</v>
      </c>
      <c r="I281" s="1">
        <f t="shared" si="13"/>
        <v>0</v>
      </c>
      <c r="J281" t="str">
        <f t="shared" ca="1" si="14"/>
        <v>Paid</v>
      </c>
    </row>
    <row r="282" spans="1:10" x14ac:dyDescent="0.25">
      <c r="A282" t="s">
        <v>4913</v>
      </c>
      <c r="B282" t="s">
        <v>4552</v>
      </c>
      <c r="C282" s="3">
        <v>45754</v>
      </c>
      <c r="D282" s="3">
        <v>45784</v>
      </c>
      <c r="E282" s="1">
        <v>43416</v>
      </c>
      <c r="F282" t="s">
        <v>4037</v>
      </c>
      <c r="G282" t="str">
        <f>_xlfn.XLOOKUP(B282,tblCustomers[CustomerID],tblCustomers[CustomerName],"Unmapped")</f>
        <v>Online Retailer D</v>
      </c>
      <c r="H282">
        <f t="shared" si="12"/>
        <v>30</v>
      </c>
      <c r="I282" s="1">
        <f t="shared" si="13"/>
        <v>0</v>
      </c>
      <c r="J282" t="str">
        <f t="shared" ca="1" si="14"/>
        <v>Paid</v>
      </c>
    </row>
    <row r="283" spans="1:10" x14ac:dyDescent="0.25">
      <c r="A283" t="s">
        <v>4954</v>
      </c>
      <c r="B283" t="s">
        <v>4552</v>
      </c>
      <c r="C283" s="3">
        <v>45754</v>
      </c>
      <c r="D283" s="3">
        <v>45784</v>
      </c>
      <c r="E283" s="1">
        <v>13590.41</v>
      </c>
      <c r="F283" t="s">
        <v>4037</v>
      </c>
      <c r="G283" t="str">
        <f>_xlfn.XLOOKUP(B283,tblCustomers[CustomerID],tblCustomers[CustomerName],"Unmapped")</f>
        <v>Online Retailer D</v>
      </c>
      <c r="H283">
        <f t="shared" si="12"/>
        <v>30</v>
      </c>
      <c r="I283" s="1">
        <f t="shared" si="13"/>
        <v>0</v>
      </c>
      <c r="J283" t="str">
        <f t="shared" ca="1" si="14"/>
        <v>Paid</v>
      </c>
    </row>
    <row r="284" spans="1:10" x14ac:dyDescent="0.25">
      <c r="A284" t="s">
        <v>4957</v>
      </c>
      <c r="B284" t="s">
        <v>4555</v>
      </c>
      <c r="C284" s="3">
        <v>45761</v>
      </c>
      <c r="D284" s="3">
        <v>45791</v>
      </c>
      <c r="E284" s="1">
        <v>12128.12</v>
      </c>
      <c r="F284" t="s">
        <v>4037</v>
      </c>
      <c r="G284" t="str">
        <f>_xlfn.XLOOKUP(B284,tblCustomers[CustomerID],tblCustomers[CustomerName],"Unmapped")</f>
        <v>Gourmet Shop C</v>
      </c>
      <c r="H284">
        <f t="shared" si="12"/>
        <v>30</v>
      </c>
      <c r="I284" s="1">
        <f t="shared" si="13"/>
        <v>0</v>
      </c>
      <c r="J284" t="str">
        <f t="shared" ca="1" si="14"/>
        <v>Paid</v>
      </c>
    </row>
    <row r="285" spans="1:10" x14ac:dyDescent="0.25">
      <c r="A285" t="s">
        <v>4825</v>
      </c>
      <c r="B285" t="s">
        <v>4559</v>
      </c>
      <c r="C285" s="3">
        <v>45763</v>
      </c>
      <c r="D285" s="3">
        <v>45793</v>
      </c>
      <c r="E285" s="1">
        <v>1170.29</v>
      </c>
      <c r="F285" t="s">
        <v>4037</v>
      </c>
      <c r="G285" t="str">
        <f>_xlfn.XLOOKUP(B285,tblCustomers[CustomerID],tblCustomers[CustomerName],"Unmapped")</f>
        <v>Hotel Group E</v>
      </c>
      <c r="H285">
        <f t="shared" si="12"/>
        <v>30</v>
      </c>
      <c r="I285" s="1">
        <f t="shared" si="13"/>
        <v>0</v>
      </c>
      <c r="J285" t="str">
        <f t="shared" ca="1" si="14"/>
        <v>Paid</v>
      </c>
    </row>
    <row r="286" spans="1:10" x14ac:dyDescent="0.25">
      <c r="A286" t="s">
        <v>4633</v>
      </c>
      <c r="B286" t="s">
        <v>4552</v>
      </c>
      <c r="C286" s="3">
        <v>45766</v>
      </c>
      <c r="D286" s="3">
        <v>45796</v>
      </c>
      <c r="E286" s="1">
        <v>27568.83</v>
      </c>
      <c r="F286" t="s">
        <v>4037</v>
      </c>
      <c r="G286" t="str">
        <f>_xlfn.XLOOKUP(B286,tblCustomers[CustomerID],tblCustomers[CustomerName],"Unmapped")</f>
        <v>Online Retailer D</v>
      </c>
      <c r="H286">
        <f t="shared" si="12"/>
        <v>30</v>
      </c>
      <c r="I286" s="1">
        <f t="shared" si="13"/>
        <v>0</v>
      </c>
      <c r="J286" t="str">
        <f t="shared" ca="1" si="14"/>
        <v>Paid</v>
      </c>
    </row>
    <row r="287" spans="1:10" x14ac:dyDescent="0.25">
      <c r="A287" t="s">
        <v>4660</v>
      </c>
      <c r="B287" t="s">
        <v>4563</v>
      </c>
      <c r="C287" s="3">
        <v>45767</v>
      </c>
      <c r="D287" s="3">
        <v>45797</v>
      </c>
      <c r="E287" s="1">
        <v>10828.69</v>
      </c>
      <c r="F287" t="s">
        <v>4037</v>
      </c>
      <c r="G287" t="str">
        <f>_xlfn.XLOOKUP(B287,tblCustomers[CustomerID],tblCustomers[CustomerName],"Unmapped")</f>
        <v>Supermarket Chain B</v>
      </c>
      <c r="H287">
        <f t="shared" si="12"/>
        <v>30</v>
      </c>
      <c r="I287" s="1">
        <f t="shared" si="13"/>
        <v>0</v>
      </c>
      <c r="J287" t="str">
        <f t="shared" ca="1" si="14"/>
        <v>Paid</v>
      </c>
    </row>
    <row r="288" spans="1:10" x14ac:dyDescent="0.25">
      <c r="A288" t="s">
        <v>4811</v>
      </c>
      <c r="B288" t="s">
        <v>4552</v>
      </c>
      <c r="C288" s="3">
        <v>45776</v>
      </c>
      <c r="D288" s="3">
        <v>45806</v>
      </c>
      <c r="E288" s="1">
        <v>46695.59</v>
      </c>
      <c r="F288" t="s">
        <v>4037</v>
      </c>
      <c r="G288" t="str">
        <f>_xlfn.XLOOKUP(B288,tblCustomers[CustomerID],tblCustomers[CustomerName],"Unmapped")</f>
        <v>Online Retailer D</v>
      </c>
      <c r="H288">
        <f t="shared" si="12"/>
        <v>30</v>
      </c>
      <c r="I288" s="1">
        <f t="shared" si="13"/>
        <v>0</v>
      </c>
      <c r="J288" t="str">
        <f t="shared" ca="1" si="14"/>
        <v>Paid</v>
      </c>
    </row>
    <row r="289" spans="1:10" x14ac:dyDescent="0.25">
      <c r="A289" t="s">
        <v>4588</v>
      </c>
      <c r="B289" t="s">
        <v>4552</v>
      </c>
      <c r="C289" s="3">
        <v>45778</v>
      </c>
      <c r="D289" s="3">
        <v>45808</v>
      </c>
      <c r="E289" s="1">
        <v>49615.99</v>
      </c>
      <c r="F289" t="s">
        <v>4037</v>
      </c>
      <c r="G289" t="str">
        <f>_xlfn.XLOOKUP(B289,tblCustomers[CustomerID],tblCustomers[CustomerName],"Unmapped")</f>
        <v>Online Retailer D</v>
      </c>
      <c r="H289">
        <f t="shared" si="12"/>
        <v>30</v>
      </c>
      <c r="I289" s="1">
        <f t="shared" si="13"/>
        <v>0</v>
      </c>
      <c r="J289" t="str">
        <f t="shared" ca="1" si="14"/>
        <v>Paid</v>
      </c>
    </row>
    <row r="290" spans="1:10" x14ac:dyDescent="0.25">
      <c r="A290" t="s">
        <v>4598</v>
      </c>
      <c r="B290" t="s">
        <v>4563</v>
      </c>
      <c r="C290" s="3">
        <v>45782</v>
      </c>
      <c r="D290" s="3">
        <v>45812</v>
      </c>
      <c r="E290" s="1">
        <v>6648.08</v>
      </c>
      <c r="F290" t="s">
        <v>4037</v>
      </c>
      <c r="G290" t="str">
        <f>_xlfn.XLOOKUP(B290,tblCustomers[CustomerID],tblCustomers[CustomerName],"Unmapped")</f>
        <v>Supermarket Chain B</v>
      </c>
      <c r="H290">
        <f t="shared" si="12"/>
        <v>30</v>
      </c>
      <c r="I290" s="1">
        <f t="shared" si="13"/>
        <v>0</v>
      </c>
      <c r="J290" t="str">
        <f t="shared" ca="1" si="14"/>
        <v>Paid</v>
      </c>
    </row>
    <row r="291" spans="1:10" x14ac:dyDescent="0.25">
      <c r="A291" t="s">
        <v>4911</v>
      </c>
      <c r="B291" t="s">
        <v>4555</v>
      </c>
      <c r="C291" s="3">
        <v>45783</v>
      </c>
      <c r="D291" s="3">
        <v>45813</v>
      </c>
      <c r="E291" s="1">
        <v>8755.7800000000007</v>
      </c>
      <c r="F291" t="s">
        <v>4037</v>
      </c>
      <c r="G291" t="str">
        <f>_xlfn.XLOOKUP(B291,tblCustomers[CustomerID],tblCustomers[CustomerName],"Unmapped")</f>
        <v>Gourmet Shop C</v>
      </c>
      <c r="H291">
        <f t="shared" si="12"/>
        <v>30</v>
      </c>
      <c r="I291" s="1">
        <f t="shared" si="13"/>
        <v>0</v>
      </c>
      <c r="J291" t="str">
        <f t="shared" ca="1" si="14"/>
        <v>Paid</v>
      </c>
    </row>
    <row r="292" spans="1:10" x14ac:dyDescent="0.25">
      <c r="A292" t="s">
        <v>4798</v>
      </c>
      <c r="B292" t="s">
        <v>4555</v>
      </c>
      <c r="C292" s="3">
        <v>45786</v>
      </c>
      <c r="D292" s="3">
        <v>45816</v>
      </c>
      <c r="E292" s="1">
        <v>40247.32</v>
      </c>
      <c r="F292" t="s">
        <v>4037</v>
      </c>
      <c r="G292" t="str">
        <f>_xlfn.XLOOKUP(B292,tblCustomers[CustomerID],tblCustomers[CustomerName],"Unmapped")</f>
        <v>Gourmet Shop C</v>
      </c>
      <c r="H292">
        <f t="shared" si="12"/>
        <v>30</v>
      </c>
      <c r="I292" s="1">
        <f t="shared" si="13"/>
        <v>0</v>
      </c>
      <c r="J292" t="str">
        <f t="shared" ca="1" si="14"/>
        <v>Paid</v>
      </c>
    </row>
    <row r="293" spans="1:10" x14ac:dyDescent="0.25">
      <c r="A293" t="s">
        <v>4998</v>
      </c>
      <c r="B293" t="s">
        <v>4555</v>
      </c>
      <c r="C293" s="3">
        <v>45786</v>
      </c>
      <c r="D293" s="3">
        <v>45816</v>
      </c>
      <c r="E293" s="1">
        <v>19511.54</v>
      </c>
      <c r="F293" t="s">
        <v>4037</v>
      </c>
      <c r="G293" t="str">
        <f>_xlfn.XLOOKUP(B293,tblCustomers[CustomerID],tblCustomers[CustomerName],"Unmapped")</f>
        <v>Gourmet Shop C</v>
      </c>
      <c r="H293">
        <f t="shared" si="12"/>
        <v>30</v>
      </c>
      <c r="I293" s="1">
        <f t="shared" si="13"/>
        <v>0</v>
      </c>
      <c r="J293" t="str">
        <f t="shared" ca="1" si="14"/>
        <v>Paid</v>
      </c>
    </row>
    <row r="294" spans="1:10" x14ac:dyDescent="0.25">
      <c r="A294" t="s">
        <v>4623</v>
      </c>
      <c r="B294" t="s">
        <v>4555</v>
      </c>
      <c r="C294" s="3">
        <v>45789</v>
      </c>
      <c r="D294" s="3">
        <v>45819</v>
      </c>
      <c r="E294" s="1">
        <v>29403.67</v>
      </c>
      <c r="F294" t="s">
        <v>4037</v>
      </c>
      <c r="G294" t="str">
        <f>_xlfn.XLOOKUP(B294,tblCustomers[CustomerID],tblCustomers[CustomerName],"Unmapped")</f>
        <v>Gourmet Shop C</v>
      </c>
      <c r="H294">
        <f t="shared" si="12"/>
        <v>30</v>
      </c>
      <c r="I294" s="1">
        <f t="shared" si="13"/>
        <v>0</v>
      </c>
      <c r="J294" t="str">
        <f t="shared" ca="1" si="14"/>
        <v>Paid</v>
      </c>
    </row>
    <row r="295" spans="1:10" x14ac:dyDescent="0.25">
      <c r="A295" t="s">
        <v>4922</v>
      </c>
      <c r="B295" t="s">
        <v>4563</v>
      </c>
      <c r="C295" s="3">
        <v>45789</v>
      </c>
      <c r="D295" s="3">
        <v>45819</v>
      </c>
      <c r="E295" s="1">
        <v>46987.33</v>
      </c>
      <c r="F295" t="s">
        <v>4037</v>
      </c>
      <c r="G295" t="str">
        <f>_xlfn.XLOOKUP(B295,tblCustomers[CustomerID],tblCustomers[CustomerName],"Unmapped")</f>
        <v>Supermarket Chain B</v>
      </c>
      <c r="H295">
        <f t="shared" si="12"/>
        <v>30</v>
      </c>
      <c r="I295" s="1">
        <f t="shared" si="13"/>
        <v>0</v>
      </c>
      <c r="J295" t="str">
        <f t="shared" ca="1" si="14"/>
        <v>Paid</v>
      </c>
    </row>
    <row r="296" spans="1:10" x14ac:dyDescent="0.25">
      <c r="A296" t="s">
        <v>4646</v>
      </c>
      <c r="B296" t="s">
        <v>4561</v>
      </c>
      <c r="C296" s="3">
        <v>45794</v>
      </c>
      <c r="D296" s="3">
        <v>45824</v>
      </c>
      <c r="E296" s="1">
        <v>41486.94</v>
      </c>
      <c r="F296" t="s">
        <v>4037</v>
      </c>
      <c r="G296" t="str">
        <f>_xlfn.XLOOKUP(B296,tblCustomers[CustomerID],tblCustomers[CustomerName],"Unmapped")</f>
        <v>Retail Giant A</v>
      </c>
      <c r="H296">
        <f t="shared" si="12"/>
        <v>30</v>
      </c>
      <c r="I296" s="1">
        <f t="shared" si="13"/>
        <v>0</v>
      </c>
      <c r="J296" t="str">
        <f t="shared" ca="1" si="14"/>
        <v>Paid</v>
      </c>
    </row>
    <row r="297" spans="1:10" x14ac:dyDescent="0.25">
      <c r="A297" t="s">
        <v>4725</v>
      </c>
      <c r="B297" t="s">
        <v>4561</v>
      </c>
      <c r="C297" s="3">
        <v>45794</v>
      </c>
      <c r="D297" s="3">
        <v>45824</v>
      </c>
      <c r="E297" s="1">
        <v>28564.89</v>
      </c>
      <c r="F297" t="s">
        <v>4037</v>
      </c>
      <c r="G297" t="str">
        <f>_xlfn.XLOOKUP(B297,tblCustomers[CustomerID],tblCustomers[CustomerName],"Unmapped")</f>
        <v>Retail Giant A</v>
      </c>
      <c r="H297">
        <f t="shared" si="12"/>
        <v>30</v>
      </c>
      <c r="I297" s="1">
        <f t="shared" si="13"/>
        <v>0</v>
      </c>
      <c r="J297" t="str">
        <f t="shared" ca="1" si="14"/>
        <v>Paid</v>
      </c>
    </row>
    <row r="298" spans="1:10" x14ac:dyDescent="0.25">
      <c r="A298" t="s">
        <v>5022</v>
      </c>
      <c r="B298" t="s">
        <v>4563</v>
      </c>
      <c r="C298" s="3">
        <v>45795</v>
      </c>
      <c r="D298" s="3">
        <v>45825</v>
      </c>
      <c r="E298" s="1">
        <v>36655.599999999999</v>
      </c>
      <c r="F298" t="s">
        <v>4037</v>
      </c>
      <c r="G298" t="str">
        <f>_xlfn.XLOOKUP(B298,tblCustomers[CustomerID],tblCustomers[CustomerName],"Unmapped")</f>
        <v>Supermarket Chain B</v>
      </c>
      <c r="H298">
        <f t="shared" si="12"/>
        <v>30</v>
      </c>
      <c r="I298" s="1">
        <f t="shared" si="13"/>
        <v>0</v>
      </c>
      <c r="J298" t="str">
        <f t="shared" ca="1" si="14"/>
        <v>Paid</v>
      </c>
    </row>
    <row r="299" spans="1:10" x14ac:dyDescent="0.25">
      <c r="A299" t="s">
        <v>4743</v>
      </c>
      <c r="B299" t="s">
        <v>4559</v>
      </c>
      <c r="C299" s="3">
        <v>45796</v>
      </c>
      <c r="D299" s="3">
        <v>45826</v>
      </c>
      <c r="E299" s="1">
        <v>33355.25</v>
      </c>
      <c r="F299" t="s">
        <v>4040</v>
      </c>
      <c r="G299" t="str">
        <f>_xlfn.XLOOKUP(B299,tblCustomers[CustomerID],tblCustomers[CustomerName],"Unmapped")</f>
        <v>Hotel Group E</v>
      </c>
      <c r="H299">
        <f t="shared" si="12"/>
        <v>30</v>
      </c>
      <c r="I299" s="1">
        <f t="shared" si="13"/>
        <v>33355.25</v>
      </c>
      <c r="J299" t="str">
        <f t="shared" ca="1" si="14"/>
        <v>Overdue</v>
      </c>
    </row>
    <row r="300" spans="1:10" x14ac:dyDescent="0.25">
      <c r="A300" t="s">
        <v>4852</v>
      </c>
      <c r="B300" t="s">
        <v>4561</v>
      </c>
      <c r="C300" s="3">
        <v>45798</v>
      </c>
      <c r="D300" s="3">
        <v>45828</v>
      </c>
      <c r="E300" s="1">
        <v>46837.440000000002</v>
      </c>
      <c r="F300" t="s">
        <v>4037</v>
      </c>
      <c r="G300" t="str">
        <f>_xlfn.XLOOKUP(B300,tblCustomers[CustomerID],tblCustomers[CustomerName],"Unmapped")</f>
        <v>Retail Giant A</v>
      </c>
      <c r="H300">
        <f t="shared" si="12"/>
        <v>30</v>
      </c>
      <c r="I300" s="1">
        <f t="shared" si="13"/>
        <v>0</v>
      </c>
      <c r="J300" t="str">
        <f t="shared" ca="1" si="14"/>
        <v>Paid</v>
      </c>
    </row>
    <row r="301" spans="1:10" x14ac:dyDescent="0.25">
      <c r="A301" t="s">
        <v>4580</v>
      </c>
      <c r="B301" t="s">
        <v>4552</v>
      </c>
      <c r="C301" s="3">
        <v>45805</v>
      </c>
      <c r="D301" s="3">
        <v>45835</v>
      </c>
      <c r="E301" s="1">
        <v>21969.81</v>
      </c>
      <c r="F301" t="s">
        <v>4037</v>
      </c>
      <c r="G301" t="str">
        <f>_xlfn.XLOOKUP(B301,tblCustomers[CustomerID],tblCustomers[CustomerName],"Unmapped")</f>
        <v>Online Retailer D</v>
      </c>
      <c r="H301">
        <f t="shared" si="12"/>
        <v>30</v>
      </c>
      <c r="I301" s="1">
        <f t="shared" si="13"/>
        <v>0</v>
      </c>
      <c r="J301" t="str">
        <f t="shared" ca="1" si="14"/>
        <v>Paid</v>
      </c>
    </row>
    <row r="302" spans="1:10" x14ac:dyDescent="0.25">
      <c r="A302" t="s">
        <v>4647</v>
      </c>
      <c r="B302" t="s">
        <v>4561</v>
      </c>
      <c r="C302" s="3">
        <v>45806</v>
      </c>
      <c r="D302" s="3">
        <v>45836</v>
      </c>
      <c r="E302" s="1">
        <v>40791.58</v>
      </c>
      <c r="F302" t="s">
        <v>4037</v>
      </c>
      <c r="G302" t="str">
        <f>_xlfn.XLOOKUP(B302,tblCustomers[CustomerID],tblCustomers[CustomerName],"Unmapped")</f>
        <v>Retail Giant A</v>
      </c>
      <c r="H302">
        <f t="shared" si="12"/>
        <v>30</v>
      </c>
      <c r="I302" s="1">
        <f t="shared" si="13"/>
        <v>0</v>
      </c>
      <c r="J302" t="str">
        <f t="shared" ca="1" si="14"/>
        <v>Paid</v>
      </c>
    </row>
    <row r="303" spans="1:10" x14ac:dyDescent="0.25">
      <c r="A303" t="s">
        <v>5017</v>
      </c>
      <c r="B303" t="s">
        <v>4563</v>
      </c>
      <c r="C303" s="3">
        <v>45811</v>
      </c>
      <c r="D303" s="3">
        <v>45841</v>
      </c>
      <c r="E303" s="1">
        <v>22718.26</v>
      </c>
      <c r="F303" t="s">
        <v>4037</v>
      </c>
      <c r="G303" t="str">
        <f>_xlfn.XLOOKUP(B303,tblCustomers[CustomerID],tblCustomers[CustomerName],"Unmapped")</f>
        <v>Supermarket Chain B</v>
      </c>
      <c r="H303">
        <f t="shared" si="12"/>
        <v>30</v>
      </c>
      <c r="I303" s="1">
        <f t="shared" si="13"/>
        <v>0</v>
      </c>
      <c r="J303" t="str">
        <f t="shared" ca="1" si="14"/>
        <v>Paid</v>
      </c>
    </row>
    <row r="304" spans="1:10" x14ac:dyDescent="0.25">
      <c r="A304" t="s">
        <v>4997</v>
      </c>
      <c r="B304" t="s">
        <v>4552</v>
      </c>
      <c r="C304" s="3">
        <v>45813</v>
      </c>
      <c r="D304" s="3">
        <v>45843</v>
      </c>
      <c r="E304" s="1">
        <v>26478.68</v>
      </c>
      <c r="F304" t="s">
        <v>4037</v>
      </c>
      <c r="G304" t="str">
        <f>_xlfn.XLOOKUP(B304,tblCustomers[CustomerID],tblCustomers[CustomerName],"Unmapped")</f>
        <v>Online Retailer D</v>
      </c>
      <c r="H304">
        <f t="shared" si="12"/>
        <v>30</v>
      </c>
      <c r="I304" s="1">
        <f t="shared" si="13"/>
        <v>0</v>
      </c>
      <c r="J304" t="str">
        <f t="shared" ca="1" si="14"/>
        <v>Paid</v>
      </c>
    </row>
    <row r="305" spans="1:10" x14ac:dyDescent="0.25">
      <c r="A305" t="s">
        <v>5046</v>
      </c>
      <c r="B305" t="s">
        <v>4561</v>
      </c>
      <c r="C305" s="3">
        <v>45823</v>
      </c>
      <c r="D305" s="3">
        <v>45853</v>
      </c>
      <c r="E305" s="1">
        <v>27334.47</v>
      </c>
      <c r="F305" t="s">
        <v>4037</v>
      </c>
      <c r="G305" t="str">
        <f>_xlfn.XLOOKUP(B305,tblCustomers[CustomerID],tblCustomers[CustomerName],"Unmapped")</f>
        <v>Retail Giant A</v>
      </c>
      <c r="H305">
        <f t="shared" si="12"/>
        <v>30</v>
      </c>
      <c r="I305" s="1">
        <f t="shared" si="13"/>
        <v>0</v>
      </c>
      <c r="J305" t="str">
        <f t="shared" ca="1" si="14"/>
        <v>Paid</v>
      </c>
    </row>
    <row r="306" spans="1:10" x14ac:dyDescent="0.25">
      <c r="A306" t="s">
        <v>4631</v>
      </c>
      <c r="B306" t="s">
        <v>4561</v>
      </c>
      <c r="C306" s="3">
        <v>45824</v>
      </c>
      <c r="D306" s="3">
        <v>45854</v>
      </c>
      <c r="E306" s="1">
        <v>9530.17</v>
      </c>
      <c r="F306" t="s">
        <v>4037</v>
      </c>
      <c r="G306" t="str">
        <f>_xlfn.XLOOKUP(B306,tblCustomers[CustomerID],tblCustomers[CustomerName],"Unmapped")</f>
        <v>Retail Giant A</v>
      </c>
      <c r="H306">
        <f t="shared" si="12"/>
        <v>30</v>
      </c>
      <c r="I306" s="1">
        <f t="shared" si="13"/>
        <v>0</v>
      </c>
      <c r="J306" t="str">
        <f t="shared" ca="1" si="14"/>
        <v>Paid</v>
      </c>
    </row>
    <row r="307" spans="1:10" x14ac:dyDescent="0.25">
      <c r="A307" t="s">
        <v>4838</v>
      </c>
      <c r="B307" t="s">
        <v>4555</v>
      </c>
      <c r="C307" s="3">
        <v>45826</v>
      </c>
      <c r="D307" s="3">
        <v>45856</v>
      </c>
      <c r="E307" s="1">
        <v>40431.56</v>
      </c>
      <c r="F307" t="s">
        <v>4040</v>
      </c>
      <c r="G307" t="str">
        <f>_xlfn.XLOOKUP(B307,tblCustomers[CustomerID],tblCustomers[CustomerName],"Unmapped")</f>
        <v>Gourmet Shop C</v>
      </c>
      <c r="H307">
        <f t="shared" si="12"/>
        <v>30</v>
      </c>
      <c r="I307" s="1">
        <f t="shared" si="13"/>
        <v>40431.56</v>
      </c>
      <c r="J307" t="str">
        <f t="shared" ca="1" si="14"/>
        <v>Overdue</v>
      </c>
    </row>
    <row r="308" spans="1:10" x14ac:dyDescent="0.25">
      <c r="A308" t="s">
        <v>4605</v>
      </c>
      <c r="B308" t="s">
        <v>4559</v>
      </c>
      <c r="C308" s="3">
        <v>45829</v>
      </c>
      <c r="D308" s="3">
        <v>45859</v>
      </c>
      <c r="E308" s="1">
        <v>8271.14</v>
      </c>
      <c r="F308" t="s">
        <v>4037</v>
      </c>
      <c r="G308" t="str">
        <f>_xlfn.XLOOKUP(B308,tblCustomers[CustomerID],tblCustomers[CustomerName],"Unmapped")</f>
        <v>Hotel Group E</v>
      </c>
      <c r="H308">
        <f t="shared" si="12"/>
        <v>30</v>
      </c>
      <c r="I308" s="1">
        <f t="shared" si="13"/>
        <v>0</v>
      </c>
      <c r="J308" t="str">
        <f t="shared" ca="1" si="14"/>
        <v>Paid</v>
      </c>
    </row>
    <row r="309" spans="1:10" x14ac:dyDescent="0.25">
      <c r="A309" t="s">
        <v>4613</v>
      </c>
      <c r="B309" t="s">
        <v>4555</v>
      </c>
      <c r="C309" s="3">
        <v>45829</v>
      </c>
      <c r="D309" s="3">
        <v>45859</v>
      </c>
      <c r="E309" s="1">
        <v>19306.93</v>
      </c>
      <c r="F309" t="s">
        <v>4037</v>
      </c>
      <c r="G309" t="str">
        <f>_xlfn.XLOOKUP(B309,tblCustomers[CustomerID],tblCustomers[CustomerName],"Unmapped")</f>
        <v>Gourmet Shop C</v>
      </c>
      <c r="H309">
        <f t="shared" si="12"/>
        <v>30</v>
      </c>
      <c r="I309" s="1">
        <f t="shared" si="13"/>
        <v>0</v>
      </c>
      <c r="J309" t="str">
        <f t="shared" ca="1" si="14"/>
        <v>Paid</v>
      </c>
    </row>
    <row r="310" spans="1:10" x14ac:dyDescent="0.25">
      <c r="A310" t="s">
        <v>4728</v>
      </c>
      <c r="B310" t="s">
        <v>4552</v>
      </c>
      <c r="C310" s="3">
        <v>45830</v>
      </c>
      <c r="D310" s="3">
        <v>45860</v>
      </c>
      <c r="E310" s="1">
        <v>21126.03</v>
      </c>
      <c r="F310" t="s">
        <v>4037</v>
      </c>
      <c r="G310" t="str">
        <f>_xlfn.XLOOKUP(B310,tblCustomers[CustomerID],tblCustomers[CustomerName],"Unmapped")</f>
        <v>Online Retailer D</v>
      </c>
      <c r="H310">
        <f t="shared" si="12"/>
        <v>30</v>
      </c>
      <c r="I310" s="1">
        <f t="shared" si="13"/>
        <v>0</v>
      </c>
      <c r="J310" t="str">
        <f t="shared" ca="1" si="14"/>
        <v>Paid</v>
      </c>
    </row>
    <row r="311" spans="1:10" x14ac:dyDescent="0.25">
      <c r="A311" t="s">
        <v>4843</v>
      </c>
      <c r="B311" t="s">
        <v>4563</v>
      </c>
      <c r="C311" s="3">
        <v>45830</v>
      </c>
      <c r="D311" s="3">
        <v>45860</v>
      </c>
      <c r="E311" s="1">
        <v>3869.69</v>
      </c>
      <c r="F311" t="s">
        <v>4040</v>
      </c>
      <c r="G311" t="str">
        <f>_xlfn.XLOOKUP(B311,tblCustomers[CustomerID],tblCustomers[CustomerName],"Unmapped")</f>
        <v>Supermarket Chain B</v>
      </c>
      <c r="H311">
        <f t="shared" si="12"/>
        <v>30</v>
      </c>
      <c r="I311" s="1">
        <f t="shared" si="13"/>
        <v>3869.69</v>
      </c>
      <c r="J311" t="str">
        <f t="shared" ca="1" si="14"/>
        <v>Overdue</v>
      </c>
    </row>
    <row r="312" spans="1:10" x14ac:dyDescent="0.25">
      <c r="A312" t="s">
        <v>4860</v>
      </c>
      <c r="B312" t="s">
        <v>4561</v>
      </c>
      <c r="C312" s="3">
        <v>45830</v>
      </c>
      <c r="D312" s="3">
        <v>45860</v>
      </c>
      <c r="E312" s="1">
        <v>35922.629999999997</v>
      </c>
      <c r="F312" t="s">
        <v>4037</v>
      </c>
      <c r="G312" t="str">
        <f>_xlfn.XLOOKUP(B312,tblCustomers[CustomerID],tblCustomers[CustomerName],"Unmapped")</f>
        <v>Retail Giant A</v>
      </c>
      <c r="H312">
        <f t="shared" si="12"/>
        <v>30</v>
      </c>
      <c r="I312" s="1">
        <f t="shared" si="13"/>
        <v>0</v>
      </c>
      <c r="J312" t="str">
        <f t="shared" ca="1" si="14"/>
        <v>Paid</v>
      </c>
    </row>
    <row r="313" spans="1:10" x14ac:dyDescent="0.25">
      <c r="A313" t="s">
        <v>4657</v>
      </c>
      <c r="B313" t="s">
        <v>4561</v>
      </c>
      <c r="C313" s="3">
        <v>45834</v>
      </c>
      <c r="D313" s="3">
        <v>45864</v>
      </c>
      <c r="E313" s="1">
        <v>19664.240000000002</v>
      </c>
      <c r="F313" t="s">
        <v>4037</v>
      </c>
      <c r="G313" t="str">
        <f>_xlfn.XLOOKUP(B313,tblCustomers[CustomerID],tblCustomers[CustomerName],"Unmapped")</f>
        <v>Retail Giant A</v>
      </c>
      <c r="H313">
        <f t="shared" si="12"/>
        <v>30</v>
      </c>
      <c r="I313" s="1">
        <f t="shared" si="13"/>
        <v>0</v>
      </c>
      <c r="J313" t="str">
        <f t="shared" ca="1" si="14"/>
        <v>Paid</v>
      </c>
    </row>
    <row r="314" spans="1:10" x14ac:dyDescent="0.25">
      <c r="A314" t="s">
        <v>4710</v>
      </c>
      <c r="B314" t="s">
        <v>4555</v>
      </c>
      <c r="C314" s="3">
        <v>45838</v>
      </c>
      <c r="D314" s="3">
        <v>45868</v>
      </c>
      <c r="E314" s="1">
        <v>20280.560000000001</v>
      </c>
      <c r="F314" t="s">
        <v>4037</v>
      </c>
      <c r="G314" t="str">
        <f>_xlfn.XLOOKUP(B314,tblCustomers[CustomerID],tblCustomers[CustomerName],"Unmapped")</f>
        <v>Gourmet Shop C</v>
      </c>
      <c r="H314">
        <f t="shared" si="12"/>
        <v>30</v>
      </c>
      <c r="I314" s="1">
        <f t="shared" si="13"/>
        <v>0</v>
      </c>
      <c r="J314" t="str">
        <f t="shared" ca="1" si="14"/>
        <v>Paid</v>
      </c>
    </row>
    <row r="315" spans="1:10" x14ac:dyDescent="0.25">
      <c r="A315" t="s">
        <v>4781</v>
      </c>
      <c r="B315" t="s">
        <v>4563</v>
      </c>
      <c r="C315" s="3">
        <v>45840</v>
      </c>
      <c r="D315" s="3">
        <v>45870</v>
      </c>
      <c r="E315" s="1">
        <v>20726.73</v>
      </c>
      <c r="F315" t="s">
        <v>4037</v>
      </c>
      <c r="G315" t="str">
        <f>_xlfn.XLOOKUP(B315,tblCustomers[CustomerID],tblCustomers[CustomerName],"Unmapped")</f>
        <v>Supermarket Chain B</v>
      </c>
      <c r="H315">
        <f t="shared" si="12"/>
        <v>30</v>
      </c>
      <c r="I315" s="1">
        <f t="shared" si="13"/>
        <v>0</v>
      </c>
      <c r="J315" t="str">
        <f t="shared" ca="1" si="14"/>
        <v>Paid</v>
      </c>
    </row>
    <row r="316" spans="1:10" x14ac:dyDescent="0.25">
      <c r="A316" t="s">
        <v>4569</v>
      </c>
      <c r="B316" t="s">
        <v>4559</v>
      </c>
      <c r="C316" s="3">
        <v>45845</v>
      </c>
      <c r="D316" s="3">
        <v>45875</v>
      </c>
      <c r="E316" s="1">
        <v>5230.1000000000004</v>
      </c>
      <c r="F316" t="s">
        <v>4037</v>
      </c>
      <c r="G316" t="str">
        <f>_xlfn.XLOOKUP(B316,tblCustomers[CustomerID],tblCustomers[CustomerName],"Unmapped")</f>
        <v>Hotel Group E</v>
      </c>
      <c r="H316">
        <f t="shared" si="12"/>
        <v>30</v>
      </c>
      <c r="I316" s="1">
        <f t="shared" si="13"/>
        <v>0</v>
      </c>
      <c r="J316" t="str">
        <f t="shared" ca="1" si="14"/>
        <v>Paid</v>
      </c>
    </row>
    <row r="317" spans="1:10" x14ac:dyDescent="0.25">
      <c r="A317" t="s">
        <v>4691</v>
      </c>
      <c r="B317" t="s">
        <v>4552</v>
      </c>
      <c r="C317" s="3">
        <v>45848</v>
      </c>
      <c r="D317" s="3">
        <v>45878</v>
      </c>
      <c r="E317" s="1">
        <v>8777.4500000000007</v>
      </c>
      <c r="F317" t="s">
        <v>4037</v>
      </c>
      <c r="G317" t="str">
        <f>_xlfn.XLOOKUP(B317,tblCustomers[CustomerID],tblCustomers[CustomerName],"Unmapped")</f>
        <v>Online Retailer D</v>
      </c>
      <c r="H317">
        <f t="shared" si="12"/>
        <v>30</v>
      </c>
      <c r="I317" s="1">
        <f t="shared" si="13"/>
        <v>0</v>
      </c>
      <c r="J317" t="str">
        <f t="shared" ca="1" si="14"/>
        <v>Paid</v>
      </c>
    </row>
    <row r="318" spans="1:10" x14ac:dyDescent="0.25">
      <c r="A318" t="s">
        <v>4695</v>
      </c>
      <c r="B318" t="s">
        <v>4563</v>
      </c>
      <c r="C318" s="3">
        <v>45849</v>
      </c>
      <c r="D318" s="3">
        <v>45879</v>
      </c>
      <c r="E318" s="1">
        <v>41654.639999999999</v>
      </c>
      <c r="F318" t="s">
        <v>4037</v>
      </c>
      <c r="G318" t="str">
        <f>_xlfn.XLOOKUP(B318,tblCustomers[CustomerID],tblCustomers[CustomerName],"Unmapped")</f>
        <v>Supermarket Chain B</v>
      </c>
      <c r="H318">
        <f t="shared" si="12"/>
        <v>30</v>
      </c>
      <c r="I318" s="1">
        <f t="shared" si="13"/>
        <v>0</v>
      </c>
      <c r="J318" t="str">
        <f t="shared" ca="1" si="14"/>
        <v>Paid</v>
      </c>
    </row>
    <row r="319" spans="1:10" x14ac:dyDescent="0.25">
      <c r="A319" t="s">
        <v>4718</v>
      </c>
      <c r="B319" t="s">
        <v>4559</v>
      </c>
      <c r="C319" s="3">
        <v>45849</v>
      </c>
      <c r="D319" s="3">
        <v>45879</v>
      </c>
      <c r="E319" s="1">
        <v>26184.11</v>
      </c>
      <c r="F319" t="s">
        <v>4037</v>
      </c>
      <c r="G319" t="str">
        <f>_xlfn.XLOOKUP(B319,tblCustomers[CustomerID],tblCustomers[CustomerName],"Unmapped")</f>
        <v>Hotel Group E</v>
      </c>
      <c r="H319">
        <f t="shared" si="12"/>
        <v>30</v>
      </c>
      <c r="I319" s="1">
        <f t="shared" si="13"/>
        <v>0</v>
      </c>
      <c r="J319" t="str">
        <f t="shared" ca="1" si="14"/>
        <v>Paid</v>
      </c>
    </row>
    <row r="320" spans="1:10" x14ac:dyDescent="0.25">
      <c r="A320" t="s">
        <v>4990</v>
      </c>
      <c r="B320" t="s">
        <v>4561</v>
      </c>
      <c r="C320" s="3">
        <v>45849</v>
      </c>
      <c r="D320" s="3">
        <v>45879</v>
      </c>
      <c r="E320" s="1">
        <v>11874.6</v>
      </c>
      <c r="F320" t="s">
        <v>4037</v>
      </c>
      <c r="G320" t="str">
        <f>_xlfn.XLOOKUP(B320,tblCustomers[CustomerID],tblCustomers[CustomerName],"Unmapped")</f>
        <v>Retail Giant A</v>
      </c>
      <c r="H320">
        <f t="shared" si="12"/>
        <v>30</v>
      </c>
      <c r="I320" s="1">
        <f t="shared" si="13"/>
        <v>0</v>
      </c>
      <c r="J320" t="str">
        <f t="shared" ca="1" si="14"/>
        <v>Paid</v>
      </c>
    </row>
    <row r="321" spans="1:10" x14ac:dyDescent="0.25">
      <c r="A321" t="s">
        <v>4687</v>
      </c>
      <c r="B321" t="s">
        <v>4561</v>
      </c>
      <c r="C321" s="3">
        <v>45854</v>
      </c>
      <c r="D321" s="3">
        <v>45884</v>
      </c>
      <c r="E321" s="1">
        <v>35061.24</v>
      </c>
      <c r="F321" t="s">
        <v>4037</v>
      </c>
      <c r="G321" t="str">
        <f>_xlfn.XLOOKUP(B321,tblCustomers[CustomerID],tblCustomers[CustomerName],"Unmapped")</f>
        <v>Retail Giant A</v>
      </c>
      <c r="H321">
        <f t="shared" si="12"/>
        <v>30</v>
      </c>
      <c r="I321" s="1">
        <f t="shared" si="13"/>
        <v>0</v>
      </c>
      <c r="J321" t="str">
        <f t="shared" ca="1" si="14"/>
        <v>Paid</v>
      </c>
    </row>
    <row r="322" spans="1:10" x14ac:dyDescent="0.25">
      <c r="A322" t="s">
        <v>4770</v>
      </c>
      <c r="B322" t="s">
        <v>4555</v>
      </c>
      <c r="C322" s="3">
        <v>45854</v>
      </c>
      <c r="D322" s="3">
        <v>45884</v>
      </c>
      <c r="E322" s="1">
        <v>14532.28</v>
      </c>
      <c r="F322" t="s">
        <v>4037</v>
      </c>
      <c r="G322" t="str">
        <f>_xlfn.XLOOKUP(B322,tblCustomers[CustomerID],tblCustomers[CustomerName],"Unmapped")</f>
        <v>Gourmet Shop C</v>
      </c>
      <c r="H322">
        <f t="shared" ref="H322:H385" si="15">D322-C322</f>
        <v>30</v>
      </c>
      <c r="I322" s="1">
        <f t="shared" ref="I322:I385" si="16">IF(F322="Unpaid",E322,0)</f>
        <v>0</v>
      </c>
      <c r="J322" t="str">
        <f t="shared" ref="J322:J385" ca="1" si="17">IF(F322="Paid","Paid",IF(D322&lt;TODAY(),"Overdue","Open"))</f>
        <v>Paid</v>
      </c>
    </row>
    <row r="323" spans="1:10" x14ac:dyDescent="0.25">
      <c r="A323" t="s">
        <v>4801</v>
      </c>
      <c r="B323" t="s">
        <v>4559</v>
      </c>
      <c r="C323" s="3">
        <v>45860</v>
      </c>
      <c r="D323" s="3">
        <v>45890</v>
      </c>
      <c r="E323" s="1">
        <v>4201.04</v>
      </c>
      <c r="F323" t="s">
        <v>4037</v>
      </c>
      <c r="G323" t="str">
        <f>_xlfn.XLOOKUP(B323,tblCustomers[CustomerID],tblCustomers[CustomerName],"Unmapped")</f>
        <v>Hotel Group E</v>
      </c>
      <c r="H323">
        <f t="shared" si="15"/>
        <v>30</v>
      </c>
      <c r="I323" s="1">
        <f t="shared" si="16"/>
        <v>0</v>
      </c>
      <c r="J323" t="str">
        <f t="shared" ca="1" si="17"/>
        <v>Paid</v>
      </c>
    </row>
    <row r="324" spans="1:10" x14ac:dyDescent="0.25">
      <c r="A324" t="s">
        <v>4785</v>
      </c>
      <c r="B324" t="s">
        <v>4555</v>
      </c>
      <c r="C324" s="3">
        <v>45861</v>
      </c>
      <c r="D324" s="3">
        <v>45891</v>
      </c>
      <c r="E324" s="1">
        <v>37331.65</v>
      </c>
      <c r="F324" t="s">
        <v>4037</v>
      </c>
      <c r="G324" t="str">
        <f>_xlfn.XLOOKUP(B324,tblCustomers[CustomerID],tblCustomers[CustomerName],"Unmapped")</f>
        <v>Gourmet Shop C</v>
      </c>
      <c r="H324">
        <f t="shared" si="15"/>
        <v>30</v>
      </c>
      <c r="I324" s="1">
        <f t="shared" si="16"/>
        <v>0</v>
      </c>
      <c r="J324" t="str">
        <f t="shared" ca="1" si="17"/>
        <v>Paid</v>
      </c>
    </row>
    <row r="325" spans="1:10" x14ac:dyDescent="0.25">
      <c r="A325" t="s">
        <v>4832</v>
      </c>
      <c r="B325" t="s">
        <v>4552</v>
      </c>
      <c r="C325" s="3">
        <v>45865</v>
      </c>
      <c r="D325" s="3">
        <v>45895</v>
      </c>
      <c r="E325" s="1">
        <v>14850.69</v>
      </c>
      <c r="F325" t="s">
        <v>4037</v>
      </c>
      <c r="G325" t="str">
        <f>_xlfn.XLOOKUP(B325,tblCustomers[CustomerID],tblCustomers[CustomerName],"Unmapped")</f>
        <v>Online Retailer D</v>
      </c>
      <c r="H325">
        <f t="shared" si="15"/>
        <v>30</v>
      </c>
      <c r="I325" s="1">
        <f t="shared" si="16"/>
        <v>0</v>
      </c>
      <c r="J325" t="str">
        <f t="shared" ca="1" si="17"/>
        <v>Paid</v>
      </c>
    </row>
    <row r="326" spans="1:10" x14ac:dyDescent="0.25">
      <c r="A326" t="s">
        <v>4975</v>
      </c>
      <c r="B326" t="s">
        <v>4555</v>
      </c>
      <c r="C326" s="3">
        <v>45866</v>
      </c>
      <c r="D326" s="3">
        <v>45896</v>
      </c>
      <c r="E326" s="1">
        <v>30141.59</v>
      </c>
      <c r="F326" t="s">
        <v>4037</v>
      </c>
      <c r="G326" t="str">
        <f>_xlfn.XLOOKUP(B326,tblCustomers[CustomerID],tblCustomers[CustomerName],"Unmapped")</f>
        <v>Gourmet Shop C</v>
      </c>
      <c r="H326">
        <f t="shared" si="15"/>
        <v>30</v>
      </c>
      <c r="I326" s="1">
        <f t="shared" si="16"/>
        <v>0</v>
      </c>
      <c r="J326" t="str">
        <f t="shared" ca="1" si="17"/>
        <v>Paid</v>
      </c>
    </row>
    <row r="327" spans="1:10" x14ac:dyDescent="0.25">
      <c r="A327" t="s">
        <v>4882</v>
      </c>
      <c r="B327" t="s">
        <v>4563</v>
      </c>
      <c r="C327" s="3">
        <v>45870</v>
      </c>
      <c r="D327" s="3">
        <v>45900</v>
      </c>
      <c r="E327" s="1">
        <v>12799.54</v>
      </c>
      <c r="F327" t="s">
        <v>4040</v>
      </c>
      <c r="G327" t="str">
        <f>_xlfn.XLOOKUP(B327,tblCustomers[CustomerID],tblCustomers[CustomerName],"Unmapped")</f>
        <v>Supermarket Chain B</v>
      </c>
      <c r="H327">
        <f t="shared" si="15"/>
        <v>30</v>
      </c>
      <c r="I327" s="1">
        <f t="shared" si="16"/>
        <v>12799.54</v>
      </c>
      <c r="J327" t="str">
        <f t="shared" ca="1" si="17"/>
        <v>Overdue</v>
      </c>
    </row>
    <row r="328" spans="1:10" x14ac:dyDescent="0.25">
      <c r="A328" t="s">
        <v>5008</v>
      </c>
      <c r="B328" t="s">
        <v>4561</v>
      </c>
      <c r="C328" s="3">
        <v>45874</v>
      </c>
      <c r="D328" s="3">
        <v>45904</v>
      </c>
      <c r="E328" s="1">
        <v>26046.400000000001</v>
      </c>
      <c r="F328" t="s">
        <v>4037</v>
      </c>
      <c r="G328" t="str">
        <f>_xlfn.XLOOKUP(B328,tblCustomers[CustomerID],tblCustomers[CustomerName],"Unmapped")</f>
        <v>Retail Giant A</v>
      </c>
      <c r="H328">
        <f t="shared" si="15"/>
        <v>30</v>
      </c>
      <c r="I328" s="1">
        <f t="shared" si="16"/>
        <v>0</v>
      </c>
      <c r="J328" t="str">
        <f t="shared" ca="1" si="17"/>
        <v>Paid</v>
      </c>
    </row>
    <row r="329" spans="1:10" x14ac:dyDescent="0.25">
      <c r="A329" t="s">
        <v>4862</v>
      </c>
      <c r="B329" t="s">
        <v>4555</v>
      </c>
      <c r="C329" s="3">
        <v>45879</v>
      </c>
      <c r="D329" s="3">
        <v>45909</v>
      </c>
      <c r="E329" s="1">
        <v>28300.26</v>
      </c>
      <c r="F329" t="s">
        <v>4037</v>
      </c>
      <c r="G329" t="str">
        <f>_xlfn.XLOOKUP(B329,tblCustomers[CustomerID],tblCustomers[CustomerName],"Unmapped")</f>
        <v>Gourmet Shop C</v>
      </c>
      <c r="H329">
        <f t="shared" si="15"/>
        <v>30</v>
      </c>
      <c r="I329" s="1">
        <f t="shared" si="16"/>
        <v>0</v>
      </c>
      <c r="J329" t="str">
        <f t="shared" ca="1" si="17"/>
        <v>Paid</v>
      </c>
    </row>
    <row r="330" spans="1:10" x14ac:dyDescent="0.25">
      <c r="A330" t="s">
        <v>4846</v>
      </c>
      <c r="B330" t="s">
        <v>4561</v>
      </c>
      <c r="C330" s="3">
        <v>45881</v>
      </c>
      <c r="D330" s="3">
        <v>45911</v>
      </c>
      <c r="E330" s="1">
        <v>45208.85</v>
      </c>
      <c r="F330" t="s">
        <v>4037</v>
      </c>
      <c r="G330" t="str">
        <f>_xlfn.XLOOKUP(B330,tblCustomers[CustomerID],tblCustomers[CustomerName],"Unmapped")</f>
        <v>Retail Giant A</v>
      </c>
      <c r="H330">
        <f t="shared" si="15"/>
        <v>30</v>
      </c>
      <c r="I330" s="1">
        <f t="shared" si="16"/>
        <v>0</v>
      </c>
      <c r="J330" t="str">
        <f t="shared" ca="1" si="17"/>
        <v>Paid</v>
      </c>
    </row>
    <row r="331" spans="1:10" x14ac:dyDescent="0.25">
      <c r="A331" t="s">
        <v>4769</v>
      </c>
      <c r="B331" t="s">
        <v>4552</v>
      </c>
      <c r="C331" s="3">
        <v>45883</v>
      </c>
      <c r="D331" s="3">
        <v>45913</v>
      </c>
      <c r="E331" s="1">
        <v>1689.38</v>
      </c>
      <c r="F331" t="s">
        <v>4037</v>
      </c>
      <c r="G331" t="str">
        <f>_xlfn.XLOOKUP(B331,tblCustomers[CustomerID],tblCustomers[CustomerName],"Unmapped")</f>
        <v>Online Retailer D</v>
      </c>
      <c r="H331">
        <f t="shared" si="15"/>
        <v>30</v>
      </c>
      <c r="I331" s="1">
        <f t="shared" si="16"/>
        <v>0</v>
      </c>
      <c r="J331" t="str">
        <f t="shared" ca="1" si="17"/>
        <v>Paid</v>
      </c>
    </row>
    <row r="332" spans="1:10" x14ac:dyDescent="0.25">
      <c r="A332" t="s">
        <v>4822</v>
      </c>
      <c r="B332" t="s">
        <v>4555</v>
      </c>
      <c r="C332" s="3">
        <v>45883</v>
      </c>
      <c r="D332" s="3">
        <v>45913</v>
      </c>
      <c r="E332" s="1">
        <v>20706.89</v>
      </c>
      <c r="F332" t="s">
        <v>4037</v>
      </c>
      <c r="G332" t="str">
        <f>_xlfn.XLOOKUP(B332,tblCustomers[CustomerID],tblCustomers[CustomerName],"Unmapped")</f>
        <v>Gourmet Shop C</v>
      </c>
      <c r="H332">
        <f t="shared" si="15"/>
        <v>30</v>
      </c>
      <c r="I332" s="1">
        <f t="shared" si="16"/>
        <v>0</v>
      </c>
      <c r="J332" t="str">
        <f t="shared" ca="1" si="17"/>
        <v>Paid</v>
      </c>
    </row>
    <row r="333" spans="1:10" x14ac:dyDescent="0.25">
      <c r="A333" t="s">
        <v>4764</v>
      </c>
      <c r="B333" t="s">
        <v>4563</v>
      </c>
      <c r="C333" s="3">
        <v>45885</v>
      </c>
      <c r="D333" s="3">
        <v>45915</v>
      </c>
      <c r="E333" s="1">
        <v>44281.11</v>
      </c>
      <c r="F333" t="s">
        <v>4037</v>
      </c>
      <c r="G333" t="str">
        <f>_xlfn.XLOOKUP(B333,tblCustomers[CustomerID],tblCustomers[CustomerName],"Unmapped")</f>
        <v>Supermarket Chain B</v>
      </c>
      <c r="H333">
        <f t="shared" si="15"/>
        <v>30</v>
      </c>
      <c r="I333" s="1">
        <f t="shared" si="16"/>
        <v>0</v>
      </c>
      <c r="J333" t="str">
        <f t="shared" ca="1" si="17"/>
        <v>Paid</v>
      </c>
    </row>
    <row r="334" spans="1:10" x14ac:dyDescent="0.25">
      <c r="A334" t="s">
        <v>4604</v>
      </c>
      <c r="B334" t="s">
        <v>4555</v>
      </c>
      <c r="C334" s="3">
        <v>45886</v>
      </c>
      <c r="D334" s="3">
        <v>45916</v>
      </c>
      <c r="E334" s="1">
        <v>39714.94</v>
      </c>
      <c r="F334" t="s">
        <v>4037</v>
      </c>
      <c r="G334" t="str">
        <f>_xlfn.XLOOKUP(B334,tblCustomers[CustomerID],tblCustomers[CustomerName],"Unmapped")</f>
        <v>Gourmet Shop C</v>
      </c>
      <c r="H334">
        <f t="shared" si="15"/>
        <v>30</v>
      </c>
      <c r="I334" s="1">
        <f t="shared" si="16"/>
        <v>0</v>
      </c>
      <c r="J334" t="str">
        <f t="shared" ca="1" si="17"/>
        <v>Paid</v>
      </c>
    </row>
    <row r="335" spans="1:10" x14ac:dyDescent="0.25">
      <c r="A335" t="s">
        <v>4974</v>
      </c>
      <c r="B335" t="s">
        <v>4555</v>
      </c>
      <c r="C335" s="3">
        <v>45886</v>
      </c>
      <c r="D335" s="3">
        <v>45916</v>
      </c>
      <c r="E335" s="1">
        <v>30345.34</v>
      </c>
      <c r="F335" t="s">
        <v>4037</v>
      </c>
      <c r="G335" t="str">
        <f>_xlfn.XLOOKUP(B335,tblCustomers[CustomerID],tblCustomers[CustomerName],"Unmapped")</f>
        <v>Gourmet Shop C</v>
      </c>
      <c r="H335">
        <f t="shared" si="15"/>
        <v>30</v>
      </c>
      <c r="I335" s="1">
        <f t="shared" si="16"/>
        <v>0</v>
      </c>
      <c r="J335" t="str">
        <f t="shared" ca="1" si="17"/>
        <v>Paid</v>
      </c>
    </row>
    <row r="336" spans="1:10" x14ac:dyDescent="0.25">
      <c r="A336" t="s">
        <v>4892</v>
      </c>
      <c r="B336" t="s">
        <v>4561</v>
      </c>
      <c r="C336" s="3">
        <v>45888</v>
      </c>
      <c r="D336" s="3">
        <v>45918</v>
      </c>
      <c r="E336" s="1">
        <v>16198.95</v>
      </c>
      <c r="F336" t="s">
        <v>4037</v>
      </c>
      <c r="G336" t="str">
        <f>_xlfn.XLOOKUP(B336,tblCustomers[CustomerID],tblCustomers[CustomerName],"Unmapped")</f>
        <v>Retail Giant A</v>
      </c>
      <c r="H336">
        <f t="shared" si="15"/>
        <v>30</v>
      </c>
      <c r="I336" s="1">
        <f t="shared" si="16"/>
        <v>0</v>
      </c>
      <c r="J336" t="str">
        <f t="shared" ca="1" si="17"/>
        <v>Paid</v>
      </c>
    </row>
    <row r="337" spans="1:10" x14ac:dyDescent="0.25">
      <c r="A337" t="s">
        <v>4736</v>
      </c>
      <c r="B337" t="s">
        <v>4555</v>
      </c>
      <c r="C337" s="3">
        <v>45890</v>
      </c>
      <c r="D337" s="3">
        <v>45920</v>
      </c>
      <c r="E337" s="1">
        <v>29865.53</v>
      </c>
      <c r="F337" t="s">
        <v>4040</v>
      </c>
      <c r="G337" t="str">
        <f>_xlfn.XLOOKUP(B337,tblCustomers[CustomerID],tblCustomers[CustomerName],"Unmapped")</f>
        <v>Gourmet Shop C</v>
      </c>
      <c r="H337">
        <f t="shared" si="15"/>
        <v>30</v>
      </c>
      <c r="I337" s="1">
        <f t="shared" si="16"/>
        <v>29865.53</v>
      </c>
      <c r="J337" t="str">
        <f t="shared" ca="1" si="17"/>
        <v>Overdue</v>
      </c>
    </row>
    <row r="338" spans="1:10" x14ac:dyDescent="0.25">
      <c r="A338" t="s">
        <v>4937</v>
      </c>
      <c r="B338" t="s">
        <v>4559</v>
      </c>
      <c r="C338" s="3">
        <v>45890</v>
      </c>
      <c r="D338" s="3">
        <v>45920</v>
      </c>
      <c r="E338" s="1">
        <v>49278.47</v>
      </c>
      <c r="F338" t="s">
        <v>4037</v>
      </c>
      <c r="G338" t="str">
        <f>_xlfn.XLOOKUP(B338,tblCustomers[CustomerID],tblCustomers[CustomerName],"Unmapped")</f>
        <v>Hotel Group E</v>
      </c>
      <c r="H338">
        <f t="shared" si="15"/>
        <v>30</v>
      </c>
      <c r="I338" s="1">
        <f t="shared" si="16"/>
        <v>0</v>
      </c>
      <c r="J338" t="str">
        <f t="shared" ca="1" si="17"/>
        <v>Paid</v>
      </c>
    </row>
    <row r="339" spans="1:10" x14ac:dyDescent="0.25">
      <c r="A339" t="s">
        <v>4967</v>
      </c>
      <c r="B339" t="s">
        <v>4559</v>
      </c>
      <c r="C339" s="3">
        <v>45891</v>
      </c>
      <c r="D339" s="3">
        <v>45921</v>
      </c>
      <c r="E339" s="1">
        <v>30119.71</v>
      </c>
      <c r="F339" t="s">
        <v>4040</v>
      </c>
      <c r="G339" t="str">
        <f>_xlfn.XLOOKUP(B339,tblCustomers[CustomerID],tblCustomers[CustomerName],"Unmapped")</f>
        <v>Hotel Group E</v>
      </c>
      <c r="H339">
        <f t="shared" si="15"/>
        <v>30</v>
      </c>
      <c r="I339" s="1">
        <f t="shared" si="16"/>
        <v>30119.71</v>
      </c>
      <c r="J339" t="str">
        <f t="shared" ca="1" si="17"/>
        <v>Overdue</v>
      </c>
    </row>
    <row r="340" spans="1:10" x14ac:dyDescent="0.25">
      <c r="A340" t="s">
        <v>5031</v>
      </c>
      <c r="B340" t="s">
        <v>4559</v>
      </c>
      <c r="C340" s="3">
        <v>45892</v>
      </c>
      <c r="D340" s="3">
        <v>45922</v>
      </c>
      <c r="E340" s="1">
        <v>29189.89</v>
      </c>
      <c r="F340" t="s">
        <v>4037</v>
      </c>
      <c r="G340" t="str">
        <f>_xlfn.XLOOKUP(B340,tblCustomers[CustomerID],tblCustomers[CustomerName],"Unmapped")</f>
        <v>Hotel Group E</v>
      </c>
      <c r="H340">
        <f t="shared" si="15"/>
        <v>30</v>
      </c>
      <c r="I340" s="1">
        <f t="shared" si="16"/>
        <v>0</v>
      </c>
      <c r="J340" t="str">
        <f t="shared" ca="1" si="17"/>
        <v>Paid</v>
      </c>
    </row>
    <row r="341" spans="1:10" x14ac:dyDescent="0.25">
      <c r="A341" t="s">
        <v>4581</v>
      </c>
      <c r="B341" t="s">
        <v>4555</v>
      </c>
      <c r="C341" s="3">
        <v>45895</v>
      </c>
      <c r="D341" s="3">
        <v>45925</v>
      </c>
      <c r="E341" s="1">
        <v>31838.09</v>
      </c>
      <c r="F341" t="s">
        <v>4037</v>
      </c>
      <c r="G341" t="str">
        <f>_xlfn.XLOOKUP(B341,tblCustomers[CustomerID],tblCustomers[CustomerName],"Unmapped")</f>
        <v>Gourmet Shop C</v>
      </c>
      <c r="H341">
        <f t="shared" si="15"/>
        <v>30</v>
      </c>
      <c r="I341" s="1">
        <f t="shared" si="16"/>
        <v>0</v>
      </c>
      <c r="J341" t="str">
        <f t="shared" ca="1" si="17"/>
        <v>Paid</v>
      </c>
    </row>
    <row r="342" spans="1:10" x14ac:dyDescent="0.25">
      <c r="A342" t="s">
        <v>4912</v>
      </c>
      <c r="B342" t="s">
        <v>4561</v>
      </c>
      <c r="C342" s="3">
        <v>45904</v>
      </c>
      <c r="D342" s="3">
        <v>45934</v>
      </c>
      <c r="E342" s="1">
        <v>36205.18</v>
      </c>
      <c r="F342" t="s">
        <v>4037</v>
      </c>
      <c r="G342" t="str">
        <f>_xlfn.XLOOKUP(B342,tblCustomers[CustomerID],tblCustomers[CustomerName],"Unmapped")</f>
        <v>Retail Giant A</v>
      </c>
      <c r="H342">
        <f t="shared" si="15"/>
        <v>30</v>
      </c>
      <c r="I342" s="1">
        <f t="shared" si="16"/>
        <v>0</v>
      </c>
      <c r="J342" t="str">
        <f t="shared" ca="1" si="17"/>
        <v>Paid</v>
      </c>
    </row>
    <row r="343" spans="1:10" x14ac:dyDescent="0.25">
      <c r="A343" t="s">
        <v>4562</v>
      </c>
      <c r="B343" t="s">
        <v>4563</v>
      </c>
      <c r="C343" s="3">
        <v>45906</v>
      </c>
      <c r="D343" s="3">
        <v>45936</v>
      </c>
      <c r="E343" s="1">
        <v>45626.52</v>
      </c>
      <c r="F343" t="s">
        <v>4037</v>
      </c>
      <c r="G343" t="str">
        <f>_xlfn.XLOOKUP(B343,tblCustomers[CustomerID],tblCustomers[CustomerName],"Unmapped")</f>
        <v>Supermarket Chain B</v>
      </c>
      <c r="H343">
        <f t="shared" si="15"/>
        <v>30</v>
      </c>
      <c r="I343" s="1">
        <f t="shared" si="16"/>
        <v>0</v>
      </c>
      <c r="J343" t="str">
        <f t="shared" ca="1" si="17"/>
        <v>Paid</v>
      </c>
    </row>
    <row r="344" spans="1:10" x14ac:dyDescent="0.25">
      <c r="A344" t="s">
        <v>4626</v>
      </c>
      <c r="B344" t="s">
        <v>4552</v>
      </c>
      <c r="C344" s="3">
        <v>45909</v>
      </c>
      <c r="D344" s="3">
        <v>45939</v>
      </c>
      <c r="E344" s="1">
        <v>7525.17</v>
      </c>
      <c r="F344" t="s">
        <v>4037</v>
      </c>
      <c r="G344" t="str">
        <f>_xlfn.XLOOKUP(B344,tblCustomers[CustomerID],tblCustomers[CustomerName],"Unmapped")</f>
        <v>Online Retailer D</v>
      </c>
      <c r="H344">
        <f t="shared" si="15"/>
        <v>30</v>
      </c>
      <c r="I344" s="1">
        <f t="shared" si="16"/>
        <v>0</v>
      </c>
      <c r="J344" t="str">
        <f t="shared" ca="1" si="17"/>
        <v>Paid</v>
      </c>
    </row>
    <row r="345" spans="1:10" x14ac:dyDescent="0.25">
      <c r="A345" t="s">
        <v>4920</v>
      </c>
      <c r="B345" t="s">
        <v>4555</v>
      </c>
      <c r="C345" s="3">
        <v>45913</v>
      </c>
      <c r="D345" s="3">
        <v>45943</v>
      </c>
      <c r="E345" s="1">
        <v>32484.639999999999</v>
      </c>
      <c r="F345" t="s">
        <v>4037</v>
      </c>
      <c r="G345" t="str">
        <f>_xlfn.XLOOKUP(B345,tblCustomers[CustomerID],tblCustomers[CustomerName],"Unmapped")</f>
        <v>Gourmet Shop C</v>
      </c>
      <c r="H345">
        <f t="shared" si="15"/>
        <v>30</v>
      </c>
      <c r="I345" s="1">
        <f t="shared" si="16"/>
        <v>0</v>
      </c>
      <c r="J345" t="str">
        <f t="shared" ca="1" si="17"/>
        <v>Paid</v>
      </c>
    </row>
    <row r="346" spans="1:10" x14ac:dyDescent="0.25">
      <c r="A346" t="s">
        <v>4791</v>
      </c>
      <c r="B346" t="s">
        <v>4555</v>
      </c>
      <c r="C346" s="3">
        <v>45918</v>
      </c>
      <c r="D346" s="3">
        <v>45948</v>
      </c>
      <c r="E346" s="1">
        <v>13143.23</v>
      </c>
      <c r="F346" t="s">
        <v>4037</v>
      </c>
      <c r="G346" t="str">
        <f>_xlfn.XLOOKUP(B346,tblCustomers[CustomerID],tblCustomers[CustomerName],"Unmapped")</f>
        <v>Gourmet Shop C</v>
      </c>
      <c r="H346">
        <f t="shared" si="15"/>
        <v>30</v>
      </c>
      <c r="I346" s="1">
        <f t="shared" si="16"/>
        <v>0</v>
      </c>
      <c r="J346" t="str">
        <f t="shared" ca="1" si="17"/>
        <v>Paid</v>
      </c>
    </row>
    <row r="347" spans="1:10" x14ac:dyDescent="0.25">
      <c r="A347" t="s">
        <v>4824</v>
      </c>
      <c r="B347" t="s">
        <v>4561</v>
      </c>
      <c r="C347" s="3">
        <v>45920</v>
      </c>
      <c r="D347" s="3">
        <v>45950</v>
      </c>
      <c r="E347" s="1">
        <v>21573.56</v>
      </c>
      <c r="F347" t="s">
        <v>4037</v>
      </c>
      <c r="G347" t="str">
        <f>_xlfn.XLOOKUP(B347,tblCustomers[CustomerID],tblCustomers[CustomerName],"Unmapped")</f>
        <v>Retail Giant A</v>
      </c>
      <c r="H347">
        <f t="shared" si="15"/>
        <v>30</v>
      </c>
      <c r="I347" s="1">
        <f t="shared" si="16"/>
        <v>0</v>
      </c>
      <c r="J347" t="str">
        <f t="shared" ca="1" si="17"/>
        <v>Paid</v>
      </c>
    </row>
    <row r="348" spans="1:10" x14ac:dyDescent="0.25">
      <c r="A348" t="s">
        <v>5050</v>
      </c>
      <c r="B348" t="s">
        <v>4559</v>
      </c>
      <c r="C348" s="3">
        <v>45920</v>
      </c>
      <c r="D348" s="3">
        <v>45950</v>
      </c>
      <c r="E348" s="1">
        <v>42923.839999999997</v>
      </c>
      <c r="F348" t="s">
        <v>4040</v>
      </c>
      <c r="G348" t="str">
        <f>_xlfn.XLOOKUP(B348,tblCustomers[CustomerID],tblCustomers[CustomerName],"Unmapped")</f>
        <v>Hotel Group E</v>
      </c>
      <c r="H348">
        <f t="shared" si="15"/>
        <v>30</v>
      </c>
      <c r="I348" s="1">
        <f t="shared" si="16"/>
        <v>42923.839999999997</v>
      </c>
      <c r="J348" t="str">
        <f t="shared" ca="1" si="17"/>
        <v>Overdue</v>
      </c>
    </row>
    <row r="349" spans="1:10" x14ac:dyDescent="0.25">
      <c r="A349" t="s">
        <v>4856</v>
      </c>
      <c r="B349" t="s">
        <v>4559</v>
      </c>
      <c r="C349" s="3">
        <v>45928</v>
      </c>
      <c r="D349" s="3">
        <v>45958</v>
      </c>
      <c r="E349" s="1">
        <v>4621.58</v>
      </c>
      <c r="F349" t="s">
        <v>4037</v>
      </c>
      <c r="G349" t="str">
        <f>_xlfn.XLOOKUP(B349,tblCustomers[CustomerID],tblCustomers[CustomerName],"Unmapped")</f>
        <v>Hotel Group E</v>
      </c>
      <c r="H349">
        <f t="shared" si="15"/>
        <v>30</v>
      </c>
      <c r="I349" s="1">
        <f t="shared" si="16"/>
        <v>0</v>
      </c>
      <c r="J349" t="str">
        <f t="shared" ca="1" si="17"/>
        <v>Paid</v>
      </c>
    </row>
    <row r="350" spans="1:10" x14ac:dyDescent="0.25">
      <c r="A350" t="s">
        <v>5025</v>
      </c>
      <c r="B350" t="s">
        <v>4552</v>
      </c>
      <c r="C350" s="3">
        <v>45929</v>
      </c>
      <c r="D350" s="3">
        <v>45959</v>
      </c>
      <c r="E350" s="1">
        <v>28677.61</v>
      </c>
      <c r="F350" t="s">
        <v>4037</v>
      </c>
      <c r="G350" t="str">
        <f>_xlfn.XLOOKUP(B350,tblCustomers[CustomerID],tblCustomers[CustomerName],"Unmapped")</f>
        <v>Online Retailer D</v>
      </c>
      <c r="H350">
        <f t="shared" si="15"/>
        <v>30</v>
      </c>
      <c r="I350" s="1">
        <f t="shared" si="16"/>
        <v>0</v>
      </c>
      <c r="J350" t="str">
        <f t="shared" ca="1" si="17"/>
        <v>Paid</v>
      </c>
    </row>
    <row r="351" spans="1:10" x14ac:dyDescent="0.25">
      <c r="A351" t="s">
        <v>4940</v>
      </c>
      <c r="B351" t="s">
        <v>4561</v>
      </c>
      <c r="C351" s="3">
        <v>45931</v>
      </c>
      <c r="D351" s="3">
        <v>45961</v>
      </c>
      <c r="E351" s="1">
        <v>9822.0499999999993</v>
      </c>
      <c r="F351" t="s">
        <v>4037</v>
      </c>
      <c r="G351" t="str">
        <f>_xlfn.XLOOKUP(B351,tblCustomers[CustomerID],tblCustomers[CustomerName],"Unmapped")</f>
        <v>Retail Giant A</v>
      </c>
      <c r="H351">
        <f t="shared" si="15"/>
        <v>30</v>
      </c>
      <c r="I351" s="1">
        <f t="shared" si="16"/>
        <v>0</v>
      </c>
      <c r="J351" t="str">
        <f t="shared" ca="1" si="17"/>
        <v>Paid</v>
      </c>
    </row>
    <row r="352" spans="1:10" x14ac:dyDescent="0.25">
      <c r="A352" t="s">
        <v>4855</v>
      </c>
      <c r="B352" t="s">
        <v>4552</v>
      </c>
      <c r="C352" s="3">
        <v>45934</v>
      </c>
      <c r="D352" s="3">
        <v>45964</v>
      </c>
      <c r="E352" s="1">
        <v>21070.59</v>
      </c>
      <c r="F352" t="s">
        <v>4037</v>
      </c>
      <c r="G352" t="str">
        <f>_xlfn.XLOOKUP(B352,tblCustomers[CustomerID],tblCustomers[CustomerName],"Unmapped")</f>
        <v>Online Retailer D</v>
      </c>
      <c r="H352">
        <f t="shared" si="15"/>
        <v>30</v>
      </c>
      <c r="I352" s="1">
        <f t="shared" si="16"/>
        <v>0</v>
      </c>
      <c r="J352" t="str">
        <f t="shared" ca="1" si="17"/>
        <v>Paid</v>
      </c>
    </row>
    <row r="353" spans="1:10" x14ac:dyDescent="0.25">
      <c r="A353" t="s">
        <v>4639</v>
      </c>
      <c r="B353" t="s">
        <v>4561</v>
      </c>
      <c r="C353" s="3">
        <v>45935</v>
      </c>
      <c r="D353" s="3">
        <v>45965</v>
      </c>
      <c r="E353" s="1">
        <v>35476.11</v>
      </c>
      <c r="F353" t="s">
        <v>4037</v>
      </c>
      <c r="G353" t="str">
        <f>_xlfn.XLOOKUP(B353,tblCustomers[CustomerID],tblCustomers[CustomerName],"Unmapped")</f>
        <v>Retail Giant A</v>
      </c>
      <c r="H353">
        <f t="shared" si="15"/>
        <v>30</v>
      </c>
      <c r="I353" s="1">
        <f t="shared" si="16"/>
        <v>0</v>
      </c>
      <c r="J353" t="str">
        <f t="shared" ca="1" si="17"/>
        <v>Paid</v>
      </c>
    </row>
    <row r="354" spans="1:10" x14ac:dyDescent="0.25">
      <c r="A354" t="s">
        <v>4720</v>
      </c>
      <c r="B354" t="s">
        <v>4552</v>
      </c>
      <c r="C354" s="3">
        <v>45936</v>
      </c>
      <c r="D354" s="3">
        <v>45966</v>
      </c>
      <c r="E354" s="1">
        <v>11740.73</v>
      </c>
      <c r="F354" t="s">
        <v>4037</v>
      </c>
      <c r="G354" t="str">
        <f>_xlfn.XLOOKUP(B354,tblCustomers[CustomerID],tblCustomers[CustomerName],"Unmapped")</f>
        <v>Online Retailer D</v>
      </c>
      <c r="H354">
        <f t="shared" si="15"/>
        <v>30</v>
      </c>
      <c r="I354" s="1">
        <f t="shared" si="16"/>
        <v>0</v>
      </c>
      <c r="J354" t="str">
        <f t="shared" ca="1" si="17"/>
        <v>Paid</v>
      </c>
    </row>
    <row r="355" spans="1:10" x14ac:dyDescent="0.25">
      <c r="A355" t="s">
        <v>4907</v>
      </c>
      <c r="B355" t="s">
        <v>4561</v>
      </c>
      <c r="C355" s="3">
        <v>45936</v>
      </c>
      <c r="D355" s="3">
        <v>45966</v>
      </c>
      <c r="E355" s="1">
        <v>18482.64</v>
      </c>
      <c r="F355" t="s">
        <v>4037</v>
      </c>
      <c r="G355" t="str">
        <f>_xlfn.XLOOKUP(B355,tblCustomers[CustomerID],tblCustomers[CustomerName],"Unmapped")</f>
        <v>Retail Giant A</v>
      </c>
      <c r="H355">
        <f t="shared" si="15"/>
        <v>30</v>
      </c>
      <c r="I355" s="1">
        <f t="shared" si="16"/>
        <v>0</v>
      </c>
      <c r="J355" t="str">
        <f t="shared" ca="1" si="17"/>
        <v>Paid</v>
      </c>
    </row>
    <row r="356" spans="1:10" x14ac:dyDescent="0.25">
      <c r="A356" t="s">
        <v>5003</v>
      </c>
      <c r="B356" t="s">
        <v>4559</v>
      </c>
      <c r="C356" s="3">
        <v>45936</v>
      </c>
      <c r="D356" s="3">
        <v>45966</v>
      </c>
      <c r="E356" s="1">
        <v>4179.9399999999996</v>
      </c>
      <c r="F356" t="s">
        <v>4037</v>
      </c>
      <c r="G356" t="str">
        <f>_xlfn.XLOOKUP(B356,tblCustomers[CustomerID],tblCustomers[CustomerName],"Unmapped")</f>
        <v>Hotel Group E</v>
      </c>
      <c r="H356">
        <f t="shared" si="15"/>
        <v>30</v>
      </c>
      <c r="I356" s="1">
        <f t="shared" si="16"/>
        <v>0</v>
      </c>
      <c r="J356" t="str">
        <f t="shared" ca="1" si="17"/>
        <v>Paid</v>
      </c>
    </row>
    <row r="357" spans="1:10" x14ac:dyDescent="0.25">
      <c r="A357" t="s">
        <v>5033</v>
      </c>
      <c r="B357" t="s">
        <v>4561</v>
      </c>
      <c r="C357" s="3">
        <v>45936</v>
      </c>
      <c r="D357" s="3">
        <v>45966</v>
      </c>
      <c r="E357" s="1">
        <v>6433.96</v>
      </c>
      <c r="F357" t="s">
        <v>4037</v>
      </c>
      <c r="G357" t="str">
        <f>_xlfn.XLOOKUP(B357,tblCustomers[CustomerID],tblCustomers[CustomerName],"Unmapped")</f>
        <v>Retail Giant A</v>
      </c>
      <c r="H357">
        <f t="shared" si="15"/>
        <v>30</v>
      </c>
      <c r="I357" s="1">
        <f t="shared" si="16"/>
        <v>0</v>
      </c>
      <c r="J357" t="str">
        <f t="shared" ca="1" si="17"/>
        <v>Paid</v>
      </c>
    </row>
    <row r="358" spans="1:10" x14ac:dyDescent="0.25">
      <c r="A358" t="s">
        <v>4768</v>
      </c>
      <c r="B358" t="s">
        <v>4559</v>
      </c>
      <c r="C358" s="3">
        <v>45943</v>
      </c>
      <c r="D358" s="3">
        <v>45973</v>
      </c>
      <c r="E358" s="1">
        <v>43932.160000000003</v>
      </c>
      <c r="F358" t="s">
        <v>4040</v>
      </c>
      <c r="G358" t="str">
        <f>_xlfn.XLOOKUP(B358,tblCustomers[CustomerID],tblCustomers[CustomerName],"Unmapped")</f>
        <v>Hotel Group E</v>
      </c>
      <c r="H358">
        <f t="shared" si="15"/>
        <v>30</v>
      </c>
      <c r="I358" s="1">
        <f t="shared" si="16"/>
        <v>43932.160000000003</v>
      </c>
      <c r="J358" t="str">
        <f t="shared" ca="1" si="17"/>
        <v>Overdue</v>
      </c>
    </row>
    <row r="359" spans="1:10" x14ac:dyDescent="0.25">
      <c r="A359" t="s">
        <v>4700</v>
      </c>
      <c r="B359" t="s">
        <v>4559</v>
      </c>
      <c r="C359" s="3">
        <v>45945</v>
      </c>
      <c r="D359" s="3">
        <v>45975</v>
      </c>
      <c r="E359" s="1">
        <v>3294.16</v>
      </c>
      <c r="F359" t="s">
        <v>4037</v>
      </c>
      <c r="G359" t="str">
        <f>_xlfn.XLOOKUP(B359,tblCustomers[CustomerID],tblCustomers[CustomerName],"Unmapped")</f>
        <v>Hotel Group E</v>
      </c>
      <c r="H359">
        <f t="shared" si="15"/>
        <v>30</v>
      </c>
      <c r="I359" s="1">
        <f t="shared" si="16"/>
        <v>0</v>
      </c>
      <c r="J359" t="str">
        <f t="shared" ca="1" si="17"/>
        <v>Paid</v>
      </c>
    </row>
    <row r="360" spans="1:10" x14ac:dyDescent="0.25">
      <c r="A360" t="s">
        <v>4829</v>
      </c>
      <c r="B360" t="s">
        <v>4563</v>
      </c>
      <c r="C360" s="3">
        <v>45946</v>
      </c>
      <c r="D360" s="3">
        <v>45976</v>
      </c>
      <c r="E360" s="1">
        <v>6776.9</v>
      </c>
      <c r="F360" t="s">
        <v>4037</v>
      </c>
      <c r="G360" t="str">
        <f>_xlfn.XLOOKUP(B360,tblCustomers[CustomerID],tblCustomers[CustomerName],"Unmapped")</f>
        <v>Supermarket Chain B</v>
      </c>
      <c r="H360">
        <f t="shared" si="15"/>
        <v>30</v>
      </c>
      <c r="I360" s="1">
        <f t="shared" si="16"/>
        <v>0</v>
      </c>
      <c r="J360" t="str">
        <f t="shared" ca="1" si="17"/>
        <v>Paid</v>
      </c>
    </row>
    <row r="361" spans="1:10" x14ac:dyDescent="0.25">
      <c r="A361" t="s">
        <v>4607</v>
      </c>
      <c r="B361" t="s">
        <v>4552</v>
      </c>
      <c r="C361" s="3">
        <v>45948</v>
      </c>
      <c r="D361" s="3">
        <v>45978</v>
      </c>
      <c r="E361" s="1">
        <v>29305.85</v>
      </c>
      <c r="F361" t="s">
        <v>4037</v>
      </c>
      <c r="G361" t="str">
        <f>_xlfn.XLOOKUP(B361,tblCustomers[CustomerID],tblCustomers[CustomerName],"Unmapped")</f>
        <v>Online Retailer D</v>
      </c>
      <c r="H361">
        <f t="shared" si="15"/>
        <v>30</v>
      </c>
      <c r="I361" s="1">
        <f t="shared" si="16"/>
        <v>0</v>
      </c>
      <c r="J361" t="str">
        <f t="shared" ca="1" si="17"/>
        <v>Paid</v>
      </c>
    </row>
    <row r="362" spans="1:10" x14ac:dyDescent="0.25">
      <c r="A362" t="s">
        <v>4826</v>
      </c>
      <c r="B362" t="s">
        <v>4555</v>
      </c>
      <c r="C362" s="3">
        <v>45950</v>
      </c>
      <c r="D362" s="3">
        <v>45980</v>
      </c>
      <c r="E362" s="1">
        <v>42957.4</v>
      </c>
      <c r="F362" t="s">
        <v>4037</v>
      </c>
      <c r="G362" t="str">
        <f>_xlfn.XLOOKUP(B362,tblCustomers[CustomerID],tblCustomers[CustomerName],"Unmapped")</f>
        <v>Gourmet Shop C</v>
      </c>
      <c r="H362">
        <f t="shared" si="15"/>
        <v>30</v>
      </c>
      <c r="I362" s="1">
        <f t="shared" si="16"/>
        <v>0</v>
      </c>
      <c r="J362" t="str">
        <f t="shared" ca="1" si="17"/>
        <v>Paid</v>
      </c>
    </row>
    <row r="363" spans="1:10" x14ac:dyDescent="0.25">
      <c r="A363" t="s">
        <v>4575</v>
      </c>
      <c r="B363" t="s">
        <v>4563</v>
      </c>
      <c r="C363" s="3">
        <v>45951</v>
      </c>
      <c r="D363" s="3">
        <v>45981</v>
      </c>
      <c r="E363" s="1">
        <v>29953.19</v>
      </c>
      <c r="F363" t="s">
        <v>4037</v>
      </c>
      <c r="G363" t="str">
        <f>_xlfn.XLOOKUP(B363,tblCustomers[CustomerID],tblCustomers[CustomerName],"Unmapped")</f>
        <v>Supermarket Chain B</v>
      </c>
      <c r="H363">
        <f t="shared" si="15"/>
        <v>30</v>
      </c>
      <c r="I363" s="1">
        <f t="shared" si="16"/>
        <v>0</v>
      </c>
      <c r="J363" t="str">
        <f t="shared" ca="1" si="17"/>
        <v>Paid</v>
      </c>
    </row>
    <row r="364" spans="1:10" x14ac:dyDescent="0.25">
      <c r="A364" t="s">
        <v>4714</v>
      </c>
      <c r="B364" t="s">
        <v>4561</v>
      </c>
      <c r="C364" s="3">
        <v>45951</v>
      </c>
      <c r="D364" s="3">
        <v>45981</v>
      </c>
      <c r="E364" s="1">
        <v>10267.58</v>
      </c>
      <c r="F364" t="s">
        <v>4037</v>
      </c>
      <c r="G364" t="str">
        <f>_xlfn.XLOOKUP(B364,tblCustomers[CustomerID],tblCustomers[CustomerName],"Unmapped")</f>
        <v>Retail Giant A</v>
      </c>
      <c r="H364">
        <f t="shared" si="15"/>
        <v>30</v>
      </c>
      <c r="I364" s="1">
        <f t="shared" si="16"/>
        <v>0</v>
      </c>
      <c r="J364" t="str">
        <f t="shared" ca="1" si="17"/>
        <v>Paid</v>
      </c>
    </row>
    <row r="365" spans="1:10" x14ac:dyDescent="0.25">
      <c r="A365" t="s">
        <v>4767</v>
      </c>
      <c r="B365" t="s">
        <v>4561</v>
      </c>
      <c r="C365" s="3">
        <v>45955</v>
      </c>
      <c r="D365" s="3">
        <v>45985</v>
      </c>
      <c r="E365" s="1">
        <v>10556.96</v>
      </c>
      <c r="F365" t="s">
        <v>4040</v>
      </c>
      <c r="G365" t="str">
        <f>_xlfn.XLOOKUP(B365,tblCustomers[CustomerID],tblCustomers[CustomerName],"Unmapped")</f>
        <v>Retail Giant A</v>
      </c>
      <c r="H365">
        <f t="shared" si="15"/>
        <v>30</v>
      </c>
      <c r="I365" s="1">
        <f t="shared" si="16"/>
        <v>10556.96</v>
      </c>
      <c r="J365" t="str">
        <f t="shared" ca="1" si="17"/>
        <v>Overdue</v>
      </c>
    </row>
    <row r="366" spans="1:10" x14ac:dyDescent="0.25">
      <c r="A366" t="s">
        <v>4790</v>
      </c>
      <c r="B366" t="s">
        <v>4555</v>
      </c>
      <c r="C366" s="3">
        <v>45958</v>
      </c>
      <c r="D366" s="3">
        <v>45988</v>
      </c>
      <c r="E366" s="1">
        <v>34562.06</v>
      </c>
      <c r="F366" t="s">
        <v>4037</v>
      </c>
      <c r="G366" t="str">
        <f>_xlfn.XLOOKUP(B366,tblCustomers[CustomerID],tblCustomers[CustomerName],"Unmapped")</f>
        <v>Gourmet Shop C</v>
      </c>
      <c r="H366">
        <f t="shared" si="15"/>
        <v>30</v>
      </c>
      <c r="I366" s="1">
        <f t="shared" si="16"/>
        <v>0</v>
      </c>
      <c r="J366" t="str">
        <f t="shared" ca="1" si="17"/>
        <v>Paid</v>
      </c>
    </row>
    <row r="367" spans="1:10" x14ac:dyDescent="0.25">
      <c r="A367" t="s">
        <v>4888</v>
      </c>
      <c r="B367" t="s">
        <v>4561</v>
      </c>
      <c r="C367" s="3">
        <v>45961</v>
      </c>
      <c r="D367" s="3">
        <v>45991</v>
      </c>
      <c r="E367" s="1">
        <v>33929.74</v>
      </c>
      <c r="F367" t="s">
        <v>4037</v>
      </c>
      <c r="G367" t="str">
        <f>_xlfn.XLOOKUP(B367,tblCustomers[CustomerID],tblCustomers[CustomerName],"Unmapped")</f>
        <v>Retail Giant A</v>
      </c>
      <c r="H367">
        <f t="shared" si="15"/>
        <v>30</v>
      </c>
      <c r="I367" s="1">
        <f t="shared" si="16"/>
        <v>0</v>
      </c>
      <c r="J367" t="str">
        <f t="shared" ca="1" si="17"/>
        <v>Paid</v>
      </c>
    </row>
    <row r="368" spans="1:10" x14ac:dyDescent="0.25">
      <c r="A368" t="s">
        <v>4574</v>
      </c>
      <c r="B368" t="s">
        <v>4555</v>
      </c>
      <c r="C368" s="3">
        <v>45962</v>
      </c>
      <c r="D368" s="3">
        <v>45992</v>
      </c>
      <c r="E368" s="1">
        <v>21444.98</v>
      </c>
      <c r="F368" t="s">
        <v>4037</v>
      </c>
      <c r="G368" t="str">
        <f>_xlfn.XLOOKUP(B368,tblCustomers[CustomerID],tblCustomers[CustomerName],"Unmapped")</f>
        <v>Gourmet Shop C</v>
      </c>
      <c r="H368">
        <f t="shared" si="15"/>
        <v>30</v>
      </c>
      <c r="I368" s="1">
        <f t="shared" si="16"/>
        <v>0</v>
      </c>
      <c r="J368" t="str">
        <f t="shared" ca="1" si="17"/>
        <v>Paid</v>
      </c>
    </row>
    <row r="369" spans="1:10" x14ac:dyDescent="0.25">
      <c r="A369" t="s">
        <v>4889</v>
      </c>
      <c r="B369" t="s">
        <v>4555</v>
      </c>
      <c r="C369" s="3">
        <v>45962</v>
      </c>
      <c r="D369" s="3">
        <v>45992</v>
      </c>
      <c r="E369" s="1">
        <v>27032.53</v>
      </c>
      <c r="F369" t="s">
        <v>4040</v>
      </c>
      <c r="G369" t="str">
        <f>_xlfn.XLOOKUP(B369,tblCustomers[CustomerID],tblCustomers[CustomerName],"Unmapped")</f>
        <v>Gourmet Shop C</v>
      </c>
      <c r="H369">
        <f t="shared" si="15"/>
        <v>30</v>
      </c>
      <c r="I369" s="1">
        <f t="shared" si="16"/>
        <v>27032.53</v>
      </c>
      <c r="J369" t="str">
        <f t="shared" ca="1" si="17"/>
        <v>Overdue</v>
      </c>
    </row>
    <row r="370" spans="1:10" x14ac:dyDescent="0.25">
      <c r="A370" t="s">
        <v>4761</v>
      </c>
      <c r="B370" t="s">
        <v>4563</v>
      </c>
      <c r="C370" s="3">
        <v>45964</v>
      </c>
      <c r="D370" s="3">
        <v>45994</v>
      </c>
      <c r="E370" s="1">
        <v>41016.75</v>
      </c>
      <c r="F370" t="s">
        <v>4037</v>
      </c>
      <c r="G370" t="str">
        <f>_xlfn.XLOOKUP(B370,tblCustomers[CustomerID],tblCustomers[CustomerName],"Unmapped")</f>
        <v>Supermarket Chain B</v>
      </c>
      <c r="H370">
        <f t="shared" si="15"/>
        <v>30</v>
      </c>
      <c r="I370" s="1">
        <f t="shared" si="16"/>
        <v>0</v>
      </c>
      <c r="J370" t="str">
        <f t="shared" ca="1" si="17"/>
        <v>Paid</v>
      </c>
    </row>
    <row r="371" spans="1:10" x14ac:dyDescent="0.25">
      <c r="A371" t="s">
        <v>4933</v>
      </c>
      <c r="B371" t="s">
        <v>4561</v>
      </c>
      <c r="C371" s="3">
        <v>45965</v>
      </c>
      <c r="D371" s="3">
        <v>45995</v>
      </c>
      <c r="E371" s="1">
        <v>23275.83</v>
      </c>
      <c r="F371" t="s">
        <v>4037</v>
      </c>
      <c r="G371" t="str">
        <f>_xlfn.XLOOKUP(B371,tblCustomers[CustomerID],tblCustomers[CustomerName],"Unmapped")</f>
        <v>Retail Giant A</v>
      </c>
      <c r="H371">
        <f t="shared" si="15"/>
        <v>30</v>
      </c>
      <c r="I371" s="1">
        <f t="shared" si="16"/>
        <v>0</v>
      </c>
      <c r="J371" t="str">
        <f t="shared" ca="1" si="17"/>
        <v>Paid</v>
      </c>
    </row>
    <row r="372" spans="1:10" x14ac:dyDescent="0.25">
      <c r="A372" t="s">
        <v>4609</v>
      </c>
      <c r="B372" t="s">
        <v>4555</v>
      </c>
      <c r="C372" s="3">
        <v>45971</v>
      </c>
      <c r="D372" s="3">
        <v>46001</v>
      </c>
      <c r="E372" s="1">
        <v>8769.91</v>
      </c>
      <c r="F372" t="s">
        <v>4037</v>
      </c>
      <c r="G372" t="str">
        <f>_xlfn.XLOOKUP(B372,tblCustomers[CustomerID],tblCustomers[CustomerName],"Unmapped")</f>
        <v>Gourmet Shop C</v>
      </c>
      <c r="H372">
        <f t="shared" si="15"/>
        <v>30</v>
      </c>
      <c r="I372" s="1">
        <f t="shared" si="16"/>
        <v>0</v>
      </c>
      <c r="J372" t="str">
        <f t="shared" ca="1" si="17"/>
        <v>Paid</v>
      </c>
    </row>
    <row r="373" spans="1:10" x14ac:dyDescent="0.25">
      <c r="A373" t="s">
        <v>4707</v>
      </c>
      <c r="B373" t="s">
        <v>4561</v>
      </c>
      <c r="C373" s="3">
        <v>45971</v>
      </c>
      <c r="D373" s="3">
        <v>46001</v>
      </c>
      <c r="E373" s="1">
        <v>33280.04</v>
      </c>
      <c r="F373" t="s">
        <v>4040</v>
      </c>
      <c r="G373" t="str">
        <f>_xlfn.XLOOKUP(B373,tblCustomers[CustomerID],tblCustomers[CustomerName],"Unmapped")</f>
        <v>Retail Giant A</v>
      </c>
      <c r="H373">
        <f t="shared" si="15"/>
        <v>30</v>
      </c>
      <c r="I373" s="1">
        <f t="shared" si="16"/>
        <v>33280.04</v>
      </c>
      <c r="J373" t="str">
        <f t="shared" ca="1" si="17"/>
        <v>Overdue</v>
      </c>
    </row>
    <row r="374" spans="1:10" x14ac:dyDescent="0.25">
      <c r="A374" t="s">
        <v>4931</v>
      </c>
      <c r="B374" t="s">
        <v>4561</v>
      </c>
      <c r="C374" s="3">
        <v>45972</v>
      </c>
      <c r="D374" s="3">
        <v>46002</v>
      </c>
      <c r="E374" s="1">
        <v>7890.48</v>
      </c>
      <c r="F374" t="s">
        <v>4037</v>
      </c>
      <c r="G374" t="str">
        <f>_xlfn.XLOOKUP(B374,tblCustomers[CustomerID],tblCustomers[CustomerName],"Unmapped")</f>
        <v>Retail Giant A</v>
      </c>
      <c r="H374">
        <f t="shared" si="15"/>
        <v>30</v>
      </c>
      <c r="I374" s="1">
        <f t="shared" si="16"/>
        <v>0</v>
      </c>
      <c r="J374" t="str">
        <f t="shared" ca="1" si="17"/>
        <v>Paid</v>
      </c>
    </row>
    <row r="375" spans="1:10" x14ac:dyDescent="0.25">
      <c r="A375" t="s">
        <v>4748</v>
      </c>
      <c r="B375" t="s">
        <v>4555</v>
      </c>
      <c r="C375" s="3">
        <v>45975</v>
      </c>
      <c r="D375" s="3">
        <v>46005</v>
      </c>
      <c r="E375" s="1">
        <v>10707.89</v>
      </c>
      <c r="F375" t="s">
        <v>4040</v>
      </c>
      <c r="G375" t="str">
        <f>_xlfn.XLOOKUP(B375,tblCustomers[CustomerID],tblCustomers[CustomerName],"Unmapped")</f>
        <v>Gourmet Shop C</v>
      </c>
      <c r="H375">
        <f t="shared" si="15"/>
        <v>30</v>
      </c>
      <c r="I375" s="1">
        <f t="shared" si="16"/>
        <v>10707.89</v>
      </c>
      <c r="J375" t="str">
        <f t="shared" ca="1" si="17"/>
        <v>Overdue</v>
      </c>
    </row>
    <row r="376" spans="1:10" x14ac:dyDescent="0.25">
      <c r="A376" t="s">
        <v>4645</v>
      </c>
      <c r="B376" t="s">
        <v>4552</v>
      </c>
      <c r="C376" s="3">
        <v>45979</v>
      </c>
      <c r="D376" s="3">
        <v>46009</v>
      </c>
      <c r="E376" s="1">
        <v>2741.41</v>
      </c>
      <c r="F376" t="s">
        <v>4037</v>
      </c>
      <c r="G376" t="str">
        <f>_xlfn.XLOOKUP(B376,tblCustomers[CustomerID],tblCustomers[CustomerName],"Unmapped")</f>
        <v>Online Retailer D</v>
      </c>
      <c r="H376">
        <f t="shared" si="15"/>
        <v>30</v>
      </c>
      <c r="I376" s="1">
        <f t="shared" si="16"/>
        <v>0</v>
      </c>
      <c r="J376" t="str">
        <f t="shared" ca="1" si="17"/>
        <v>Paid</v>
      </c>
    </row>
    <row r="377" spans="1:10" x14ac:dyDescent="0.25">
      <c r="A377" t="s">
        <v>4662</v>
      </c>
      <c r="B377" t="s">
        <v>4563</v>
      </c>
      <c r="C377" s="3">
        <v>45982</v>
      </c>
      <c r="D377" s="3">
        <v>46012</v>
      </c>
      <c r="E377" s="1">
        <v>25385.54</v>
      </c>
      <c r="F377" t="s">
        <v>4040</v>
      </c>
      <c r="G377" t="str">
        <f>_xlfn.XLOOKUP(B377,tblCustomers[CustomerID],tblCustomers[CustomerName],"Unmapped")</f>
        <v>Supermarket Chain B</v>
      </c>
      <c r="H377">
        <f t="shared" si="15"/>
        <v>30</v>
      </c>
      <c r="I377" s="1">
        <f t="shared" si="16"/>
        <v>25385.54</v>
      </c>
      <c r="J377" t="str">
        <f t="shared" ca="1" si="17"/>
        <v>Overdue</v>
      </c>
    </row>
    <row r="378" spans="1:10" x14ac:dyDescent="0.25">
      <c r="A378" t="s">
        <v>4958</v>
      </c>
      <c r="B378" t="s">
        <v>4555</v>
      </c>
      <c r="C378" s="3">
        <v>45983</v>
      </c>
      <c r="D378" s="3">
        <v>46013</v>
      </c>
      <c r="E378" s="1">
        <v>6561.33</v>
      </c>
      <c r="F378" t="s">
        <v>4037</v>
      </c>
      <c r="G378" t="str">
        <f>_xlfn.XLOOKUP(B378,tblCustomers[CustomerID],tblCustomers[CustomerName],"Unmapped")</f>
        <v>Gourmet Shop C</v>
      </c>
      <c r="H378">
        <f t="shared" si="15"/>
        <v>30</v>
      </c>
      <c r="I378" s="1">
        <f t="shared" si="16"/>
        <v>0</v>
      </c>
      <c r="J378" t="str">
        <f t="shared" ca="1" si="17"/>
        <v>Paid</v>
      </c>
    </row>
    <row r="379" spans="1:10" x14ac:dyDescent="0.25">
      <c r="A379" t="s">
        <v>4961</v>
      </c>
      <c r="B379" t="s">
        <v>4552</v>
      </c>
      <c r="C379" s="3">
        <v>45985</v>
      </c>
      <c r="D379" s="3">
        <v>46015</v>
      </c>
      <c r="E379" s="1">
        <v>35663.22</v>
      </c>
      <c r="F379" t="s">
        <v>4037</v>
      </c>
      <c r="G379" t="str">
        <f>_xlfn.XLOOKUP(B379,tblCustomers[CustomerID],tblCustomers[CustomerName],"Unmapped")</f>
        <v>Online Retailer D</v>
      </c>
      <c r="H379">
        <f t="shared" si="15"/>
        <v>30</v>
      </c>
      <c r="I379" s="1">
        <f t="shared" si="16"/>
        <v>0</v>
      </c>
      <c r="J379" t="str">
        <f t="shared" ca="1" si="17"/>
        <v>Paid</v>
      </c>
    </row>
    <row r="380" spans="1:10" x14ac:dyDescent="0.25">
      <c r="A380" t="s">
        <v>4834</v>
      </c>
      <c r="B380" t="s">
        <v>4559</v>
      </c>
      <c r="C380" s="3">
        <v>45986</v>
      </c>
      <c r="D380" s="3">
        <v>46016</v>
      </c>
      <c r="E380" s="1">
        <v>35663.17</v>
      </c>
      <c r="F380" t="s">
        <v>4037</v>
      </c>
      <c r="G380" t="str">
        <f>_xlfn.XLOOKUP(B380,tblCustomers[CustomerID],tblCustomers[CustomerName],"Unmapped")</f>
        <v>Hotel Group E</v>
      </c>
      <c r="H380">
        <f t="shared" si="15"/>
        <v>30</v>
      </c>
      <c r="I380" s="1">
        <f t="shared" si="16"/>
        <v>0</v>
      </c>
      <c r="J380" t="str">
        <f t="shared" ca="1" si="17"/>
        <v>Paid</v>
      </c>
    </row>
    <row r="381" spans="1:10" x14ac:dyDescent="0.25">
      <c r="A381" t="s">
        <v>4610</v>
      </c>
      <c r="B381" t="s">
        <v>4561</v>
      </c>
      <c r="C381" s="3">
        <v>45989</v>
      </c>
      <c r="D381" s="3">
        <v>46019</v>
      </c>
      <c r="E381" s="1">
        <v>12018.32</v>
      </c>
      <c r="F381" t="s">
        <v>4037</v>
      </c>
      <c r="G381" t="str">
        <f>_xlfn.XLOOKUP(B381,tblCustomers[CustomerID],tblCustomers[CustomerName],"Unmapped")</f>
        <v>Retail Giant A</v>
      </c>
      <c r="H381">
        <f t="shared" si="15"/>
        <v>30</v>
      </c>
      <c r="I381" s="1">
        <f t="shared" si="16"/>
        <v>0</v>
      </c>
      <c r="J381" t="str">
        <f t="shared" ca="1" si="17"/>
        <v>Paid</v>
      </c>
    </row>
    <row r="382" spans="1:10" x14ac:dyDescent="0.25">
      <c r="A382" t="s">
        <v>4944</v>
      </c>
      <c r="B382" t="s">
        <v>4561</v>
      </c>
      <c r="C382" s="3">
        <v>45989</v>
      </c>
      <c r="D382" s="3">
        <v>46019</v>
      </c>
      <c r="E382" s="1">
        <v>35778.25</v>
      </c>
      <c r="F382" t="s">
        <v>4037</v>
      </c>
      <c r="G382" t="str">
        <f>_xlfn.XLOOKUP(B382,tblCustomers[CustomerID],tblCustomers[CustomerName],"Unmapped")</f>
        <v>Retail Giant A</v>
      </c>
      <c r="H382">
        <f t="shared" si="15"/>
        <v>30</v>
      </c>
      <c r="I382" s="1">
        <f t="shared" si="16"/>
        <v>0</v>
      </c>
      <c r="J382" t="str">
        <f t="shared" ca="1" si="17"/>
        <v>Paid</v>
      </c>
    </row>
    <row r="383" spans="1:10" x14ac:dyDescent="0.25">
      <c r="A383" t="s">
        <v>4737</v>
      </c>
      <c r="B383" t="s">
        <v>4559</v>
      </c>
      <c r="C383" s="3">
        <v>45994</v>
      </c>
      <c r="D383" s="3">
        <v>46024</v>
      </c>
      <c r="E383" s="1">
        <v>47234.93</v>
      </c>
      <c r="F383" t="s">
        <v>4037</v>
      </c>
      <c r="G383" t="str">
        <f>_xlfn.XLOOKUP(B383,tblCustomers[CustomerID],tblCustomers[CustomerName],"Unmapped")</f>
        <v>Hotel Group E</v>
      </c>
      <c r="H383">
        <f t="shared" si="15"/>
        <v>30</v>
      </c>
      <c r="I383" s="1">
        <f t="shared" si="16"/>
        <v>0</v>
      </c>
      <c r="J383" t="str">
        <f t="shared" ca="1" si="17"/>
        <v>Paid</v>
      </c>
    </row>
    <row r="384" spans="1:10" x14ac:dyDescent="0.25">
      <c r="A384" t="s">
        <v>4864</v>
      </c>
      <c r="B384" t="s">
        <v>4552</v>
      </c>
      <c r="C384" s="3">
        <v>45994</v>
      </c>
      <c r="D384" s="3">
        <v>46024</v>
      </c>
      <c r="E384" s="1">
        <v>37763.68</v>
      </c>
      <c r="F384" t="s">
        <v>4037</v>
      </c>
      <c r="G384" t="str">
        <f>_xlfn.XLOOKUP(B384,tblCustomers[CustomerID],tblCustomers[CustomerName],"Unmapped")</f>
        <v>Online Retailer D</v>
      </c>
      <c r="H384">
        <f t="shared" si="15"/>
        <v>30</v>
      </c>
      <c r="I384" s="1">
        <f t="shared" si="16"/>
        <v>0</v>
      </c>
      <c r="J384" t="str">
        <f t="shared" ca="1" si="17"/>
        <v>Paid</v>
      </c>
    </row>
    <row r="385" spans="1:10" x14ac:dyDescent="0.25">
      <c r="A385" t="s">
        <v>4926</v>
      </c>
      <c r="B385" t="s">
        <v>4563</v>
      </c>
      <c r="C385" s="3">
        <v>45995</v>
      </c>
      <c r="D385" s="3">
        <v>46025</v>
      </c>
      <c r="E385" s="1">
        <v>45108.05</v>
      </c>
      <c r="F385" t="s">
        <v>4037</v>
      </c>
      <c r="G385" t="str">
        <f>_xlfn.XLOOKUP(B385,tblCustomers[CustomerID],tblCustomers[CustomerName],"Unmapped")</f>
        <v>Supermarket Chain B</v>
      </c>
      <c r="H385">
        <f t="shared" si="15"/>
        <v>30</v>
      </c>
      <c r="I385" s="1">
        <f t="shared" si="16"/>
        <v>0</v>
      </c>
      <c r="J385" t="str">
        <f t="shared" ca="1" si="17"/>
        <v>Paid</v>
      </c>
    </row>
    <row r="386" spans="1:10" x14ac:dyDescent="0.25">
      <c r="A386" t="s">
        <v>4863</v>
      </c>
      <c r="B386" t="s">
        <v>4563</v>
      </c>
      <c r="C386" s="3">
        <v>45998</v>
      </c>
      <c r="D386" s="3">
        <v>46028</v>
      </c>
      <c r="E386" s="1">
        <v>33550.18</v>
      </c>
      <c r="F386" t="s">
        <v>4040</v>
      </c>
      <c r="G386" t="str">
        <f>_xlfn.XLOOKUP(B386,tblCustomers[CustomerID],tblCustomers[CustomerName],"Unmapped")</f>
        <v>Supermarket Chain B</v>
      </c>
      <c r="H386">
        <f t="shared" ref="H386:H449" si="18">D386-C386</f>
        <v>30</v>
      </c>
      <c r="I386" s="1">
        <f t="shared" ref="I386:I449" si="19">IF(F386="Unpaid",E386,0)</f>
        <v>33550.18</v>
      </c>
      <c r="J386" t="str">
        <f t="shared" ref="J386:J449" ca="1" si="20">IF(F386="Paid","Paid",IF(D386&lt;TODAY(),"Overdue","Open"))</f>
        <v>Overdue</v>
      </c>
    </row>
    <row r="387" spans="1:10" x14ac:dyDescent="0.25">
      <c r="A387" t="s">
        <v>4644</v>
      </c>
      <c r="B387" t="s">
        <v>4561</v>
      </c>
      <c r="C387" s="3">
        <v>46001</v>
      </c>
      <c r="D387" s="3">
        <v>46031</v>
      </c>
      <c r="E387" s="1">
        <v>47691.78</v>
      </c>
      <c r="F387" t="s">
        <v>4040</v>
      </c>
      <c r="G387" t="str">
        <f>_xlfn.XLOOKUP(B387,tblCustomers[CustomerID],tblCustomers[CustomerName],"Unmapped")</f>
        <v>Retail Giant A</v>
      </c>
      <c r="H387">
        <f t="shared" si="18"/>
        <v>30</v>
      </c>
      <c r="I387" s="1">
        <f t="shared" si="19"/>
        <v>47691.78</v>
      </c>
      <c r="J387" t="str">
        <f t="shared" ca="1" si="20"/>
        <v>Overdue</v>
      </c>
    </row>
    <row r="388" spans="1:10" x14ac:dyDescent="0.25">
      <c r="A388" t="s">
        <v>4678</v>
      </c>
      <c r="B388" t="s">
        <v>4555</v>
      </c>
      <c r="C388" s="3">
        <v>46001</v>
      </c>
      <c r="D388" s="3">
        <v>46031</v>
      </c>
      <c r="E388" s="1">
        <v>47332.11</v>
      </c>
      <c r="F388" t="s">
        <v>4037</v>
      </c>
      <c r="G388" t="str">
        <f>_xlfn.XLOOKUP(B388,tblCustomers[CustomerID],tblCustomers[CustomerName],"Unmapped")</f>
        <v>Gourmet Shop C</v>
      </c>
      <c r="H388">
        <f t="shared" si="18"/>
        <v>30</v>
      </c>
      <c r="I388" s="1">
        <f t="shared" si="19"/>
        <v>0</v>
      </c>
      <c r="J388" t="str">
        <f t="shared" ca="1" si="20"/>
        <v>Paid</v>
      </c>
    </row>
    <row r="389" spans="1:10" x14ac:dyDescent="0.25">
      <c r="A389" t="s">
        <v>4939</v>
      </c>
      <c r="B389" t="s">
        <v>4563</v>
      </c>
      <c r="C389" s="3">
        <v>46001</v>
      </c>
      <c r="D389" s="3">
        <v>46031</v>
      </c>
      <c r="E389" s="1">
        <v>35572.080000000002</v>
      </c>
      <c r="F389" t="s">
        <v>4037</v>
      </c>
      <c r="G389" t="str">
        <f>_xlfn.XLOOKUP(B389,tblCustomers[CustomerID],tblCustomers[CustomerName],"Unmapped")</f>
        <v>Supermarket Chain B</v>
      </c>
      <c r="H389">
        <f t="shared" si="18"/>
        <v>30</v>
      </c>
      <c r="I389" s="1">
        <f t="shared" si="19"/>
        <v>0</v>
      </c>
      <c r="J389" t="str">
        <f t="shared" ca="1" si="20"/>
        <v>Paid</v>
      </c>
    </row>
    <row r="390" spans="1:10" x14ac:dyDescent="0.25">
      <c r="A390" t="s">
        <v>4637</v>
      </c>
      <c r="B390" t="s">
        <v>4555</v>
      </c>
      <c r="C390" s="3">
        <v>46003</v>
      </c>
      <c r="D390" s="3">
        <v>46033</v>
      </c>
      <c r="E390" s="1">
        <v>22040.959999999999</v>
      </c>
      <c r="F390" t="s">
        <v>4037</v>
      </c>
      <c r="G390" t="str">
        <f>_xlfn.XLOOKUP(B390,tblCustomers[CustomerID],tblCustomers[CustomerName],"Unmapped")</f>
        <v>Gourmet Shop C</v>
      </c>
      <c r="H390">
        <f t="shared" si="18"/>
        <v>30</v>
      </c>
      <c r="I390" s="1">
        <f t="shared" si="19"/>
        <v>0</v>
      </c>
      <c r="J390" t="str">
        <f t="shared" ca="1" si="20"/>
        <v>Paid</v>
      </c>
    </row>
    <row r="391" spans="1:10" x14ac:dyDescent="0.25">
      <c r="A391" t="s">
        <v>4632</v>
      </c>
      <c r="B391" t="s">
        <v>4552</v>
      </c>
      <c r="C391" s="3">
        <v>46004</v>
      </c>
      <c r="D391" s="3">
        <v>46034</v>
      </c>
      <c r="E391" s="1">
        <v>16255.32</v>
      </c>
      <c r="F391" t="s">
        <v>4037</v>
      </c>
      <c r="G391" t="str">
        <f>_xlfn.XLOOKUP(B391,tblCustomers[CustomerID],tblCustomers[CustomerName],"Unmapped")</f>
        <v>Online Retailer D</v>
      </c>
      <c r="H391">
        <f t="shared" si="18"/>
        <v>30</v>
      </c>
      <c r="I391" s="1">
        <f t="shared" si="19"/>
        <v>0</v>
      </c>
      <c r="J391" t="str">
        <f t="shared" ca="1" si="20"/>
        <v>Paid</v>
      </c>
    </row>
    <row r="392" spans="1:10" x14ac:dyDescent="0.25">
      <c r="A392" t="s">
        <v>4721</v>
      </c>
      <c r="B392" t="s">
        <v>4555</v>
      </c>
      <c r="C392" s="3">
        <v>46010</v>
      </c>
      <c r="D392" s="3">
        <v>46040</v>
      </c>
      <c r="E392" s="1">
        <v>39376.89</v>
      </c>
      <c r="F392" t="s">
        <v>4037</v>
      </c>
      <c r="G392" t="str">
        <f>_xlfn.XLOOKUP(B392,tblCustomers[CustomerID],tblCustomers[CustomerName],"Unmapped")</f>
        <v>Gourmet Shop C</v>
      </c>
      <c r="H392">
        <f t="shared" si="18"/>
        <v>30</v>
      </c>
      <c r="I392" s="1">
        <f t="shared" si="19"/>
        <v>0</v>
      </c>
      <c r="J392" t="str">
        <f t="shared" ca="1" si="20"/>
        <v>Paid</v>
      </c>
    </row>
    <row r="393" spans="1:10" x14ac:dyDescent="0.25">
      <c r="A393" t="s">
        <v>4778</v>
      </c>
      <c r="B393" t="s">
        <v>4563</v>
      </c>
      <c r="C393" s="3">
        <v>46013</v>
      </c>
      <c r="D393" s="3">
        <v>46043</v>
      </c>
      <c r="E393" s="1">
        <v>3238.7</v>
      </c>
      <c r="F393" t="s">
        <v>4037</v>
      </c>
      <c r="G393" t="str">
        <f>_xlfn.XLOOKUP(B393,tblCustomers[CustomerID],tblCustomers[CustomerName],"Unmapped")</f>
        <v>Supermarket Chain B</v>
      </c>
      <c r="H393">
        <f t="shared" si="18"/>
        <v>30</v>
      </c>
      <c r="I393" s="1">
        <f t="shared" si="19"/>
        <v>0</v>
      </c>
      <c r="J393" t="str">
        <f t="shared" ca="1" si="20"/>
        <v>Paid</v>
      </c>
    </row>
    <row r="394" spans="1:10" x14ac:dyDescent="0.25">
      <c r="A394" t="s">
        <v>5011</v>
      </c>
      <c r="B394" t="s">
        <v>4561</v>
      </c>
      <c r="C394" s="3">
        <v>46023</v>
      </c>
      <c r="D394" s="3">
        <v>46053</v>
      </c>
      <c r="E394" s="1">
        <v>26592.240000000002</v>
      </c>
      <c r="F394" t="s">
        <v>4037</v>
      </c>
      <c r="G394" t="str">
        <f>_xlfn.XLOOKUP(B394,tblCustomers[CustomerID],tblCustomers[CustomerName],"Unmapped")</f>
        <v>Retail Giant A</v>
      </c>
      <c r="H394">
        <f t="shared" si="18"/>
        <v>30</v>
      </c>
      <c r="I394" s="1">
        <f t="shared" si="19"/>
        <v>0</v>
      </c>
      <c r="J394" t="str">
        <f t="shared" ca="1" si="20"/>
        <v>Paid</v>
      </c>
    </row>
    <row r="395" spans="1:10" x14ac:dyDescent="0.25">
      <c r="A395" t="s">
        <v>4793</v>
      </c>
      <c r="B395" t="s">
        <v>4561</v>
      </c>
      <c r="C395" s="3">
        <v>46038</v>
      </c>
      <c r="D395" s="3">
        <v>46068</v>
      </c>
      <c r="E395" s="1">
        <v>3157.75</v>
      </c>
      <c r="F395" t="s">
        <v>4037</v>
      </c>
      <c r="G395" t="str">
        <f>_xlfn.XLOOKUP(B395,tblCustomers[CustomerID],tblCustomers[CustomerName],"Unmapped")</f>
        <v>Retail Giant A</v>
      </c>
      <c r="H395">
        <f t="shared" si="18"/>
        <v>30</v>
      </c>
      <c r="I395" s="1">
        <f t="shared" si="19"/>
        <v>0</v>
      </c>
      <c r="J395" t="str">
        <f t="shared" ca="1" si="20"/>
        <v>Paid</v>
      </c>
    </row>
    <row r="396" spans="1:10" x14ac:dyDescent="0.25">
      <c r="A396" t="s">
        <v>4879</v>
      </c>
      <c r="B396" t="s">
        <v>4561</v>
      </c>
      <c r="C396" s="3">
        <v>46040</v>
      </c>
      <c r="D396" s="3">
        <v>46070</v>
      </c>
      <c r="E396" s="1">
        <v>9044.3799999999992</v>
      </c>
      <c r="F396" t="s">
        <v>4037</v>
      </c>
      <c r="G396" t="str">
        <f>_xlfn.XLOOKUP(B396,tblCustomers[CustomerID],tblCustomers[CustomerName],"Unmapped")</f>
        <v>Retail Giant A</v>
      </c>
      <c r="H396">
        <f t="shared" si="18"/>
        <v>30</v>
      </c>
      <c r="I396" s="1">
        <f t="shared" si="19"/>
        <v>0</v>
      </c>
      <c r="J396" t="str">
        <f t="shared" ca="1" si="20"/>
        <v>Paid</v>
      </c>
    </row>
    <row r="397" spans="1:10" x14ac:dyDescent="0.25">
      <c r="A397" t="s">
        <v>4959</v>
      </c>
      <c r="B397" t="s">
        <v>4563</v>
      </c>
      <c r="C397" s="3">
        <v>46042</v>
      </c>
      <c r="D397" s="3">
        <v>46072</v>
      </c>
      <c r="E397" s="1">
        <v>10249.969999999999</v>
      </c>
      <c r="F397" t="s">
        <v>4040</v>
      </c>
      <c r="G397" t="str">
        <f>_xlfn.XLOOKUP(B397,tblCustomers[CustomerID],tblCustomers[CustomerName],"Unmapped")</f>
        <v>Supermarket Chain B</v>
      </c>
      <c r="H397">
        <f t="shared" si="18"/>
        <v>30</v>
      </c>
      <c r="I397" s="1">
        <f t="shared" si="19"/>
        <v>10249.969999999999</v>
      </c>
      <c r="J397" t="str">
        <f t="shared" ca="1" si="20"/>
        <v>Overdue</v>
      </c>
    </row>
    <row r="398" spans="1:10" x14ac:dyDescent="0.25">
      <c r="A398" t="s">
        <v>5041</v>
      </c>
      <c r="B398" t="s">
        <v>4561</v>
      </c>
      <c r="C398" s="3">
        <v>46042</v>
      </c>
      <c r="D398" s="3">
        <v>46072</v>
      </c>
      <c r="E398" s="1">
        <v>7672.18</v>
      </c>
      <c r="F398" t="s">
        <v>4040</v>
      </c>
      <c r="G398" t="str">
        <f>_xlfn.XLOOKUP(B398,tblCustomers[CustomerID],tblCustomers[CustomerName],"Unmapped")</f>
        <v>Retail Giant A</v>
      </c>
      <c r="H398">
        <f t="shared" si="18"/>
        <v>30</v>
      </c>
      <c r="I398" s="1">
        <f t="shared" si="19"/>
        <v>7672.18</v>
      </c>
      <c r="J398" t="str">
        <f t="shared" ca="1" si="20"/>
        <v>Overdue</v>
      </c>
    </row>
    <row r="399" spans="1:10" x14ac:dyDescent="0.25">
      <c r="A399" t="s">
        <v>4652</v>
      </c>
      <c r="B399" t="s">
        <v>4559</v>
      </c>
      <c r="C399" s="3">
        <v>46043</v>
      </c>
      <c r="D399" s="3">
        <v>46073</v>
      </c>
      <c r="E399" s="1">
        <v>28390.15</v>
      </c>
      <c r="F399" t="s">
        <v>4037</v>
      </c>
      <c r="G399" t="str">
        <f>_xlfn.XLOOKUP(B399,tblCustomers[CustomerID],tblCustomers[CustomerName],"Unmapped")</f>
        <v>Hotel Group E</v>
      </c>
      <c r="H399">
        <f t="shared" si="18"/>
        <v>30</v>
      </c>
      <c r="I399" s="1">
        <f t="shared" si="19"/>
        <v>0</v>
      </c>
      <c r="J399" t="str">
        <f t="shared" ca="1" si="20"/>
        <v>Paid</v>
      </c>
    </row>
    <row r="400" spans="1:10" x14ac:dyDescent="0.25">
      <c r="A400" t="s">
        <v>4758</v>
      </c>
      <c r="B400" t="s">
        <v>4555</v>
      </c>
      <c r="C400" s="3">
        <v>46044</v>
      </c>
      <c r="D400" s="3">
        <v>46074</v>
      </c>
      <c r="E400" s="1">
        <v>13124.07</v>
      </c>
      <c r="F400" t="s">
        <v>4037</v>
      </c>
      <c r="G400" t="str">
        <f>_xlfn.XLOOKUP(B400,tblCustomers[CustomerID],tblCustomers[CustomerName],"Unmapped")</f>
        <v>Gourmet Shop C</v>
      </c>
      <c r="H400">
        <f t="shared" si="18"/>
        <v>30</v>
      </c>
      <c r="I400" s="1">
        <f t="shared" si="19"/>
        <v>0</v>
      </c>
      <c r="J400" t="str">
        <f t="shared" ca="1" si="20"/>
        <v>Paid</v>
      </c>
    </row>
    <row r="401" spans="1:10" x14ac:dyDescent="0.25">
      <c r="A401" t="s">
        <v>4679</v>
      </c>
      <c r="B401" t="s">
        <v>4559</v>
      </c>
      <c r="C401" s="3">
        <v>46045</v>
      </c>
      <c r="D401" s="3">
        <v>46075</v>
      </c>
      <c r="E401" s="1">
        <v>41371.42</v>
      </c>
      <c r="F401" t="s">
        <v>4037</v>
      </c>
      <c r="G401" t="str">
        <f>_xlfn.XLOOKUP(B401,tblCustomers[CustomerID],tblCustomers[CustomerName],"Unmapped")</f>
        <v>Hotel Group E</v>
      </c>
      <c r="H401">
        <f t="shared" si="18"/>
        <v>30</v>
      </c>
      <c r="I401" s="1">
        <f t="shared" si="19"/>
        <v>0</v>
      </c>
      <c r="J401" t="str">
        <f t="shared" ca="1" si="20"/>
        <v>Paid</v>
      </c>
    </row>
    <row r="402" spans="1:10" x14ac:dyDescent="0.25">
      <c r="A402" t="s">
        <v>4905</v>
      </c>
      <c r="B402" t="s">
        <v>4561</v>
      </c>
      <c r="C402" s="3">
        <v>46045</v>
      </c>
      <c r="D402" s="3">
        <v>46075</v>
      </c>
      <c r="E402" s="1">
        <v>25548.59</v>
      </c>
      <c r="F402" t="s">
        <v>4037</v>
      </c>
      <c r="G402" t="str">
        <f>_xlfn.XLOOKUP(B402,tblCustomers[CustomerID],tblCustomers[CustomerName],"Unmapped")</f>
        <v>Retail Giant A</v>
      </c>
      <c r="H402">
        <f t="shared" si="18"/>
        <v>30</v>
      </c>
      <c r="I402" s="1">
        <f t="shared" si="19"/>
        <v>0</v>
      </c>
      <c r="J402" t="str">
        <f t="shared" ca="1" si="20"/>
        <v>Paid</v>
      </c>
    </row>
    <row r="403" spans="1:10" x14ac:dyDescent="0.25">
      <c r="A403" t="s">
        <v>4827</v>
      </c>
      <c r="B403" t="s">
        <v>4552</v>
      </c>
      <c r="C403" s="3">
        <v>46046</v>
      </c>
      <c r="D403" s="3">
        <v>46076</v>
      </c>
      <c r="E403" s="1">
        <v>27759.49</v>
      </c>
      <c r="F403" t="s">
        <v>4037</v>
      </c>
      <c r="G403" t="str">
        <f>_xlfn.XLOOKUP(B403,tblCustomers[CustomerID],tblCustomers[CustomerName],"Unmapped")</f>
        <v>Online Retailer D</v>
      </c>
      <c r="H403">
        <f t="shared" si="18"/>
        <v>30</v>
      </c>
      <c r="I403" s="1">
        <f t="shared" si="19"/>
        <v>0</v>
      </c>
      <c r="J403" t="str">
        <f t="shared" ca="1" si="20"/>
        <v>Paid</v>
      </c>
    </row>
    <row r="404" spans="1:10" x14ac:dyDescent="0.25">
      <c r="A404" t="s">
        <v>4903</v>
      </c>
      <c r="B404" t="s">
        <v>4559</v>
      </c>
      <c r="C404" s="3">
        <v>46051</v>
      </c>
      <c r="D404" s="3">
        <v>46081</v>
      </c>
      <c r="E404" s="1">
        <v>16636.05</v>
      </c>
      <c r="F404" t="s">
        <v>4037</v>
      </c>
      <c r="G404" t="str">
        <f>_xlfn.XLOOKUP(B404,tblCustomers[CustomerID],tblCustomers[CustomerName],"Unmapped")</f>
        <v>Hotel Group E</v>
      </c>
      <c r="H404">
        <f t="shared" si="18"/>
        <v>30</v>
      </c>
      <c r="I404" s="1">
        <f t="shared" si="19"/>
        <v>0</v>
      </c>
      <c r="J404" t="str">
        <f t="shared" ca="1" si="20"/>
        <v>Paid</v>
      </c>
    </row>
    <row r="405" spans="1:10" x14ac:dyDescent="0.25">
      <c r="A405" t="s">
        <v>4557</v>
      </c>
      <c r="B405" t="s">
        <v>4555</v>
      </c>
      <c r="C405" s="3">
        <v>46053</v>
      </c>
      <c r="D405" s="3">
        <v>46083</v>
      </c>
      <c r="E405" s="1">
        <v>5567.16</v>
      </c>
      <c r="F405" t="s">
        <v>4040</v>
      </c>
      <c r="G405" t="str">
        <f>_xlfn.XLOOKUP(B405,tblCustomers[CustomerID],tblCustomers[CustomerName],"Unmapped")</f>
        <v>Gourmet Shop C</v>
      </c>
      <c r="H405">
        <f t="shared" si="18"/>
        <v>30</v>
      </c>
      <c r="I405" s="1">
        <f t="shared" si="19"/>
        <v>5567.16</v>
      </c>
      <c r="J405" t="str">
        <f t="shared" ca="1" si="20"/>
        <v>Overdue</v>
      </c>
    </row>
    <row r="406" spans="1:10" x14ac:dyDescent="0.25">
      <c r="A406" t="s">
        <v>4560</v>
      </c>
      <c r="B406" t="s">
        <v>4561</v>
      </c>
      <c r="C406" s="3">
        <v>46057</v>
      </c>
      <c r="D406" s="3">
        <v>46087</v>
      </c>
      <c r="E406" s="1">
        <v>40526.99</v>
      </c>
      <c r="F406" t="s">
        <v>4037</v>
      </c>
      <c r="G406" t="str">
        <f>_xlfn.XLOOKUP(B406,tblCustomers[CustomerID],tblCustomers[CustomerName],"Unmapped")</f>
        <v>Retail Giant A</v>
      </c>
      <c r="H406">
        <f t="shared" si="18"/>
        <v>30</v>
      </c>
      <c r="I406" s="1">
        <f t="shared" si="19"/>
        <v>0</v>
      </c>
      <c r="J406" t="str">
        <f t="shared" ca="1" si="20"/>
        <v>Paid</v>
      </c>
    </row>
    <row r="407" spans="1:10" x14ac:dyDescent="0.25">
      <c r="A407" t="s">
        <v>4938</v>
      </c>
      <c r="B407" t="s">
        <v>4561</v>
      </c>
      <c r="C407" s="3">
        <v>46059</v>
      </c>
      <c r="D407" s="3">
        <v>46089</v>
      </c>
      <c r="E407" s="1">
        <v>37888.92</v>
      </c>
      <c r="F407" t="s">
        <v>4037</v>
      </c>
      <c r="G407" t="str">
        <f>_xlfn.XLOOKUP(B407,tblCustomers[CustomerID],tblCustomers[CustomerName],"Unmapped")</f>
        <v>Retail Giant A</v>
      </c>
      <c r="H407">
        <f t="shared" si="18"/>
        <v>30</v>
      </c>
      <c r="I407" s="1">
        <f t="shared" si="19"/>
        <v>0</v>
      </c>
      <c r="J407" t="str">
        <f t="shared" ca="1" si="20"/>
        <v>Paid</v>
      </c>
    </row>
    <row r="408" spans="1:10" x14ac:dyDescent="0.25">
      <c r="A408" t="s">
        <v>4831</v>
      </c>
      <c r="B408" t="s">
        <v>4555</v>
      </c>
      <c r="C408" s="3">
        <v>46060</v>
      </c>
      <c r="D408" s="3">
        <v>46090</v>
      </c>
      <c r="E408" s="1">
        <v>20406.82</v>
      </c>
      <c r="F408" t="s">
        <v>4037</v>
      </c>
      <c r="G408" t="str">
        <f>_xlfn.XLOOKUP(B408,tblCustomers[CustomerID],tblCustomers[CustomerName],"Unmapped")</f>
        <v>Gourmet Shop C</v>
      </c>
      <c r="H408">
        <f t="shared" si="18"/>
        <v>30</v>
      </c>
      <c r="I408" s="1">
        <f t="shared" si="19"/>
        <v>0</v>
      </c>
      <c r="J408" t="str">
        <f t="shared" ca="1" si="20"/>
        <v>Paid</v>
      </c>
    </row>
    <row r="409" spans="1:10" x14ac:dyDescent="0.25">
      <c r="A409" t="s">
        <v>4952</v>
      </c>
      <c r="B409" t="s">
        <v>4559</v>
      </c>
      <c r="C409" s="3">
        <v>46067</v>
      </c>
      <c r="D409" s="3">
        <v>46097</v>
      </c>
      <c r="E409" s="1">
        <v>24041.94</v>
      </c>
      <c r="F409" t="s">
        <v>4037</v>
      </c>
      <c r="G409" t="str">
        <f>_xlfn.XLOOKUP(B409,tblCustomers[CustomerID],tblCustomers[CustomerName],"Unmapped")</f>
        <v>Hotel Group E</v>
      </c>
      <c r="H409">
        <f t="shared" si="18"/>
        <v>30</v>
      </c>
      <c r="I409" s="1">
        <f t="shared" si="19"/>
        <v>0</v>
      </c>
      <c r="J409" t="str">
        <f t="shared" ca="1" si="20"/>
        <v>Paid</v>
      </c>
    </row>
    <row r="410" spans="1:10" x14ac:dyDescent="0.25">
      <c r="A410" t="s">
        <v>4895</v>
      </c>
      <c r="B410" t="s">
        <v>4555</v>
      </c>
      <c r="C410" s="3">
        <v>46074</v>
      </c>
      <c r="D410" s="3">
        <v>46104</v>
      </c>
      <c r="E410" s="1">
        <v>30647.58</v>
      </c>
      <c r="F410" t="s">
        <v>4037</v>
      </c>
      <c r="G410" t="str">
        <f>_xlfn.XLOOKUP(B410,tblCustomers[CustomerID],tblCustomers[CustomerName],"Unmapped")</f>
        <v>Gourmet Shop C</v>
      </c>
      <c r="H410">
        <f t="shared" si="18"/>
        <v>30</v>
      </c>
      <c r="I410" s="1">
        <f t="shared" si="19"/>
        <v>0</v>
      </c>
      <c r="J410" t="str">
        <f t="shared" ca="1" si="20"/>
        <v>Paid</v>
      </c>
    </row>
    <row r="411" spans="1:10" x14ac:dyDescent="0.25">
      <c r="A411" t="s">
        <v>4635</v>
      </c>
      <c r="B411" t="s">
        <v>4552</v>
      </c>
      <c r="C411" s="3">
        <v>46075</v>
      </c>
      <c r="D411" s="3">
        <v>46105</v>
      </c>
      <c r="E411" s="1">
        <v>16349.7</v>
      </c>
      <c r="F411" t="s">
        <v>4037</v>
      </c>
      <c r="G411" t="str">
        <f>_xlfn.XLOOKUP(B411,tblCustomers[CustomerID],tblCustomers[CustomerName],"Unmapped")</f>
        <v>Online Retailer D</v>
      </c>
      <c r="H411">
        <f t="shared" si="18"/>
        <v>30</v>
      </c>
      <c r="I411" s="1">
        <f t="shared" si="19"/>
        <v>0</v>
      </c>
      <c r="J411" t="str">
        <f t="shared" ca="1" si="20"/>
        <v>Paid</v>
      </c>
    </row>
    <row r="412" spans="1:10" x14ac:dyDescent="0.25">
      <c r="A412" t="s">
        <v>4594</v>
      </c>
      <c r="B412" t="s">
        <v>4559</v>
      </c>
      <c r="C412" s="3">
        <v>46078</v>
      </c>
      <c r="D412" s="3">
        <v>46108</v>
      </c>
      <c r="E412" s="1">
        <v>22791.919999999998</v>
      </c>
      <c r="F412" t="s">
        <v>4037</v>
      </c>
      <c r="G412" t="str">
        <f>_xlfn.XLOOKUP(B412,tblCustomers[CustomerID],tblCustomers[CustomerName],"Unmapped")</f>
        <v>Hotel Group E</v>
      </c>
      <c r="H412">
        <f t="shared" si="18"/>
        <v>30</v>
      </c>
      <c r="I412" s="1">
        <f t="shared" si="19"/>
        <v>0</v>
      </c>
      <c r="J412" t="str">
        <f t="shared" ca="1" si="20"/>
        <v>Paid</v>
      </c>
    </row>
    <row r="413" spans="1:10" x14ac:dyDescent="0.25">
      <c r="A413" t="s">
        <v>5010</v>
      </c>
      <c r="B413" t="s">
        <v>4552</v>
      </c>
      <c r="C413" s="3">
        <v>46079</v>
      </c>
      <c r="D413" s="3">
        <v>46109</v>
      </c>
      <c r="E413" s="1">
        <v>12050.42</v>
      </c>
      <c r="F413" t="s">
        <v>4037</v>
      </c>
      <c r="G413" t="str">
        <f>_xlfn.XLOOKUP(B413,tblCustomers[CustomerID],tblCustomers[CustomerName],"Unmapped")</f>
        <v>Online Retailer D</v>
      </c>
      <c r="H413">
        <f t="shared" si="18"/>
        <v>30</v>
      </c>
      <c r="I413" s="1">
        <f t="shared" si="19"/>
        <v>0</v>
      </c>
      <c r="J413" t="str">
        <f t="shared" ca="1" si="20"/>
        <v>Paid</v>
      </c>
    </row>
    <row r="414" spans="1:10" x14ac:dyDescent="0.25">
      <c r="A414" t="s">
        <v>5030</v>
      </c>
      <c r="B414" t="s">
        <v>4555</v>
      </c>
      <c r="C414" s="3">
        <v>46079</v>
      </c>
      <c r="D414" s="3">
        <v>46109</v>
      </c>
      <c r="E414" s="1">
        <v>14238.93</v>
      </c>
      <c r="F414" t="s">
        <v>4037</v>
      </c>
      <c r="G414" t="str">
        <f>_xlfn.XLOOKUP(B414,tblCustomers[CustomerID],tblCustomers[CustomerName],"Unmapped")</f>
        <v>Gourmet Shop C</v>
      </c>
      <c r="H414">
        <f t="shared" si="18"/>
        <v>30</v>
      </c>
      <c r="I414" s="1">
        <f t="shared" si="19"/>
        <v>0</v>
      </c>
      <c r="J414" t="str">
        <f t="shared" ca="1" si="20"/>
        <v>Paid</v>
      </c>
    </row>
    <row r="415" spans="1:10" x14ac:dyDescent="0.25">
      <c r="A415" t="s">
        <v>5020</v>
      </c>
      <c r="B415" t="s">
        <v>4552</v>
      </c>
      <c r="C415" s="3">
        <v>46082</v>
      </c>
      <c r="D415" s="3">
        <v>46112</v>
      </c>
      <c r="E415" s="1">
        <v>16329.42</v>
      </c>
      <c r="F415" t="s">
        <v>4037</v>
      </c>
      <c r="G415" t="str">
        <f>_xlfn.XLOOKUP(B415,tblCustomers[CustomerID],tblCustomers[CustomerName],"Unmapped")</f>
        <v>Online Retailer D</v>
      </c>
      <c r="H415">
        <f t="shared" si="18"/>
        <v>30</v>
      </c>
      <c r="I415" s="1">
        <f t="shared" si="19"/>
        <v>0</v>
      </c>
      <c r="J415" t="str">
        <f t="shared" ca="1" si="20"/>
        <v>Paid</v>
      </c>
    </row>
    <row r="416" spans="1:10" x14ac:dyDescent="0.25">
      <c r="A416" t="s">
        <v>4963</v>
      </c>
      <c r="B416" t="s">
        <v>4555</v>
      </c>
      <c r="C416" s="3">
        <v>46084</v>
      </c>
      <c r="D416" s="3">
        <v>46114</v>
      </c>
      <c r="E416" s="1">
        <v>10921.86</v>
      </c>
      <c r="F416" t="s">
        <v>4037</v>
      </c>
      <c r="G416" t="str">
        <f>_xlfn.XLOOKUP(B416,tblCustomers[CustomerID],tblCustomers[CustomerName],"Unmapped")</f>
        <v>Gourmet Shop C</v>
      </c>
      <c r="H416">
        <f t="shared" si="18"/>
        <v>30</v>
      </c>
      <c r="I416" s="1">
        <f t="shared" si="19"/>
        <v>0</v>
      </c>
      <c r="J416" t="str">
        <f t="shared" ca="1" si="20"/>
        <v>Paid</v>
      </c>
    </row>
    <row r="417" spans="1:10" x14ac:dyDescent="0.25">
      <c r="A417" t="s">
        <v>5037</v>
      </c>
      <c r="B417" t="s">
        <v>4561</v>
      </c>
      <c r="C417" s="3">
        <v>46085</v>
      </c>
      <c r="D417" s="3">
        <v>46115</v>
      </c>
      <c r="E417" s="1">
        <v>12315.36</v>
      </c>
      <c r="F417" t="s">
        <v>4037</v>
      </c>
      <c r="G417" t="str">
        <f>_xlfn.XLOOKUP(B417,tblCustomers[CustomerID],tblCustomers[CustomerName],"Unmapped")</f>
        <v>Retail Giant A</v>
      </c>
      <c r="H417">
        <f t="shared" si="18"/>
        <v>30</v>
      </c>
      <c r="I417" s="1">
        <f t="shared" si="19"/>
        <v>0</v>
      </c>
      <c r="J417" t="str">
        <f t="shared" ca="1" si="20"/>
        <v>Paid</v>
      </c>
    </row>
    <row r="418" spans="1:10" x14ac:dyDescent="0.25">
      <c r="A418" t="s">
        <v>4881</v>
      </c>
      <c r="B418" t="s">
        <v>4552</v>
      </c>
      <c r="C418" s="3">
        <v>46086</v>
      </c>
      <c r="D418" s="3">
        <v>46116</v>
      </c>
      <c r="E418" s="1">
        <v>28753.68</v>
      </c>
      <c r="F418" t="s">
        <v>4037</v>
      </c>
      <c r="G418" t="str">
        <f>_xlfn.XLOOKUP(B418,tblCustomers[CustomerID],tblCustomers[CustomerName],"Unmapped")</f>
        <v>Online Retailer D</v>
      </c>
      <c r="H418">
        <f t="shared" si="18"/>
        <v>30</v>
      </c>
      <c r="I418" s="1">
        <f t="shared" si="19"/>
        <v>0</v>
      </c>
      <c r="J418" t="str">
        <f t="shared" ca="1" si="20"/>
        <v>Paid</v>
      </c>
    </row>
    <row r="419" spans="1:10" x14ac:dyDescent="0.25">
      <c r="A419" t="s">
        <v>4968</v>
      </c>
      <c r="B419" t="s">
        <v>4561</v>
      </c>
      <c r="C419" s="3">
        <v>46088</v>
      </c>
      <c r="D419" s="3">
        <v>46118</v>
      </c>
      <c r="E419" s="1">
        <v>21838.46</v>
      </c>
      <c r="F419" t="s">
        <v>4037</v>
      </c>
      <c r="G419" t="str">
        <f>_xlfn.XLOOKUP(B419,tblCustomers[CustomerID],tblCustomers[CustomerName],"Unmapped")</f>
        <v>Retail Giant A</v>
      </c>
      <c r="H419">
        <f t="shared" si="18"/>
        <v>30</v>
      </c>
      <c r="I419" s="1">
        <f t="shared" si="19"/>
        <v>0</v>
      </c>
      <c r="J419" t="str">
        <f t="shared" ca="1" si="20"/>
        <v>Paid</v>
      </c>
    </row>
    <row r="420" spans="1:10" x14ac:dyDescent="0.25">
      <c r="A420" t="s">
        <v>4794</v>
      </c>
      <c r="B420" t="s">
        <v>4552</v>
      </c>
      <c r="C420" s="3">
        <v>46092</v>
      </c>
      <c r="D420" s="3">
        <v>46122</v>
      </c>
      <c r="E420" s="1">
        <v>46753.38</v>
      </c>
      <c r="F420" t="s">
        <v>4037</v>
      </c>
      <c r="G420" t="str">
        <f>_xlfn.XLOOKUP(B420,tblCustomers[CustomerID],tblCustomers[CustomerName],"Unmapped")</f>
        <v>Online Retailer D</v>
      </c>
      <c r="H420">
        <f t="shared" si="18"/>
        <v>30</v>
      </c>
      <c r="I420" s="1">
        <f t="shared" si="19"/>
        <v>0</v>
      </c>
      <c r="J420" t="str">
        <f t="shared" ca="1" si="20"/>
        <v>Paid</v>
      </c>
    </row>
    <row r="421" spans="1:10" x14ac:dyDescent="0.25">
      <c r="A421" t="s">
        <v>5045</v>
      </c>
      <c r="B421" t="s">
        <v>4561</v>
      </c>
      <c r="C421" s="3">
        <v>46094</v>
      </c>
      <c r="D421" s="3">
        <v>46124</v>
      </c>
      <c r="E421" s="1">
        <v>5963.79</v>
      </c>
      <c r="F421" t="s">
        <v>4037</v>
      </c>
      <c r="G421" t="str">
        <f>_xlfn.XLOOKUP(B421,tblCustomers[CustomerID],tblCustomers[CustomerName],"Unmapped")</f>
        <v>Retail Giant A</v>
      </c>
      <c r="H421">
        <f t="shared" si="18"/>
        <v>30</v>
      </c>
      <c r="I421" s="1">
        <f t="shared" si="19"/>
        <v>0</v>
      </c>
      <c r="J421" t="str">
        <f t="shared" ca="1" si="20"/>
        <v>Paid</v>
      </c>
    </row>
    <row r="422" spans="1:10" x14ac:dyDescent="0.25">
      <c r="A422" t="s">
        <v>4696</v>
      </c>
      <c r="B422" t="s">
        <v>4563</v>
      </c>
      <c r="C422" s="3">
        <v>46099</v>
      </c>
      <c r="D422" s="3">
        <v>46129</v>
      </c>
      <c r="E422" s="1">
        <v>20567.25</v>
      </c>
      <c r="F422" t="s">
        <v>4037</v>
      </c>
      <c r="G422" t="str">
        <f>_xlfn.XLOOKUP(B422,tblCustomers[CustomerID],tblCustomers[CustomerName],"Unmapped")</f>
        <v>Supermarket Chain B</v>
      </c>
      <c r="H422">
        <f t="shared" si="18"/>
        <v>30</v>
      </c>
      <c r="I422" s="1">
        <f t="shared" si="19"/>
        <v>0</v>
      </c>
      <c r="J422" t="str">
        <f t="shared" ca="1" si="20"/>
        <v>Paid</v>
      </c>
    </row>
    <row r="423" spans="1:10" x14ac:dyDescent="0.25">
      <c r="A423" t="s">
        <v>4972</v>
      </c>
      <c r="B423" t="s">
        <v>4552</v>
      </c>
      <c r="C423" s="3">
        <v>46100</v>
      </c>
      <c r="D423" s="3">
        <v>46130</v>
      </c>
      <c r="E423" s="1">
        <v>27335.05</v>
      </c>
      <c r="F423" t="s">
        <v>4040</v>
      </c>
      <c r="G423" t="str">
        <f>_xlfn.XLOOKUP(B423,tblCustomers[CustomerID],tblCustomers[CustomerName],"Unmapped")</f>
        <v>Online Retailer D</v>
      </c>
      <c r="H423">
        <f t="shared" si="18"/>
        <v>30</v>
      </c>
      <c r="I423" s="1">
        <f t="shared" si="19"/>
        <v>27335.05</v>
      </c>
      <c r="J423" t="str">
        <f t="shared" ca="1" si="20"/>
        <v>Overdue</v>
      </c>
    </row>
    <row r="424" spans="1:10" x14ac:dyDescent="0.25">
      <c r="A424" t="s">
        <v>4717</v>
      </c>
      <c r="B424" t="s">
        <v>4555</v>
      </c>
      <c r="C424" s="3">
        <v>46101</v>
      </c>
      <c r="D424" s="3">
        <v>46131</v>
      </c>
      <c r="E424" s="1">
        <v>26336.14</v>
      </c>
      <c r="F424" t="s">
        <v>4037</v>
      </c>
      <c r="G424" t="str">
        <f>_xlfn.XLOOKUP(B424,tblCustomers[CustomerID],tblCustomers[CustomerName],"Unmapped")</f>
        <v>Gourmet Shop C</v>
      </c>
      <c r="H424">
        <f t="shared" si="18"/>
        <v>30</v>
      </c>
      <c r="I424" s="1">
        <f t="shared" si="19"/>
        <v>0</v>
      </c>
      <c r="J424" t="str">
        <f t="shared" ca="1" si="20"/>
        <v>Paid</v>
      </c>
    </row>
    <row r="425" spans="1:10" x14ac:dyDescent="0.25">
      <c r="A425" t="s">
        <v>4977</v>
      </c>
      <c r="B425" t="s">
        <v>4563</v>
      </c>
      <c r="C425" s="3">
        <v>46105</v>
      </c>
      <c r="D425" s="3">
        <v>46135</v>
      </c>
      <c r="E425" s="1">
        <v>4818.49</v>
      </c>
      <c r="F425" t="s">
        <v>4037</v>
      </c>
      <c r="G425" t="str">
        <f>_xlfn.XLOOKUP(B425,tblCustomers[CustomerID],tblCustomers[CustomerName],"Unmapped")</f>
        <v>Supermarket Chain B</v>
      </c>
      <c r="H425">
        <f t="shared" si="18"/>
        <v>30</v>
      </c>
      <c r="I425" s="1">
        <f t="shared" si="19"/>
        <v>0</v>
      </c>
      <c r="J425" t="str">
        <f t="shared" ca="1" si="20"/>
        <v>Paid</v>
      </c>
    </row>
    <row r="426" spans="1:10" x14ac:dyDescent="0.25">
      <c r="A426" t="s">
        <v>4745</v>
      </c>
      <c r="B426" t="s">
        <v>4559</v>
      </c>
      <c r="C426" s="3">
        <v>46106</v>
      </c>
      <c r="D426" s="3">
        <v>46136</v>
      </c>
      <c r="E426" s="1">
        <v>29137.01</v>
      </c>
      <c r="F426" t="s">
        <v>4037</v>
      </c>
      <c r="G426" t="str">
        <f>_xlfn.XLOOKUP(B426,tblCustomers[CustomerID],tblCustomers[CustomerName],"Unmapped")</f>
        <v>Hotel Group E</v>
      </c>
      <c r="H426">
        <f t="shared" si="18"/>
        <v>30</v>
      </c>
      <c r="I426" s="1">
        <f t="shared" si="19"/>
        <v>0</v>
      </c>
      <c r="J426" t="str">
        <f t="shared" ca="1" si="20"/>
        <v>Paid</v>
      </c>
    </row>
    <row r="427" spans="1:10" x14ac:dyDescent="0.25">
      <c r="A427" t="s">
        <v>4596</v>
      </c>
      <c r="B427" t="s">
        <v>4561</v>
      </c>
      <c r="C427" s="3">
        <v>46109</v>
      </c>
      <c r="D427" s="3">
        <v>46139</v>
      </c>
      <c r="E427" s="1">
        <v>49542.58</v>
      </c>
      <c r="F427" t="s">
        <v>4040</v>
      </c>
      <c r="G427" t="str">
        <f>_xlfn.XLOOKUP(B427,tblCustomers[CustomerID],tblCustomers[CustomerName],"Unmapped")</f>
        <v>Retail Giant A</v>
      </c>
      <c r="H427">
        <f t="shared" si="18"/>
        <v>30</v>
      </c>
      <c r="I427" s="1">
        <f t="shared" si="19"/>
        <v>49542.58</v>
      </c>
      <c r="J427" t="str">
        <f t="shared" ca="1" si="20"/>
        <v>Overdue</v>
      </c>
    </row>
    <row r="428" spans="1:10" x14ac:dyDescent="0.25">
      <c r="A428" t="s">
        <v>4603</v>
      </c>
      <c r="B428" t="s">
        <v>4552</v>
      </c>
      <c r="C428" s="3">
        <v>46109</v>
      </c>
      <c r="D428" s="3">
        <v>46139</v>
      </c>
      <c r="E428" s="1">
        <v>48228.07</v>
      </c>
      <c r="F428" t="s">
        <v>4037</v>
      </c>
      <c r="G428" t="str">
        <f>_xlfn.XLOOKUP(B428,tblCustomers[CustomerID],tblCustomers[CustomerName],"Unmapped")</f>
        <v>Online Retailer D</v>
      </c>
      <c r="H428">
        <f t="shared" si="18"/>
        <v>30</v>
      </c>
      <c r="I428" s="1">
        <f t="shared" si="19"/>
        <v>0</v>
      </c>
      <c r="J428" t="str">
        <f t="shared" ca="1" si="20"/>
        <v>Paid</v>
      </c>
    </row>
    <row r="429" spans="1:10" x14ac:dyDescent="0.25">
      <c r="A429" t="s">
        <v>4766</v>
      </c>
      <c r="B429" t="s">
        <v>4559</v>
      </c>
      <c r="C429" s="3">
        <v>46109</v>
      </c>
      <c r="D429" s="3">
        <v>46139</v>
      </c>
      <c r="E429" s="1">
        <v>24852.47</v>
      </c>
      <c r="F429" t="s">
        <v>4037</v>
      </c>
      <c r="G429" t="str">
        <f>_xlfn.XLOOKUP(B429,tblCustomers[CustomerID],tblCustomers[CustomerName],"Unmapped")</f>
        <v>Hotel Group E</v>
      </c>
      <c r="H429">
        <f t="shared" si="18"/>
        <v>30</v>
      </c>
      <c r="I429" s="1">
        <f t="shared" si="19"/>
        <v>0</v>
      </c>
      <c r="J429" t="str">
        <f t="shared" ca="1" si="20"/>
        <v>Paid</v>
      </c>
    </row>
    <row r="430" spans="1:10" x14ac:dyDescent="0.25">
      <c r="A430" t="s">
        <v>5021</v>
      </c>
      <c r="B430" t="s">
        <v>4561</v>
      </c>
      <c r="C430" s="3">
        <v>46111</v>
      </c>
      <c r="D430" s="3">
        <v>46141</v>
      </c>
      <c r="E430" s="1">
        <v>14802.08</v>
      </c>
      <c r="F430" t="s">
        <v>4040</v>
      </c>
      <c r="G430" t="str">
        <f>_xlfn.XLOOKUP(B430,tblCustomers[CustomerID],tblCustomers[CustomerName],"Unmapped")</f>
        <v>Retail Giant A</v>
      </c>
      <c r="H430">
        <f t="shared" si="18"/>
        <v>30</v>
      </c>
      <c r="I430" s="1">
        <f t="shared" si="19"/>
        <v>14802.08</v>
      </c>
      <c r="J430" t="str">
        <f t="shared" ca="1" si="20"/>
        <v>Overdue</v>
      </c>
    </row>
    <row r="431" spans="1:10" x14ac:dyDescent="0.25">
      <c r="A431" t="s">
        <v>4995</v>
      </c>
      <c r="B431" t="s">
        <v>4555</v>
      </c>
      <c r="C431" s="3">
        <v>46113</v>
      </c>
      <c r="D431" s="3">
        <v>46143</v>
      </c>
      <c r="E431" s="1">
        <v>18285.150000000001</v>
      </c>
      <c r="F431" t="s">
        <v>4040</v>
      </c>
      <c r="G431" t="str">
        <f>_xlfn.XLOOKUP(B431,tblCustomers[CustomerID],tblCustomers[CustomerName],"Unmapped")</f>
        <v>Gourmet Shop C</v>
      </c>
      <c r="H431">
        <f t="shared" si="18"/>
        <v>30</v>
      </c>
      <c r="I431" s="1">
        <f t="shared" si="19"/>
        <v>18285.150000000001</v>
      </c>
      <c r="J431" t="str">
        <f t="shared" ca="1" si="20"/>
        <v>Overdue</v>
      </c>
    </row>
    <row r="432" spans="1:10" x14ac:dyDescent="0.25">
      <c r="A432" t="s">
        <v>4571</v>
      </c>
      <c r="B432" t="s">
        <v>4555</v>
      </c>
      <c r="C432" s="3">
        <v>46119</v>
      </c>
      <c r="D432" s="3">
        <v>46149</v>
      </c>
      <c r="E432" s="1">
        <v>2273.7600000000002</v>
      </c>
      <c r="F432" t="s">
        <v>4037</v>
      </c>
      <c r="G432" t="str">
        <f>_xlfn.XLOOKUP(B432,tblCustomers[CustomerID],tblCustomers[CustomerName],"Unmapped")</f>
        <v>Gourmet Shop C</v>
      </c>
      <c r="H432">
        <f t="shared" si="18"/>
        <v>30</v>
      </c>
      <c r="I432" s="1">
        <f t="shared" si="19"/>
        <v>0</v>
      </c>
      <c r="J432" t="str">
        <f t="shared" ca="1" si="20"/>
        <v>Paid</v>
      </c>
    </row>
    <row r="433" spans="1:10" x14ac:dyDescent="0.25">
      <c r="A433" t="s">
        <v>4640</v>
      </c>
      <c r="B433" t="s">
        <v>4552</v>
      </c>
      <c r="C433" s="3">
        <v>46120</v>
      </c>
      <c r="D433" s="3">
        <v>46150</v>
      </c>
      <c r="E433" s="1">
        <v>5665.07</v>
      </c>
      <c r="F433" t="s">
        <v>4037</v>
      </c>
      <c r="G433" t="str">
        <f>_xlfn.XLOOKUP(B433,tblCustomers[CustomerID],tblCustomers[CustomerName],"Unmapped")</f>
        <v>Online Retailer D</v>
      </c>
      <c r="H433">
        <f t="shared" si="18"/>
        <v>30</v>
      </c>
      <c r="I433" s="1">
        <f t="shared" si="19"/>
        <v>0</v>
      </c>
      <c r="J433" t="str">
        <f t="shared" ca="1" si="20"/>
        <v>Paid</v>
      </c>
    </row>
    <row r="434" spans="1:10" x14ac:dyDescent="0.25">
      <c r="A434" t="s">
        <v>4971</v>
      </c>
      <c r="B434" t="s">
        <v>4561</v>
      </c>
      <c r="C434" s="3">
        <v>46122</v>
      </c>
      <c r="D434" s="3">
        <v>46152</v>
      </c>
      <c r="E434" s="1">
        <v>17306.099999999999</v>
      </c>
      <c r="F434" t="s">
        <v>4037</v>
      </c>
      <c r="G434" t="str">
        <f>_xlfn.XLOOKUP(B434,tblCustomers[CustomerID],tblCustomers[CustomerName],"Unmapped")</f>
        <v>Retail Giant A</v>
      </c>
      <c r="H434">
        <f t="shared" si="18"/>
        <v>30</v>
      </c>
      <c r="I434" s="1">
        <f t="shared" si="19"/>
        <v>0</v>
      </c>
      <c r="J434" t="str">
        <f t="shared" ca="1" si="20"/>
        <v>Paid</v>
      </c>
    </row>
    <row r="435" spans="1:10" x14ac:dyDescent="0.25">
      <c r="A435" t="s">
        <v>4983</v>
      </c>
      <c r="B435" t="s">
        <v>4561</v>
      </c>
      <c r="C435" s="3">
        <v>46122</v>
      </c>
      <c r="D435" s="3">
        <v>46152</v>
      </c>
      <c r="E435" s="1">
        <v>41825.69</v>
      </c>
      <c r="F435" t="s">
        <v>4037</v>
      </c>
      <c r="G435" t="str">
        <f>_xlfn.XLOOKUP(B435,tblCustomers[CustomerID],tblCustomers[CustomerName],"Unmapped")</f>
        <v>Retail Giant A</v>
      </c>
      <c r="H435">
        <f t="shared" si="18"/>
        <v>30</v>
      </c>
      <c r="I435" s="1">
        <f t="shared" si="19"/>
        <v>0</v>
      </c>
      <c r="J435" t="str">
        <f t="shared" ca="1" si="20"/>
        <v>Paid</v>
      </c>
    </row>
    <row r="436" spans="1:10" x14ac:dyDescent="0.25">
      <c r="A436" t="s">
        <v>5032</v>
      </c>
      <c r="B436" t="s">
        <v>4561</v>
      </c>
      <c r="C436" s="3">
        <v>46122</v>
      </c>
      <c r="D436" s="3">
        <v>46152</v>
      </c>
      <c r="E436" s="1">
        <v>46316.36</v>
      </c>
      <c r="F436" t="s">
        <v>4037</v>
      </c>
      <c r="G436" t="str">
        <f>_xlfn.XLOOKUP(B436,tblCustomers[CustomerID],tblCustomers[CustomerName],"Unmapped")</f>
        <v>Retail Giant A</v>
      </c>
      <c r="H436">
        <f t="shared" si="18"/>
        <v>30</v>
      </c>
      <c r="I436" s="1">
        <f t="shared" si="19"/>
        <v>0</v>
      </c>
      <c r="J436" t="str">
        <f t="shared" ca="1" si="20"/>
        <v>Paid</v>
      </c>
    </row>
    <row r="437" spans="1:10" x14ac:dyDescent="0.25">
      <c r="A437" t="s">
        <v>4675</v>
      </c>
      <c r="B437" t="s">
        <v>4555</v>
      </c>
      <c r="C437" s="3">
        <v>46124</v>
      </c>
      <c r="D437" s="3">
        <v>46154</v>
      </c>
      <c r="E437" s="1">
        <v>2218.31</v>
      </c>
      <c r="F437" t="s">
        <v>4037</v>
      </c>
      <c r="G437" t="str">
        <f>_xlfn.XLOOKUP(B437,tblCustomers[CustomerID],tblCustomers[CustomerName],"Unmapped")</f>
        <v>Gourmet Shop C</v>
      </c>
      <c r="H437">
        <f t="shared" si="18"/>
        <v>30</v>
      </c>
      <c r="I437" s="1">
        <f t="shared" si="19"/>
        <v>0</v>
      </c>
      <c r="J437" t="str">
        <f t="shared" ca="1" si="20"/>
        <v>Paid</v>
      </c>
    </row>
    <row r="438" spans="1:10" x14ac:dyDescent="0.25">
      <c r="A438" t="s">
        <v>4865</v>
      </c>
      <c r="B438" t="s">
        <v>4552</v>
      </c>
      <c r="C438" s="3">
        <v>46124</v>
      </c>
      <c r="D438" s="3">
        <v>46154</v>
      </c>
      <c r="E438" s="1">
        <v>35732.06</v>
      </c>
      <c r="F438" t="s">
        <v>4037</v>
      </c>
      <c r="G438" t="str">
        <f>_xlfn.XLOOKUP(B438,tblCustomers[CustomerID],tblCustomers[CustomerName],"Unmapped")</f>
        <v>Online Retailer D</v>
      </c>
      <c r="H438">
        <f t="shared" si="18"/>
        <v>30</v>
      </c>
      <c r="I438" s="1">
        <f t="shared" si="19"/>
        <v>0</v>
      </c>
      <c r="J438" t="str">
        <f t="shared" ca="1" si="20"/>
        <v>Paid</v>
      </c>
    </row>
    <row r="439" spans="1:10" x14ac:dyDescent="0.25">
      <c r="A439" t="s">
        <v>4689</v>
      </c>
      <c r="B439" t="s">
        <v>4561</v>
      </c>
      <c r="C439" s="3">
        <v>46125</v>
      </c>
      <c r="D439" s="3">
        <v>46155</v>
      </c>
      <c r="E439" s="1">
        <v>25334.99</v>
      </c>
      <c r="F439" t="s">
        <v>4037</v>
      </c>
      <c r="G439" t="str">
        <f>_xlfn.XLOOKUP(B439,tblCustomers[CustomerID],tblCustomers[CustomerName],"Unmapped")</f>
        <v>Retail Giant A</v>
      </c>
      <c r="H439">
        <f t="shared" si="18"/>
        <v>30</v>
      </c>
      <c r="I439" s="1">
        <f t="shared" si="19"/>
        <v>0</v>
      </c>
      <c r="J439" t="str">
        <f t="shared" ca="1" si="20"/>
        <v>Paid</v>
      </c>
    </row>
    <row r="440" spans="1:10" x14ac:dyDescent="0.25">
      <c r="A440" t="s">
        <v>4625</v>
      </c>
      <c r="B440" t="s">
        <v>4555</v>
      </c>
      <c r="C440" s="3">
        <v>46134</v>
      </c>
      <c r="D440" s="3">
        <v>46164</v>
      </c>
      <c r="E440" s="1">
        <v>23295.86</v>
      </c>
      <c r="F440" t="s">
        <v>4037</v>
      </c>
      <c r="G440" t="str">
        <f>_xlfn.XLOOKUP(B440,tblCustomers[CustomerID],tblCustomers[CustomerName],"Unmapped")</f>
        <v>Gourmet Shop C</v>
      </c>
      <c r="H440">
        <f t="shared" si="18"/>
        <v>30</v>
      </c>
      <c r="I440" s="1">
        <f t="shared" si="19"/>
        <v>0</v>
      </c>
      <c r="J440" t="str">
        <f t="shared" ca="1" si="20"/>
        <v>Paid</v>
      </c>
    </row>
    <row r="441" spans="1:10" x14ac:dyDescent="0.25">
      <c r="A441" t="s">
        <v>4584</v>
      </c>
      <c r="B441" t="s">
        <v>4561</v>
      </c>
      <c r="C441" s="3">
        <v>46136</v>
      </c>
      <c r="D441" s="3">
        <v>46166</v>
      </c>
      <c r="E441" s="1">
        <v>3931.07</v>
      </c>
      <c r="F441" t="s">
        <v>4037</v>
      </c>
      <c r="G441" t="str">
        <f>_xlfn.XLOOKUP(B441,tblCustomers[CustomerID],tblCustomers[CustomerName],"Unmapped")</f>
        <v>Retail Giant A</v>
      </c>
      <c r="H441">
        <f t="shared" si="18"/>
        <v>30</v>
      </c>
      <c r="I441" s="1">
        <f t="shared" si="19"/>
        <v>0</v>
      </c>
      <c r="J441" t="str">
        <f t="shared" ca="1" si="20"/>
        <v>Paid</v>
      </c>
    </row>
    <row r="442" spans="1:10" x14ac:dyDescent="0.25">
      <c r="A442" t="s">
        <v>4916</v>
      </c>
      <c r="B442" t="s">
        <v>4561</v>
      </c>
      <c r="C442" s="3">
        <v>46140</v>
      </c>
      <c r="D442" s="3">
        <v>46170</v>
      </c>
      <c r="E442" s="1">
        <v>31453.17</v>
      </c>
      <c r="F442" t="s">
        <v>4037</v>
      </c>
      <c r="G442" t="str">
        <f>_xlfn.XLOOKUP(B442,tblCustomers[CustomerID],tblCustomers[CustomerName],"Unmapped")</f>
        <v>Retail Giant A</v>
      </c>
      <c r="H442">
        <f t="shared" si="18"/>
        <v>30</v>
      </c>
      <c r="I442" s="1">
        <f t="shared" si="19"/>
        <v>0</v>
      </c>
      <c r="J442" t="str">
        <f t="shared" ca="1" si="20"/>
        <v>Paid</v>
      </c>
    </row>
    <row r="443" spans="1:10" x14ac:dyDescent="0.25">
      <c r="A443" t="s">
        <v>4962</v>
      </c>
      <c r="B443" t="s">
        <v>4561</v>
      </c>
      <c r="C443" s="3">
        <v>46140</v>
      </c>
      <c r="D443" s="3">
        <v>46170</v>
      </c>
      <c r="E443" s="1">
        <v>2550.83</v>
      </c>
      <c r="F443" t="s">
        <v>4037</v>
      </c>
      <c r="G443" t="str">
        <f>_xlfn.XLOOKUP(B443,tblCustomers[CustomerID],tblCustomers[CustomerName],"Unmapped")</f>
        <v>Retail Giant A</v>
      </c>
      <c r="H443">
        <f t="shared" si="18"/>
        <v>30</v>
      </c>
      <c r="I443" s="1">
        <f t="shared" si="19"/>
        <v>0</v>
      </c>
      <c r="J443" t="str">
        <f t="shared" ca="1" si="20"/>
        <v>Paid</v>
      </c>
    </row>
    <row r="444" spans="1:10" x14ac:dyDescent="0.25">
      <c r="A444" t="s">
        <v>5013</v>
      </c>
      <c r="B444" t="s">
        <v>4552</v>
      </c>
      <c r="C444" s="3">
        <v>46143</v>
      </c>
      <c r="D444" s="3">
        <v>46173</v>
      </c>
      <c r="E444" s="1">
        <v>39690.17</v>
      </c>
      <c r="F444" t="s">
        <v>4037</v>
      </c>
      <c r="G444" t="str">
        <f>_xlfn.XLOOKUP(B444,tblCustomers[CustomerID],tblCustomers[CustomerName],"Unmapped")</f>
        <v>Online Retailer D</v>
      </c>
      <c r="H444">
        <f t="shared" si="18"/>
        <v>30</v>
      </c>
      <c r="I444" s="1">
        <f t="shared" si="19"/>
        <v>0</v>
      </c>
      <c r="J444" t="str">
        <f t="shared" ca="1" si="20"/>
        <v>Paid</v>
      </c>
    </row>
    <row r="445" spans="1:10" x14ac:dyDescent="0.25">
      <c r="A445" t="s">
        <v>4803</v>
      </c>
      <c r="B445" t="s">
        <v>4563</v>
      </c>
      <c r="C445" s="3">
        <v>46145</v>
      </c>
      <c r="D445" s="3">
        <v>46175</v>
      </c>
      <c r="E445" s="1">
        <v>17057.55</v>
      </c>
      <c r="F445" t="s">
        <v>4040</v>
      </c>
      <c r="G445" t="str">
        <f>_xlfn.XLOOKUP(B445,tblCustomers[CustomerID],tblCustomers[CustomerName],"Unmapped")</f>
        <v>Supermarket Chain B</v>
      </c>
      <c r="H445">
        <f t="shared" si="18"/>
        <v>30</v>
      </c>
      <c r="I445" s="1">
        <f t="shared" si="19"/>
        <v>17057.55</v>
      </c>
      <c r="J445" t="str">
        <f t="shared" ca="1" si="20"/>
        <v>Overdue</v>
      </c>
    </row>
    <row r="446" spans="1:10" x14ac:dyDescent="0.25">
      <c r="A446" t="s">
        <v>4590</v>
      </c>
      <c r="B446" t="s">
        <v>4563</v>
      </c>
      <c r="C446" s="3">
        <v>46151</v>
      </c>
      <c r="D446" s="3">
        <v>46181</v>
      </c>
      <c r="E446" s="1">
        <v>42226.9</v>
      </c>
      <c r="F446" t="s">
        <v>4037</v>
      </c>
      <c r="G446" t="str">
        <f>_xlfn.XLOOKUP(B446,tblCustomers[CustomerID],tblCustomers[CustomerName],"Unmapped")</f>
        <v>Supermarket Chain B</v>
      </c>
      <c r="H446">
        <f t="shared" si="18"/>
        <v>30</v>
      </c>
      <c r="I446" s="1">
        <f t="shared" si="19"/>
        <v>0</v>
      </c>
      <c r="J446" t="str">
        <f t="shared" ca="1" si="20"/>
        <v>Paid</v>
      </c>
    </row>
    <row r="447" spans="1:10" x14ac:dyDescent="0.25">
      <c r="A447" t="s">
        <v>4551</v>
      </c>
      <c r="B447" t="s">
        <v>4552</v>
      </c>
      <c r="C447" s="3">
        <v>46152</v>
      </c>
      <c r="D447" s="3">
        <v>46182</v>
      </c>
      <c r="E447" s="1">
        <v>4765.5600000000004</v>
      </c>
      <c r="F447" t="s">
        <v>4037</v>
      </c>
      <c r="G447" t="str">
        <f>_xlfn.XLOOKUP(B447,tblCustomers[CustomerID],tblCustomers[CustomerName],"Unmapped")</f>
        <v>Online Retailer D</v>
      </c>
      <c r="H447">
        <f t="shared" si="18"/>
        <v>30</v>
      </c>
      <c r="I447" s="1">
        <f t="shared" si="19"/>
        <v>0</v>
      </c>
      <c r="J447" t="str">
        <f t="shared" ca="1" si="20"/>
        <v>Paid</v>
      </c>
    </row>
    <row r="448" spans="1:10" x14ac:dyDescent="0.25">
      <c r="A448" t="s">
        <v>4747</v>
      </c>
      <c r="B448" t="s">
        <v>4561</v>
      </c>
      <c r="C448" s="3">
        <v>46167</v>
      </c>
      <c r="D448" s="3">
        <v>46197</v>
      </c>
      <c r="E448" s="1">
        <v>20167.36</v>
      </c>
      <c r="F448" t="s">
        <v>4037</v>
      </c>
      <c r="G448" t="str">
        <f>_xlfn.XLOOKUP(B448,tblCustomers[CustomerID],tblCustomers[CustomerName],"Unmapped")</f>
        <v>Retail Giant A</v>
      </c>
      <c r="H448">
        <f t="shared" si="18"/>
        <v>30</v>
      </c>
      <c r="I448" s="1">
        <f t="shared" si="19"/>
        <v>0</v>
      </c>
      <c r="J448" t="str">
        <f t="shared" ca="1" si="20"/>
        <v>Paid</v>
      </c>
    </row>
    <row r="449" spans="1:10" x14ac:dyDescent="0.25">
      <c r="A449" t="s">
        <v>4914</v>
      </c>
      <c r="B449" t="s">
        <v>4561</v>
      </c>
      <c r="C449" s="3">
        <v>46168</v>
      </c>
      <c r="D449" s="3">
        <v>46198</v>
      </c>
      <c r="E449" s="1">
        <v>47950.67</v>
      </c>
      <c r="F449" t="s">
        <v>4037</v>
      </c>
      <c r="G449" t="str">
        <f>_xlfn.XLOOKUP(B449,tblCustomers[CustomerID],tblCustomers[CustomerName],"Unmapped")</f>
        <v>Retail Giant A</v>
      </c>
      <c r="H449">
        <f t="shared" si="18"/>
        <v>30</v>
      </c>
      <c r="I449" s="1">
        <f t="shared" si="19"/>
        <v>0</v>
      </c>
      <c r="J449" t="str">
        <f t="shared" ca="1" si="20"/>
        <v>Paid</v>
      </c>
    </row>
    <row r="450" spans="1:10" x14ac:dyDescent="0.25">
      <c r="A450" t="s">
        <v>4875</v>
      </c>
      <c r="B450" t="s">
        <v>4555</v>
      </c>
      <c r="C450" s="3">
        <v>46173</v>
      </c>
      <c r="D450" s="3">
        <v>46203</v>
      </c>
      <c r="E450" s="1">
        <v>17828.72</v>
      </c>
      <c r="F450" t="s">
        <v>4037</v>
      </c>
      <c r="G450" t="str">
        <f>_xlfn.XLOOKUP(B450,tblCustomers[CustomerID],tblCustomers[CustomerName],"Unmapped")</f>
        <v>Gourmet Shop C</v>
      </c>
      <c r="H450">
        <f t="shared" ref="H450:H501" si="21">D450-C450</f>
        <v>30</v>
      </c>
      <c r="I450" s="1">
        <f t="shared" ref="I450:I501" si="22">IF(F450="Unpaid",E450,0)</f>
        <v>0</v>
      </c>
      <c r="J450" t="str">
        <f t="shared" ref="J450:J501" ca="1" si="23">IF(F450="Paid","Paid",IF(D450&lt;TODAY(),"Overdue","Open"))</f>
        <v>Paid</v>
      </c>
    </row>
    <row r="451" spans="1:10" x14ac:dyDescent="0.25">
      <c r="A451" t="s">
        <v>4589</v>
      </c>
      <c r="B451" t="s">
        <v>4552</v>
      </c>
      <c r="C451" s="3">
        <v>46176</v>
      </c>
      <c r="D451" s="3">
        <v>46206</v>
      </c>
      <c r="E451" s="1">
        <v>38288.699999999997</v>
      </c>
      <c r="F451" t="s">
        <v>4037</v>
      </c>
      <c r="G451" t="str">
        <f>_xlfn.XLOOKUP(B451,tblCustomers[CustomerID],tblCustomers[CustomerName],"Unmapped")</f>
        <v>Online Retailer D</v>
      </c>
      <c r="H451">
        <f t="shared" si="21"/>
        <v>30</v>
      </c>
      <c r="I451" s="1">
        <f t="shared" si="22"/>
        <v>0</v>
      </c>
      <c r="J451" t="str">
        <f t="shared" ca="1" si="23"/>
        <v>Paid</v>
      </c>
    </row>
    <row r="452" spans="1:10" x14ac:dyDescent="0.25">
      <c r="A452" t="s">
        <v>4775</v>
      </c>
      <c r="B452" t="s">
        <v>4561</v>
      </c>
      <c r="C452" s="3">
        <v>46179</v>
      </c>
      <c r="D452" s="3">
        <v>46209</v>
      </c>
      <c r="E452" s="1">
        <v>22532.959999999999</v>
      </c>
      <c r="F452" t="s">
        <v>4037</v>
      </c>
      <c r="G452" t="str">
        <f>_xlfn.XLOOKUP(B452,tblCustomers[CustomerID],tblCustomers[CustomerName],"Unmapped")</f>
        <v>Retail Giant A</v>
      </c>
      <c r="H452">
        <f t="shared" si="21"/>
        <v>30</v>
      </c>
      <c r="I452" s="1">
        <f t="shared" si="22"/>
        <v>0</v>
      </c>
      <c r="J452" t="str">
        <f t="shared" ca="1" si="23"/>
        <v>Paid</v>
      </c>
    </row>
    <row r="453" spans="1:10" x14ac:dyDescent="0.25">
      <c r="A453" t="s">
        <v>4830</v>
      </c>
      <c r="B453" t="s">
        <v>4552</v>
      </c>
      <c r="C453" s="3">
        <v>46182</v>
      </c>
      <c r="D453" s="3">
        <v>46212</v>
      </c>
      <c r="E453" s="1">
        <v>13102.49</v>
      </c>
      <c r="F453" t="s">
        <v>4037</v>
      </c>
      <c r="G453" t="str">
        <f>_xlfn.XLOOKUP(B453,tblCustomers[CustomerID],tblCustomers[CustomerName],"Unmapped")</f>
        <v>Online Retailer D</v>
      </c>
      <c r="H453">
        <f t="shared" si="21"/>
        <v>30</v>
      </c>
      <c r="I453" s="1">
        <f t="shared" si="22"/>
        <v>0</v>
      </c>
      <c r="J453" t="str">
        <f t="shared" ca="1" si="23"/>
        <v>Paid</v>
      </c>
    </row>
    <row r="454" spans="1:10" x14ac:dyDescent="0.25">
      <c r="A454" t="s">
        <v>4839</v>
      </c>
      <c r="B454" t="s">
        <v>4561</v>
      </c>
      <c r="C454" s="3">
        <v>46183</v>
      </c>
      <c r="D454" s="3">
        <v>46213</v>
      </c>
      <c r="E454" s="1">
        <v>23586.82</v>
      </c>
      <c r="F454" t="s">
        <v>4037</v>
      </c>
      <c r="G454" t="str">
        <f>_xlfn.XLOOKUP(B454,tblCustomers[CustomerID],tblCustomers[CustomerName],"Unmapped")</f>
        <v>Retail Giant A</v>
      </c>
      <c r="H454">
        <f t="shared" si="21"/>
        <v>30</v>
      </c>
      <c r="I454" s="1">
        <f t="shared" si="22"/>
        <v>0</v>
      </c>
      <c r="J454" t="str">
        <f t="shared" ca="1" si="23"/>
        <v>Paid</v>
      </c>
    </row>
    <row r="455" spans="1:10" x14ac:dyDescent="0.25">
      <c r="A455" t="s">
        <v>4630</v>
      </c>
      <c r="B455" t="s">
        <v>4559</v>
      </c>
      <c r="C455" s="3">
        <v>46184</v>
      </c>
      <c r="D455" s="3">
        <v>46214</v>
      </c>
      <c r="E455" s="1">
        <v>39453.300000000003</v>
      </c>
      <c r="F455" t="s">
        <v>4037</v>
      </c>
      <c r="G455" t="str">
        <f>_xlfn.XLOOKUP(B455,tblCustomers[CustomerID],tblCustomers[CustomerName],"Unmapped")</f>
        <v>Hotel Group E</v>
      </c>
      <c r="H455">
        <f t="shared" si="21"/>
        <v>30</v>
      </c>
      <c r="I455" s="1">
        <f t="shared" si="22"/>
        <v>0</v>
      </c>
      <c r="J455" t="str">
        <f t="shared" ca="1" si="23"/>
        <v>Paid</v>
      </c>
    </row>
    <row r="456" spans="1:10" x14ac:dyDescent="0.25">
      <c r="A456" t="s">
        <v>4836</v>
      </c>
      <c r="B456" t="s">
        <v>4555</v>
      </c>
      <c r="C456" s="3">
        <v>46187</v>
      </c>
      <c r="D456" s="3">
        <v>46217</v>
      </c>
      <c r="E456" s="1">
        <v>32054.34</v>
      </c>
      <c r="F456" t="s">
        <v>4037</v>
      </c>
      <c r="G456" t="str">
        <f>_xlfn.XLOOKUP(B456,tblCustomers[CustomerID],tblCustomers[CustomerName],"Unmapped")</f>
        <v>Gourmet Shop C</v>
      </c>
      <c r="H456">
        <f t="shared" si="21"/>
        <v>30</v>
      </c>
      <c r="I456" s="1">
        <f t="shared" si="22"/>
        <v>0</v>
      </c>
      <c r="J456" t="str">
        <f t="shared" ca="1" si="23"/>
        <v>Paid</v>
      </c>
    </row>
    <row r="457" spans="1:10" x14ac:dyDescent="0.25">
      <c r="A457" t="s">
        <v>5052</v>
      </c>
      <c r="B457" t="s">
        <v>4563</v>
      </c>
      <c r="C457" s="3">
        <v>46189</v>
      </c>
      <c r="D457" s="3">
        <v>46219</v>
      </c>
      <c r="E457" s="1">
        <v>28302.9</v>
      </c>
      <c r="F457" t="s">
        <v>4040</v>
      </c>
      <c r="G457" t="str">
        <f>_xlfn.XLOOKUP(B457,tblCustomers[CustomerID],tblCustomers[CustomerName],"Unmapped")</f>
        <v>Supermarket Chain B</v>
      </c>
      <c r="H457">
        <f t="shared" si="21"/>
        <v>30</v>
      </c>
      <c r="I457" s="1">
        <f t="shared" si="22"/>
        <v>28302.9</v>
      </c>
      <c r="J457" t="str">
        <f t="shared" ca="1" si="23"/>
        <v>Overdue</v>
      </c>
    </row>
    <row r="458" spans="1:10" x14ac:dyDescent="0.25">
      <c r="A458" t="s">
        <v>4842</v>
      </c>
      <c r="B458" t="s">
        <v>4552</v>
      </c>
      <c r="C458" s="3">
        <v>46190</v>
      </c>
      <c r="D458" s="3">
        <v>46220</v>
      </c>
      <c r="E458" s="1">
        <v>37401.71</v>
      </c>
      <c r="F458" t="s">
        <v>4040</v>
      </c>
      <c r="G458" t="str">
        <f>_xlfn.XLOOKUP(B458,tblCustomers[CustomerID],tblCustomers[CustomerName],"Unmapped")</f>
        <v>Online Retailer D</v>
      </c>
      <c r="H458">
        <f t="shared" si="21"/>
        <v>30</v>
      </c>
      <c r="I458" s="1">
        <f t="shared" si="22"/>
        <v>37401.71</v>
      </c>
      <c r="J458" t="str">
        <f t="shared" ca="1" si="23"/>
        <v>Overdue</v>
      </c>
    </row>
    <row r="459" spans="1:10" x14ac:dyDescent="0.25">
      <c r="A459" t="s">
        <v>4813</v>
      </c>
      <c r="B459" t="s">
        <v>4555</v>
      </c>
      <c r="C459" s="3">
        <v>46191</v>
      </c>
      <c r="D459" s="3">
        <v>46221</v>
      </c>
      <c r="E459" s="1">
        <v>41963.76</v>
      </c>
      <c r="F459" t="s">
        <v>4037</v>
      </c>
      <c r="G459" t="str">
        <f>_xlfn.XLOOKUP(B459,tblCustomers[CustomerID],tblCustomers[CustomerName],"Unmapped")</f>
        <v>Gourmet Shop C</v>
      </c>
      <c r="H459">
        <f t="shared" si="21"/>
        <v>30</v>
      </c>
      <c r="I459" s="1">
        <f t="shared" si="22"/>
        <v>0</v>
      </c>
      <c r="J459" t="str">
        <f t="shared" ca="1" si="23"/>
        <v>Paid</v>
      </c>
    </row>
    <row r="460" spans="1:10" x14ac:dyDescent="0.25">
      <c r="A460" t="s">
        <v>5000</v>
      </c>
      <c r="B460" t="s">
        <v>4555</v>
      </c>
      <c r="C460" s="3">
        <v>46191</v>
      </c>
      <c r="D460" s="3">
        <v>46221</v>
      </c>
      <c r="E460" s="1">
        <v>27806.43</v>
      </c>
      <c r="F460" t="s">
        <v>4037</v>
      </c>
      <c r="G460" t="str">
        <f>_xlfn.XLOOKUP(B460,tblCustomers[CustomerID],tblCustomers[CustomerName],"Unmapped")</f>
        <v>Gourmet Shop C</v>
      </c>
      <c r="H460">
        <f t="shared" si="21"/>
        <v>30</v>
      </c>
      <c r="I460" s="1">
        <f t="shared" si="22"/>
        <v>0</v>
      </c>
      <c r="J460" t="str">
        <f t="shared" ca="1" si="23"/>
        <v>Paid</v>
      </c>
    </row>
    <row r="461" spans="1:10" x14ac:dyDescent="0.25">
      <c r="A461" t="s">
        <v>4772</v>
      </c>
      <c r="B461" t="s">
        <v>4552</v>
      </c>
      <c r="C461" s="3">
        <v>46192</v>
      </c>
      <c r="D461" s="3">
        <v>46222</v>
      </c>
      <c r="E461" s="1">
        <v>17881.740000000002</v>
      </c>
      <c r="F461" t="s">
        <v>4037</v>
      </c>
      <c r="G461" t="str">
        <f>_xlfn.XLOOKUP(B461,tblCustomers[CustomerID],tblCustomers[CustomerName],"Unmapped")</f>
        <v>Online Retailer D</v>
      </c>
      <c r="H461">
        <f t="shared" si="21"/>
        <v>30</v>
      </c>
      <c r="I461" s="1">
        <f t="shared" si="22"/>
        <v>0</v>
      </c>
      <c r="J461" t="str">
        <f t="shared" ca="1" si="23"/>
        <v>Paid</v>
      </c>
    </row>
    <row r="462" spans="1:10" x14ac:dyDescent="0.25">
      <c r="A462" t="s">
        <v>4674</v>
      </c>
      <c r="B462" t="s">
        <v>4552</v>
      </c>
      <c r="C462" s="3">
        <v>46193</v>
      </c>
      <c r="D462" s="3">
        <v>46223</v>
      </c>
      <c r="E462" s="1">
        <v>49457.65</v>
      </c>
      <c r="F462" t="s">
        <v>4037</v>
      </c>
      <c r="G462" t="str">
        <f>_xlfn.XLOOKUP(B462,tblCustomers[CustomerID],tblCustomers[CustomerName],"Unmapped")</f>
        <v>Online Retailer D</v>
      </c>
      <c r="H462">
        <f t="shared" si="21"/>
        <v>30</v>
      </c>
      <c r="I462" s="1">
        <f t="shared" si="22"/>
        <v>0</v>
      </c>
      <c r="J462" t="str">
        <f t="shared" ca="1" si="23"/>
        <v>Paid</v>
      </c>
    </row>
    <row r="463" spans="1:10" x14ac:dyDescent="0.25">
      <c r="A463" t="s">
        <v>4612</v>
      </c>
      <c r="B463" t="s">
        <v>4561</v>
      </c>
      <c r="C463" s="3">
        <v>46196</v>
      </c>
      <c r="D463" s="3">
        <v>46226</v>
      </c>
      <c r="E463" s="1">
        <v>12524.23</v>
      </c>
      <c r="F463" t="s">
        <v>4037</v>
      </c>
      <c r="G463" t="str">
        <f>_xlfn.XLOOKUP(B463,tblCustomers[CustomerID],tblCustomers[CustomerName],"Unmapped")</f>
        <v>Retail Giant A</v>
      </c>
      <c r="H463">
        <f t="shared" si="21"/>
        <v>30</v>
      </c>
      <c r="I463" s="1">
        <f t="shared" si="22"/>
        <v>0</v>
      </c>
      <c r="J463" t="str">
        <f t="shared" ca="1" si="23"/>
        <v>Paid</v>
      </c>
    </row>
    <row r="464" spans="1:10" x14ac:dyDescent="0.25">
      <c r="A464" t="s">
        <v>4780</v>
      </c>
      <c r="B464" t="s">
        <v>4561</v>
      </c>
      <c r="C464" s="3">
        <v>46202</v>
      </c>
      <c r="D464" s="3">
        <v>46232</v>
      </c>
      <c r="E464" s="1">
        <v>16454.669999999998</v>
      </c>
      <c r="F464" t="s">
        <v>4037</v>
      </c>
      <c r="G464" t="str">
        <f>_xlfn.XLOOKUP(B464,tblCustomers[CustomerID],tblCustomers[CustomerName],"Unmapped")</f>
        <v>Retail Giant A</v>
      </c>
      <c r="H464">
        <f t="shared" si="21"/>
        <v>30</v>
      </c>
      <c r="I464" s="1">
        <f t="shared" si="22"/>
        <v>0</v>
      </c>
      <c r="J464" t="str">
        <f t="shared" ca="1" si="23"/>
        <v>Paid</v>
      </c>
    </row>
    <row r="465" spans="1:10" x14ac:dyDescent="0.25">
      <c r="A465" t="s">
        <v>4908</v>
      </c>
      <c r="B465" t="s">
        <v>4555</v>
      </c>
      <c r="C465" s="3">
        <v>46203</v>
      </c>
      <c r="D465" s="3">
        <v>46233</v>
      </c>
      <c r="E465" s="1">
        <v>49247.09</v>
      </c>
      <c r="F465" t="s">
        <v>4037</v>
      </c>
      <c r="G465" t="str">
        <f>_xlfn.XLOOKUP(B465,tblCustomers[CustomerID],tblCustomers[CustomerName],"Unmapped")</f>
        <v>Gourmet Shop C</v>
      </c>
      <c r="H465">
        <f t="shared" si="21"/>
        <v>30</v>
      </c>
      <c r="I465" s="1">
        <f t="shared" si="22"/>
        <v>0</v>
      </c>
      <c r="J465" t="str">
        <f t="shared" ca="1" si="23"/>
        <v>Paid</v>
      </c>
    </row>
    <row r="466" spans="1:10" x14ac:dyDescent="0.25">
      <c r="A466" t="s">
        <v>4949</v>
      </c>
      <c r="B466" t="s">
        <v>4561</v>
      </c>
      <c r="C466" s="3">
        <v>46209</v>
      </c>
      <c r="D466" s="3">
        <v>46239</v>
      </c>
      <c r="E466" s="1">
        <v>45436.83</v>
      </c>
      <c r="F466" t="s">
        <v>4037</v>
      </c>
      <c r="G466" t="str">
        <f>_xlfn.XLOOKUP(B466,tblCustomers[CustomerID],tblCustomers[CustomerName],"Unmapped")</f>
        <v>Retail Giant A</v>
      </c>
      <c r="H466">
        <f t="shared" si="21"/>
        <v>30</v>
      </c>
      <c r="I466" s="1">
        <f t="shared" si="22"/>
        <v>0</v>
      </c>
      <c r="J466" t="str">
        <f t="shared" ca="1" si="23"/>
        <v>Paid</v>
      </c>
    </row>
    <row r="467" spans="1:10" x14ac:dyDescent="0.25">
      <c r="A467" t="s">
        <v>4621</v>
      </c>
      <c r="B467" t="s">
        <v>4555</v>
      </c>
      <c r="C467" s="3">
        <v>46215</v>
      </c>
      <c r="D467" s="3">
        <v>46245</v>
      </c>
      <c r="E467" s="1">
        <v>4514.9399999999996</v>
      </c>
      <c r="F467" t="s">
        <v>4037</v>
      </c>
      <c r="G467" t="str">
        <f>_xlfn.XLOOKUP(B467,tblCustomers[CustomerID],tblCustomers[CustomerName],"Unmapped")</f>
        <v>Gourmet Shop C</v>
      </c>
      <c r="H467">
        <f t="shared" si="21"/>
        <v>30</v>
      </c>
      <c r="I467" s="1">
        <f t="shared" si="22"/>
        <v>0</v>
      </c>
      <c r="J467" t="str">
        <f t="shared" ca="1" si="23"/>
        <v>Paid</v>
      </c>
    </row>
    <row r="468" spans="1:10" x14ac:dyDescent="0.25">
      <c r="A468" t="s">
        <v>4716</v>
      </c>
      <c r="B468" t="s">
        <v>4559</v>
      </c>
      <c r="C468" s="3">
        <v>46216</v>
      </c>
      <c r="D468" s="3">
        <v>46246</v>
      </c>
      <c r="E468" s="1">
        <v>7983.27</v>
      </c>
      <c r="F468" t="s">
        <v>4037</v>
      </c>
      <c r="G468" t="str">
        <f>_xlfn.XLOOKUP(B468,tblCustomers[CustomerID],tblCustomers[CustomerName],"Unmapped")</f>
        <v>Hotel Group E</v>
      </c>
      <c r="H468">
        <f t="shared" si="21"/>
        <v>30</v>
      </c>
      <c r="I468" s="1">
        <f t="shared" si="22"/>
        <v>0</v>
      </c>
      <c r="J468" t="str">
        <f t="shared" ca="1" si="23"/>
        <v>Paid</v>
      </c>
    </row>
    <row r="469" spans="1:10" x14ac:dyDescent="0.25">
      <c r="A469" t="s">
        <v>4600</v>
      </c>
      <c r="B469" t="s">
        <v>4559</v>
      </c>
      <c r="C469" s="3">
        <v>46223</v>
      </c>
      <c r="D469" s="3">
        <v>46253</v>
      </c>
      <c r="E469" s="1">
        <v>40338.46</v>
      </c>
      <c r="F469" t="s">
        <v>4037</v>
      </c>
      <c r="G469" t="str">
        <f>_xlfn.XLOOKUP(B469,tblCustomers[CustomerID],tblCustomers[CustomerName],"Unmapped")</f>
        <v>Hotel Group E</v>
      </c>
      <c r="H469">
        <f t="shared" si="21"/>
        <v>30</v>
      </c>
      <c r="I469" s="1">
        <f t="shared" si="22"/>
        <v>0</v>
      </c>
      <c r="J469" t="str">
        <f t="shared" ca="1" si="23"/>
        <v>Paid</v>
      </c>
    </row>
    <row r="470" spans="1:10" x14ac:dyDescent="0.25">
      <c r="A470" t="s">
        <v>4634</v>
      </c>
      <c r="B470" t="s">
        <v>4561</v>
      </c>
      <c r="C470" s="3">
        <v>46224</v>
      </c>
      <c r="D470" s="3">
        <v>46254</v>
      </c>
      <c r="E470" s="1">
        <v>18638.36</v>
      </c>
      <c r="F470" t="s">
        <v>4037</v>
      </c>
      <c r="G470" t="str">
        <f>_xlfn.XLOOKUP(B470,tblCustomers[CustomerID],tblCustomers[CustomerName],"Unmapped")</f>
        <v>Retail Giant A</v>
      </c>
      <c r="H470">
        <f t="shared" si="21"/>
        <v>30</v>
      </c>
      <c r="I470" s="1">
        <f t="shared" si="22"/>
        <v>0</v>
      </c>
      <c r="J470" t="str">
        <f t="shared" ca="1" si="23"/>
        <v>Paid</v>
      </c>
    </row>
    <row r="471" spans="1:10" x14ac:dyDescent="0.25">
      <c r="A471" t="s">
        <v>4930</v>
      </c>
      <c r="B471" t="s">
        <v>4563</v>
      </c>
      <c r="C471" s="3">
        <v>46224</v>
      </c>
      <c r="D471" s="3">
        <v>46254</v>
      </c>
      <c r="E471" s="1">
        <v>15483</v>
      </c>
      <c r="F471" t="s">
        <v>4040</v>
      </c>
      <c r="G471" t="str">
        <f>_xlfn.XLOOKUP(B471,tblCustomers[CustomerID],tblCustomers[CustomerName],"Unmapped")</f>
        <v>Supermarket Chain B</v>
      </c>
      <c r="H471">
        <f t="shared" si="21"/>
        <v>30</v>
      </c>
      <c r="I471" s="1">
        <f t="shared" si="22"/>
        <v>15483</v>
      </c>
      <c r="J471" t="str">
        <f t="shared" ca="1" si="23"/>
        <v>Overdue</v>
      </c>
    </row>
    <row r="472" spans="1:10" x14ac:dyDescent="0.25">
      <c r="A472" t="s">
        <v>4576</v>
      </c>
      <c r="B472" t="s">
        <v>4561</v>
      </c>
      <c r="C472" s="3">
        <v>46226</v>
      </c>
      <c r="D472" s="3">
        <v>46256</v>
      </c>
      <c r="E472" s="1">
        <v>10021.32</v>
      </c>
      <c r="F472" t="s">
        <v>4037</v>
      </c>
      <c r="G472" t="str">
        <f>_xlfn.XLOOKUP(B472,tblCustomers[CustomerID],tblCustomers[CustomerName],"Unmapped")</f>
        <v>Retail Giant A</v>
      </c>
      <c r="H472">
        <f t="shared" si="21"/>
        <v>30</v>
      </c>
      <c r="I472" s="1">
        <f t="shared" si="22"/>
        <v>0</v>
      </c>
      <c r="J472" t="str">
        <f t="shared" ca="1" si="23"/>
        <v>Paid</v>
      </c>
    </row>
    <row r="473" spans="1:10" x14ac:dyDescent="0.25">
      <c r="A473" t="s">
        <v>4572</v>
      </c>
      <c r="B473" t="s">
        <v>4563</v>
      </c>
      <c r="C473" s="3">
        <v>46229</v>
      </c>
      <c r="D473" s="3">
        <v>46259</v>
      </c>
      <c r="E473" s="1">
        <v>37074.620000000003</v>
      </c>
      <c r="F473" t="s">
        <v>4037</v>
      </c>
      <c r="G473" t="str">
        <f>_xlfn.XLOOKUP(B473,tblCustomers[CustomerID],tblCustomers[CustomerName],"Unmapped")</f>
        <v>Supermarket Chain B</v>
      </c>
      <c r="H473">
        <f t="shared" si="21"/>
        <v>30</v>
      </c>
      <c r="I473" s="1">
        <f t="shared" si="22"/>
        <v>0</v>
      </c>
      <c r="J473" t="str">
        <f t="shared" ca="1" si="23"/>
        <v>Paid</v>
      </c>
    </row>
    <row r="474" spans="1:10" x14ac:dyDescent="0.25">
      <c r="A474" t="s">
        <v>4724</v>
      </c>
      <c r="B474" t="s">
        <v>4555</v>
      </c>
      <c r="C474" s="3">
        <v>46231</v>
      </c>
      <c r="D474" s="3">
        <v>46261</v>
      </c>
      <c r="E474" s="1">
        <v>19961.509999999998</v>
      </c>
      <c r="F474" t="s">
        <v>4037</v>
      </c>
      <c r="G474" t="str">
        <f>_xlfn.XLOOKUP(B474,tblCustomers[CustomerID],tblCustomers[CustomerName],"Unmapped")</f>
        <v>Gourmet Shop C</v>
      </c>
      <c r="H474">
        <f t="shared" si="21"/>
        <v>30</v>
      </c>
      <c r="I474" s="1">
        <f t="shared" si="22"/>
        <v>0</v>
      </c>
      <c r="J474" t="str">
        <f t="shared" ca="1" si="23"/>
        <v>Paid</v>
      </c>
    </row>
    <row r="475" spans="1:10" x14ac:dyDescent="0.25">
      <c r="A475" t="s">
        <v>4818</v>
      </c>
      <c r="B475" t="s">
        <v>4563</v>
      </c>
      <c r="C475" s="3">
        <v>46232</v>
      </c>
      <c r="D475" s="3">
        <v>46262</v>
      </c>
      <c r="E475" s="1">
        <v>23603.14</v>
      </c>
      <c r="F475" t="s">
        <v>4037</v>
      </c>
      <c r="G475" t="str">
        <f>_xlfn.XLOOKUP(B475,tblCustomers[CustomerID],tblCustomers[CustomerName],"Unmapped")</f>
        <v>Supermarket Chain B</v>
      </c>
      <c r="H475">
        <f t="shared" si="21"/>
        <v>30</v>
      </c>
      <c r="I475" s="1">
        <f t="shared" si="22"/>
        <v>0</v>
      </c>
      <c r="J475" t="str">
        <f t="shared" ca="1" si="23"/>
        <v>Paid</v>
      </c>
    </row>
    <row r="476" spans="1:10" x14ac:dyDescent="0.25">
      <c r="A476" t="s">
        <v>4844</v>
      </c>
      <c r="B476" t="s">
        <v>4561</v>
      </c>
      <c r="C476" s="3">
        <v>46233</v>
      </c>
      <c r="D476" s="3">
        <v>46263</v>
      </c>
      <c r="E476" s="1">
        <v>44796.04</v>
      </c>
      <c r="F476" t="s">
        <v>4037</v>
      </c>
      <c r="G476" t="str">
        <f>_xlfn.XLOOKUP(B476,tblCustomers[CustomerID],tblCustomers[CustomerName],"Unmapped")</f>
        <v>Retail Giant A</v>
      </c>
      <c r="H476">
        <f t="shared" si="21"/>
        <v>30</v>
      </c>
      <c r="I476" s="1">
        <f t="shared" si="22"/>
        <v>0</v>
      </c>
      <c r="J476" t="str">
        <f t="shared" ca="1" si="23"/>
        <v>Paid</v>
      </c>
    </row>
    <row r="477" spans="1:10" x14ac:dyDescent="0.25">
      <c r="A477" t="s">
        <v>4676</v>
      </c>
      <c r="B477" t="s">
        <v>4561</v>
      </c>
      <c r="C477" s="3">
        <v>46234</v>
      </c>
      <c r="D477" s="3">
        <v>46264</v>
      </c>
      <c r="E477" s="1">
        <v>21076.63</v>
      </c>
      <c r="F477" t="s">
        <v>4037</v>
      </c>
      <c r="G477" t="str">
        <f>_xlfn.XLOOKUP(B477,tblCustomers[CustomerID],tblCustomers[CustomerName],"Unmapped")</f>
        <v>Retail Giant A</v>
      </c>
      <c r="H477">
        <f t="shared" si="21"/>
        <v>30</v>
      </c>
      <c r="I477" s="1">
        <f t="shared" si="22"/>
        <v>0</v>
      </c>
      <c r="J477" t="str">
        <f t="shared" ca="1" si="23"/>
        <v>Paid</v>
      </c>
    </row>
    <row r="478" spans="1:10" x14ac:dyDescent="0.25">
      <c r="A478" t="s">
        <v>4859</v>
      </c>
      <c r="B478" t="s">
        <v>4559</v>
      </c>
      <c r="C478" s="3">
        <v>46235</v>
      </c>
      <c r="D478" s="3">
        <v>46265</v>
      </c>
      <c r="E478" s="1">
        <v>44323.98</v>
      </c>
      <c r="F478" t="s">
        <v>4040</v>
      </c>
      <c r="G478" t="str">
        <f>_xlfn.XLOOKUP(B478,tblCustomers[CustomerID],tblCustomers[CustomerName],"Unmapped")</f>
        <v>Hotel Group E</v>
      </c>
      <c r="H478">
        <f t="shared" si="21"/>
        <v>30</v>
      </c>
      <c r="I478" s="1">
        <f t="shared" si="22"/>
        <v>44323.98</v>
      </c>
      <c r="J478" t="str">
        <f t="shared" ca="1" si="23"/>
        <v>Overdue</v>
      </c>
    </row>
    <row r="479" spans="1:10" x14ac:dyDescent="0.25">
      <c r="A479" t="s">
        <v>4643</v>
      </c>
      <c r="B479" t="s">
        <v>4552</v>
      </c>
      <c r="C479" s="3">
        <v>46238</v>
      </c>
      <c r="D479" s="3">
        <v>46268</v>
      </c>
      <c r="E479" s="1">
        <v>4360.46</v>
      </c>
      <c r="F479" t="s">
        <v>4037</v>
      </c>
      <c r="G479" t="str">
        <f>_xlfn.XLOOKUP(B479,tblCustomers[CustomerID],tblCustomers[CustomerName],"Unmapped")</f>
        <v>Online Retailer D</v>
      </c>
      <c r="H479">
        <f t="shared" si="21"/>
        <v>30</v>
      </c>
      <c r="I479" s="1">
        <f t="shared" si="22"/>
        <v>0</v>
      </c>
      <c r="J479" t="str">
        <f t="shared" ca="1" si="23"/>
        <v>Paid</v>
      </c>
    </row>
    <row r="480" spans="1:10" x14ac:dyDescent="0.25">
      <c r="A480" t="s">
        <v>5012</v>
      </c>
      <c r="B480" t="s">
        <v>4555</v>
      </c>
      <c r="C480" s="3">
        <v>46238</v>
      </c>
      <c r="D480" s="3">
        <v>46268</v>
      </c>
      <c r="E480" s="1">
        <v>12362.34</v>
      </c>
      <c r="F480" t="s">
        <v>4037</v>
      </c>
      <c r="G480" t="str">
        <f>_xlfn.XLOOKUP(B480,tblCustomers[CustomerID],tblCustomers[CustomerName],"Unmapped")</f>
        <v>Gourmet Shop C</v>
      </c>
      <c r="H480">
        <f t="shared" si="21"/>
        <v>30</v>
      </c>
      <c r="I480" s="1">
        <f t="shared" si="22"/>
        <v>0</v>
      </c>
      <c r="J480" t="str">
        <f t="shared" ca="1" si="23"/>
        <v>Paid</v>
      </c>
    </row>
    <row r="481" spans="1:10" x14ac:dyDescent="0.25">
      <c r="A481" t="s">
        <v>5039</v>
      </c>
      <c r="B481" t="s">
        <v>4563</v>
      </c>
      <c r="C481" s="3">
        <v>46238</v>
      </c>
      <c r="D481" s="3">
        <v>46268</v>
      </c>
      <c r="E481" s="1">
        <v>8625.7000000000007</v>
      </c>
      <c r="F481" t="s">
        <v>4037</v>
      </c>
      <c r="G481" t="str">
        <f>_xlfn.XLOOKUP(B481,tblCustomers[CustomerID],tblCustomers[CustomerName],"Unmapped")</f>
        <v>Supermarket Chain B</v>
      </c>
      <c r="H481">
        <f t="shared" si="21"/>
        <v>30</v>
      </c>
      <c r="I481" s="1">
        <f t="shared" si="22"/>
        <v>0</v>
      </c>
      <c r="J481" t="str">
        <f t="shared" ca="1" si="23"/>
        <v>Paid</v>
      </c>
    </row>
    <row r="482" spans="1:10" x14ac:dyDescent="0.25">
      <c r="A482" t="s">
        <v>4651</v>
      </c>
      <c r="B482" t="s">
        <v>4559</v>
      </c>
      <c r="C482" s="3">
        <v>46243</v>
      </c>
      <c r="D482" s="3">
        <v>46273</v>
      </c>
      <c r="E482" s="1">
        <v>38631.31</v>
      </c>
      <c r="F482" t="s">
        <v>4037</v>
      </c>
      <c r="G482" t="str">
        <f>_xlfn.XLOOKUP(B482,tblCustomers[CustomerID],tblCustomers[CustomerName],"Unmapped")</f>
        <v>Hotel Group E</v>
      </c>
      <c r="H482">
        <f t="shared" si="21"/>
        <v>30</v>
      </c>
      <c r="I482" s="1">
        <f t="shared" si="22"/>
        <v>0</v>
      </c>
      <c r="J482" t="str">
        <f t="shared" ca="1" si="23"/>
        <v>Paid</v>
      </c>
    </row>
    <row r="483" spans="1:10" x14ac:dyDescent="0.25">
      <c r="A483" t="s">
        <v>4606</v>
      </c>
      <c r="B483" t="s">
        <v>4561</v>
      </c>
      <c r="C483" s="3">
        <v>46251</v>
      </c>
      <c r="D483" s="3">
        <v>46281</v>
      </c>
      <c r="E483" s="1">
        <v>17803.080000000002</v>
      </c>
      <c r="F483" t="s">
        <v>4037</v>
      </c>
      <c r="G483" t="str">
        <f>_xlfn.XLOOKUP(B483,tblCustomers[CustomerID],tblCustomers[CustomerName],"Unmapped")</f>
        <v>Retail Giant A</v>
      </c>
      <c r="H483">
        <f t="shared" si="21"/>
        <v>30</v>
      </c>
      <c r="I483" s="1">
        <f t="shared" si="22"/>
        <v>0</v>
      </c>
      <c r="J483" t="str">
        <f t="shared" ca="1" si="23"/>
        <v>Paid</v>
      </c>
    </row>
    <row r="484" spans="1:10" x14ac:dyDescent="0.25">
      <c r="A484" t="s">
        <v>4979</v>
      </c>
      <c r="B484" t="s">
        <v>4561</v>
      </c>
      <c r="C484" s="3">
        <v>46254</v>
      </c>
      <c r="D484" s="3">
        <v>46284</v>
      </c>
      <c r="E484" s="1">
        <v>7392.84</v>
      </c>
      <c r="F484" t="s">
        <v>4037</v>
      </c>
      <c r="G484" t="str">
        <f>_xlfn.XLOOKUP(B484,tblCustomers[CustomerID],tblCustomers[CustomerName],"Unmapped")</f>
        <v>Retail Giant A</v>
      </c>
      <c r="H484">
        <f t="shared" si="21"/>
        <v>30</v>
      </c>
      <c r="I484" s="1">
        <f t="shared" si="22"/>
        <v>0</v>
      </c>
      <c r="J484" t="str">
        <f t="shared" ca="1" si="23"/>
        <v>Paid</v>
      </c>
    </row>
    <row r="485" spans="1:10" x14ac:dyDescent="0.25">
      <c r="A485" t="s">
        <v>4980</v>
      </c>
      <c r="B485" t="s">
        <v>4559</v>
      </c>
      <c r="C485" s="3">
        <v>46260</v>
      </c>
      <c r="D485" s="3">
        <v>46290</v>
      </c>
      <c r="E485" s="1">
        <v>32674.33</v>
      </c>
      <c r="F485" t="s">
        <v>4037</v>
      </c>
      <c r="G485" t="str">
        <f>_xlfn.XLOOKUP(B485,tblCustomers[CustomerID],tblCustomers[CustomerName],"Unmapped")</f>
        <v>Hotel Group E</v>
      </c>
      <c r="H485">
        <f t="shared" si="21"/>
        <v>30</v>
      </c>
      <c r="I485" s="1">
        <f t="shared" si="22"/>
        <v>0</v>
      </c>
      <c r="J485" t="str">
        <f t="shared" ca="1" si="23"/>
        <v>Paid</v>
      </c>
    </row>
    <row r="486" spans="1:10" x14ac:dyDescent="0.25">
      <c r="A486" t="s">
        <v>4628</v>
      </c>
      <c r="B486" t="s">
        <v>4552</v>
      </c>
      <c r="C486" s="3">
        <v>46264</v>
      </c>
      <c r="D486" s="3">
        <v>46294</v>
      </c>
      <c r="E486" s="1">
        <v>40493.879999999997</v>
      </c>
      <c r="F486" t="s">
        <v>4037</v>
      </c>
      <c r="G486" t="str">
        <f>_xlfn.XLOOKUP(B486,tblCustomers[CustomerID],tblCustomers[CustomerName],"Unmapped")</f>
        <v>Online Retailer D</v>
      </c>
      <c r="H486">
        <f t="shared" si="21"/>
        <v>30</v>
      </c>
      <c r="I486" s="1">
        <f t="shared" si="22"/>
        <v>0</v>
      </c>
      <c r="J486" t="str">
        <f t="shared" ca="1" si="23"/>
        <v>Paid</v>
      </c>
    </row>
    <row r="487" spans="1:10" x14ac:dyDescent="0.25">
      <c r="A487" t="s">
        <v>4851</v>
      </c>
      <c r="B487" t="s">
        <v>4555</v>
      </c>
      <c r="C487" s="3">
        <v>46264</v>
      </c>
      <c r="D487" s="3">
        <v>46294</v>
      </c>
      <c r="E487" s="1">
        <v>5486.03</v>
      </c>
      <c r="F487" t="s">
        <v>4037</v>
      </c>
      <c r="G487" t="str">
        <f>_xlfn.XLOOKUP(B487,tblCustomers[CustomerID],tblCustomers[CustomerName],"Unmapped")</f>
        <v>Gourmet Shop C</v>
      </c>
      <c r="H487">
        <f t="shared" si="21"/>
        <v>30</v>
      </c>
      <c r="I487" s="1">
        <f t="shared" si="22"/>
        <v>0</v>
      </c>
      <c r="J487" t="str">
        <f t="shared" ca="1" si="23"/>
        <v>Paid</v>
      </c>
    </row>
    <row r="488" spans="1:10" x14ac:dyDescent="0.25">
      <c r="A488" t="s">
        <v>4611</v>
      </c>
      <c r="B488" t="s">
        <v>4555</v>
      </c>
      <c r="C488" s="3">
        <v>46268</v>
      </c>
      <c r="D488" s="3">
        <v>46298</v>
      </c>
      <c r="E488" s="1">
        <v>42355.06</v>
      </c>
      <c r="F488" t="s">
        <v>4037</v>
      </c>
      <c r="G488" t="str">
        <f>_xlfn.XLOOKUP(B488,tblCustomers[CustomerID],tblCustomers[CustomerName],"Unmapped")</f>
        <v>Gourmet Shop C</v>
      </c>
      <c r="H488">
        <f t="shared" si="21"/>
        <v>30</v>
      </c>
      <c r="I488" s="1">
        <f t="shared" si="22"/>
        <v>0</v>
      </c>
      <c r="J488" t="str">
        <f t="shared" ca="1" si="23"/>
        <v>Paid</v>
      </c>
    </row>
    <row r="489" spans="1:10" x14ac:dyDescent="0.25">
      <c r="A489" t="s">
        <v>4898</v>
      </c>
      <c r="B489" t="s">
        <v>4561</v>
      </c>
      <c r="C489" s="3">
        <v>46271</v>
      </c>
      <c r="D489" s="3">
        <v>46301</v>
      </c>
      <c r="E489" s="1">
        <v>34627.410000000003</v>
      </c>
      <c r="F489" t="s">
        <v>4037</v>
      </c>
      <c r="G489" t="str">
        <f>_xlfn.XLOOKUP(B489,tblCustomers[CustomerID],tblCustomers[CustomerName],"Unmapped")</f>
        <v>Retail Giant A</v>
      </c>
      <c r="H489">
        <f t="shared" si="21"/>
        <v>30</v>
      </c>
      <c r="I489" s="1">
        <f t="shared" si="22"/>
        <v>0</v>
      </c>
      <c r="J489" t="str">
        <f t="shared" ca="1" si="23"/>
        <v>Paid</v>
      </c>
    </row>
    <row r="490" spans="1:10" x14ac:dyDescent="0.25">
      <c r="A490" t="s">
        <v>5040</v>
      </c>
      <c r="B490" t="s">
        <v>4559</v>
      </c>
      <c r="C490" s="3">
        <v>46273</v>
      </c>
      <c r="D490" s="3">
        <v>46303</v>
      </c>
      <c r="E490" s="1">
        <v>6350.45</v>
      </c>
      <c r="F490" t="s">
        <v>4037</v>
      </c>
      <c r="G490" t="str">
        <f>_xlfn.XLOOKUP(B490,tblCustomers[CustomerID],tblCustomers[CustomerName],"Unmapped")</f>
        <v>Hotel Group E</v>
      </c>
      <c r="H490">
        <f t="shared" si="21"/>
        <v>30</v>
      </c>
      <c r="I490" s="1">
        <f t="shared" si="22"/>
        <v>0</v>
      </c>
      <c r="J490" t="str">
        <f t="shared" ca="1" si="23"/>
        <v>Paid</v>
      </c>
    </row>
    <row r="491" spans="1:10" x14ac:dyDescent="0.25">
      <c r="A491" t="s">
        <v>5036</v>
      </c>
      <c r="B491" t="s">
        <v>4563</v>
      </c>
      <c r="C491" s="3">
        <v>46274</v>
      </c>
      <c r="D491" s="3">
        <v>46304</v>
      </c>
      <c r="E491" s="1">
        <v>41454.800000000003</v>
      </c>
      <c r="F491" t="s">
        <v>4037</v>
      </c>
      <c r="G491" t="str">
        <f>_xlfn.XLOOKUP(B491,tblCustomers[CustomerID],tblCustomers[CustomerName],"Unmapped")</f>
        <v>Supermarket Chain B</v>
      </c>
      <c r="H491">
        <f t="shared" si="21"/>
        <v>30</v>
      </c>
      <c r="I491" s="1">
        <f t="shared" si="22"/>
        <v>0</v>
      </c>
      <c r="J491" t="str">
        <f t="shared" ca="1" si="23"/>
        <v>Paid</v>
      </c>
    </row>
    <row r="492" spans="1:10" x14ac:dyDescent="0.25">
      <c r="A492" t="s">
        <v>4872</v>
      </c>
      <c r="B492" t="s">
        <v>4561</v>
      </c>
      <c r="C492" s="3">
        <v>46283</v>
      </c>
      <c r="D492" s="3">
        <v>46313</v>
      </c>
      <c r="E492" s="1">
        <v>36742.01</v>
      </c>
      <c r="F492" t="s">
        <v>4037</v>
      </c>
      <c r="G492" t="str">
        <f>_xlfn.XLOOKUP(B492,tblCustomers[CustomerID],tblCustomers[CustomerName],"Unmapped")</f>
        <v>Retail Giant A</v>
      </c>
      <c r="H492">
        <f t="shared" si="21"/>
        <v>30</v>
      </c>
      <c r="I492" s="1">
        <f t="shared" si="22"/>
        <v>0</v>
      </c>
      <c r="J492" t="str">
        <f t="shared" ca="1" si="23"/>
        <v>Paid</v>
      </c>
    </row>
    <row r="493" spans="1:10" x14ac:dyDescent="0.25">
      <c r="A493" t="s">
        <v>4759</v>
      </c>
      <c r="B493" t="s">
        <v>4552</v>
      </c>
      <c r="C493" s="3">
        <v>46284</v>
      </c>
      <c r="D493" s="3">
        <v>46314</v>
      </c>
      <c r="E493" s="1">
        <v>46145.19</v>
      </c>
      <c r="F493" t="s">
        <v>4037</v>
      </c>
      <c r="G493" t="str">
        <f>_xlfn.XLOOKUP(B493,tblCustomers[CustomerID],tblCustomers[CustomerName],"Unmapped")</f>
        <v>Online Retailer D</v>
      </c>
      <c r="H493">
        <f t="shared" si="21"/>
        <v>30</v>
      </c>
      <c r="I493" s="1">
        <f t="shared" si="22"/>
        <v>0</v>
      </c>
      <c r="J493" t="str">
        <f t="shared" ca="1" si="23"/>
        <v>Paid</v>
      </c>
    </row>
    <row r="494" spans="1:10" x14ac:dyDescent="0.25">
      <c r="A494" t="s">
        <v>4760</v>
      </c>
      <c r="B494" t="s">
        <v>4559</v>
      </c>
      <c r="C494" s="3">
        <v>46286</v>
      </c>
      <c r="D494" s="3">
        <v>46316</v>
      </c>
      <c r="E494" s="1">
        <v>17676.5</v>
      </c>
      <c r="F494" t="s">
        <v>4037</v>
      </c>
      <c r="G494" t="str">
        <f>_xlfn.XLOOKUP(B494,tblCustomers[CustomerID],tblCustomers[CustomerName],"Unmapped")</f>
        <v>Hotel Group E</v>
      </c>
      <c r="H494">
        <f t="shared" si="21"/>
        <v>30</v>
      </c>
      <c r="I494" s="1">
        <f t="shared" si="22"/>
        <v>0</v>
      </c>
      <c r="J494" t="str">
        <f t="shared" ca="1" si="23"/>
        <v>Paid</v>
      </c>
    </row>
    <row r="495" spans="1:10" x14ac:dyDescent="0.25">
      <c r="A495" t="s">
        <v>4951</v>
      </c>
      <c r="B495" t="s">
        <v>4559</v>
      </c>
      <c r="C495" s="3">
        <v>46286</v>
      </c>
      <c r="D495" s="3">
        <v>46316</v>
      </c>
      <c r="E495" s="1">
        <v>41916.720000000001</v>
      </c>
      <c r="F495" t="s">
        <v>4037</v>
      </c>
      <c r="G495" t="str">
        <f>_xlfn.XLOOKUP(B495,tblCustomers[CustomerID],tblCustomers[CustomerName],"Unmapped")</f>
        <v>Hotel Group E</v>
      </c>
      <c r="H495">
        <f t="shared" si="21"/>
        <v>30</v>
      </c>
      <c r="I495" s="1">
        <f t="shared" si="22"/>
        <v>0</v>
      </c>
      <c r="J495" t="str">
        <f t="shared" ca="1" si="23"/>
        <v>Paid</v>
      </c>
    </row>
    <row r="496" spans="1:10" x14ac:dyDescent="0.25">
      <c r="A496" t="s">
        <v>4624</v>
      </c>
      <c r="B496" t="s">
        <v>4552</v>
      </c>
      <c r="C496" s="3">
        <v>46288</v>
      </c>
      <c r="D496" s="3">
        <v>46318</v>
      </c>
      <c r="E496" s="1">
        <v>39302.76</v>
      </c>
      <c r="F496" t="s">
        <v>4037</v>
      </c>
      <c r="G496" t="str">
        <f>_xlfn.XLOOKUP(B496,tblCustomers[CustomerID],tblCustomers[CustomerName],"Unmapped")</f>
        <v>Online Retailer D</v>
      </c>
      <c r="H496">
        <f t="shared" si="21"/>
        <v>30</v>
      </c>
      <c r="I496" s="1">
        <f t="shared" si="22"/>
        <v>0</v>
      </c>
      <c r="J496" t="str">
        <f t="shared" ca="1" si="23"/>
        <v>Paid</v>
      </c>
    </row>
    <row r="497" spans="1:10" x14ac:dyDescent="0.25">
      <c r="A497" t="s">
        <v>4994</v>
      </c>
      <c r="B497" t="s">
        <v>4561</v>
      </c>
      <c r="C497" s="3">
        <v>46290</v>
      </c>
      <c r="D497" s="3">
        <v>46320</v>
      </c>
      <c r="E497" s="1">
        <v>46058.8</v>
      </c>
      <c r="F497" t="s">
        <v>4040</v>
      </c>
      <c r="G497" t="str">
        <f>_xlfn.XLOOKUP(B497,tblCustomers[CustomerID],tblCustomers[CustomerName],"Unmapped")</f>
        <v>Retail Giant A</v>
      </c>
      <c r="H497">
        <f t="shared" si="21"/>
        <v>30</v>
      </c>
      <c r="I497" s="1">
        <f t="shared" si="22"/>
        <v>46058.8</v>
      </c>
      <c r="J497" t="str">
        <f t="shared" ca="1" si="23"/>
        <v>Open</v>
      </c>
    </row>
    <row r="498" spans="1:10" x14ac:dyDescent="0.25">
      <c r="A498" t="s">
        <v>5026</v>
      </c>
      <c r="B498" t="s">
        <v>4559</v>
      </c>
      <c r="C498" s="3">
        <v>46293</v>
      </c>
      <c r="D498" s="3">
        <v>46323</v>
      </c>
      <c r="E498" s="1">
        <v>26314.63</v>
      </c>
      <c r="F498" t="s">
        <v>4040</v>
      </c>
      <c r="G498" t="str">
        <f>_xlfn.XLOOKUP(B498,tblCustomers[CustomerID],tblCustomers[CustomerName],"Unmapped")</f>
        <v>Hotel Group E</v>
      </c>
      <c r="H498">
        <f t="shared" si="21"/>
        <v>30</v>
      </c>
      <c r="I498" s="1">
        <f t="shared" si="22"/>
        <v>26314.63</v>
      </c>
      <c r="J498" t="str">
        <f t="shared" ca="1" si="23"/>
        <v>Open</v>
      </c>
    </row>
    <row r="499" spans="1:10" x14ac:dyDescent="0.25">
      <c r="A499" t="s">
        <v>4702</v>
      </c>
      <c r="B499" t="s">
        <v>4561</v>
      </c>
      <c r="C499" s="3">
        <v>46298</v>
      </c>
      <c r="D499" s="3">
        <v>46328</v>
      </c>
      <c r="E499" s="1">
        <v>15255.78</v>
      </c>
      <c r="F499" t="s">
        <v>4037</v>
      </c>
      <c r="G499" t="str">
        <f>_xlfn.XLOOKUP(B499,tblCustomers[CustomerID],tblCustomers[CustomerName],"Unmapped")</f>
        <v>Retail Giant A</v>
      </c>
      <c r="H499">
        <f t="shared" si="21"/>
        <v>30</v>
      </c>
      <c r="I499" s="1">
        <f t="shared" si="22"/>
        <v>0</v>
      </c>
      <c r="J499" t="str">
        <f t="shared" ca="1" si="23"/>
        <v>Paid</v>
      </c>
    </row>
    <row r="500" spans="1:10" x14ac:dyDescent="0.25">
      <c r="A500" t="s">
        <v>4705</v>
      </c>
      <c r="B500" t="s">
        <v>4552</v>
      </c>
      <c r="C500" s="3">
        <v>46298</v>
      </c>
      <c r="D500" s="3">
        <v>46328</v>
      </c>
      <c r="E500" s="1">
        <v>10305.86</v>
      </c>
      <c r="F500" t="s">
        <v>4037</v>
      </c>
      <c r="G500" t="str">
        <f>_xlfn.XLOOKUP(B500,tblCustomers[CustomerID],tblCustomers[CustomerName],"Unmapped")</f>
        <v>Online Retailer D</v>
      </c>
      <c r="H500">
        <f t="shared" si="21"/>
        <v>30</v>
      </c>
      <c r="I500" s="1">
        <f t="shared" si="22"/>
        <v>0</v>
      </c>
      <c r="J500" t="str">
        <f t="shared" ca="1" si="23"/>
        <v>Paid</v>
      </c>
    </row>
    <row r="501" spans="1:10" x14ac:dyDescent="0.25">
      <c r="A501" t="s">
        <v>4976</v>
      </c>
      <c r="B501" t="s">
        <v>4555</v>
      </c>
      <c r="C501" s="3">
        <v>46300</v>
      </c>
      <c r="D501" s="3">
        <v>46330</v>
      </c>
      <c r="E501" s="1">
        <v>29124.45</v>
      </c>
      <c r="F501" t="s">
        <v>4037</v>
      </c>
      <c r="G501" t="str">
        <f>_xlfn.XLOOKUP(B501,tblCustomers[CustomerID],tblCustomers[CustomerName],"Unmapped")</f>
        <v>Gourmet Shop C</v>
      </c>
      <c r="H501">
        <f t="shared" si="21"/>
        <v>30</v>
      </c>
      <c r="I501" s="1">
        <f t="shared" si="22"/>
        <v>0</v>
      </c>
      <c r="J501" t="str">
        <f t="shared" ca="1" si="23"/>
        <v>Paid</v>
      </c>
    </row>
  </sheetData>
  <conditionalFormatting sqref="A2:J501">
    <cfRule type="expression" dxfId="38" priority="1">
      <formula>$J2="Overdue"</formula>
    </cfRule>
  </conditionalFormatting>
  <conditionalFormatting sqref="A2:J501">
    <cfRule type="expression" dxfId="37" priority="2">
      <formula>$J2="Open"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sqref="A1:B6"/>
    </sheetView>
  </sheetViews>
  <sheetFormatPr defaultRowHeight="15.75" x14ac:dyDescent="0.25"/>
  <cols>
    <col min="1" max="1" width="12.75" bestFit="1" customWidth="1"/>
    <col min="2" max="2" width="18.75" bestFit="1" customWidth="1"/>
  </cols>
  <sheetData>
    <row r="1" spans="1:2" x14ac:dyDescent="0.25">
      <c r="A1" t="s">
        <v>4550</v>
      </c>
      <c r="B1" t="s">
        <v>5056</v>
      </c>
    </row>
    <row r="2" spans="1:2" x14ac:dyDescent="0.25">
      <c r="A2" t="s">
        <v>4561</v>
      </c>
      <c r="B2" t="s">
        <v>5057</v>
      </c>
    </row>
    <row r="3" spans="1:2" x14ac:dyDescent="0.25">
      <c r="A3" t="s">
        <v>4563</v>
      </c>
      <c r="B3" t="s">
        <v>5058</v>
      </c>
    </row>
    <row r="4" spans="1:2" x14ac:dyDescent="0.25">
      <c r="A4" t="s">
        <v>4555</v>
      </c>
      <c r="B4" t="s">
        <v>5059</v>
      </c>
    </row>
    <row r="5" spans="1:2" x14ac:dyDescent="0.25">
      <c r="A5" t="s">
        <v>4552</v>
      </c>
      <c r="B5" t="s">
        <v>5060</v>
      </c>
    </row>
    <row r="6" spans="1:2" x14ac:dyDescent="0.25">
      <c r="A6" t="s">
        <v>4559</v>
      </c>
      <c r="B6" t="s">
        <v>5061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>
      <selection sqref="A1:D7"/>
    </sheetView>
  </sheetViews>
  <sheetFormatPr defaultRowHeight="15.75" x14ac:dyDescent="0.25"/>
  <cols>
    <col min="1" max="1" width="10.625" bestFit="1" customWidth="1"/>
    <col min="2" max="2" width="13.125" bestFit="1" customWidth="1"/>
    <col min="3" max="3" width="11.125" bestFit="1" customWidth="1"/>
    <col min="4" max="4" width="15.75" bestFit="1" customWidth="1"/>
  </cols>
  <sheetData>
    <row r="1" spans="1:4" x14ac:dyDescent="0.25">
      <c r="A1" t="s">
        <v>5062</v>
      </c>
      <c r="B1" t="s">
        <v>5063</v>
      </c>
      <c r="C1" t="s">
        <v>5064</v>
      </c>
      <c r="D1" t="s">
        <v>5065</v>
      </c>
    </row>
    <row r="2" spans="1:4" x14ac:dyDescent="0.25">
      <c r="A2" t="s">
        <v>5066</v>
      </c>
      <c r="B2" t="s">
        <v>5067</v>
      </c>
      <c r="C2">
        <v>2023</v>
      </c>
      <c r="D2">
        <v>519660</v>
      </c>
    </row>
    <row r="3" spans="1:4" x14ac:dyDescent="0.25">
      <c r="A3" t="s">
        <v>5068</v>
      </c>
      <c r="B3" t="s">
        <v>5069</v>
      </c>
      <c r="C3">
        <v>2023</v>
      </c>
      <c r="D3">
        <v>668164</v>
      </c>
    </row>
    <row r="4" spans="1:4" x14ac:dyDescent="0.25">
      <c r="A4" t="s">
        <v>5070</v>
      </c>
      <c r="B4" t="s">
        <v>5071</v>
      </c>
      <c r="C4">
        <v>2023</v>
      </c>
      <c r="D4">
        <v>309619</v>
      </c>
    </row>
    <row r="5" spans="1:4" x14ac:dyDescent="0.25">
      <c r="A5" t="s">
        <v>5072</v>
      </c>
      <c r="B5" t="s">
        <v>5073</v>
      </c>
      <c r="C5">
        <v>2023</v>
      </c>
      <c r="D5">
        <v>171374</v>
      </c>
    </row>
    <row r="6" spans="1:4" x14ac:dyDescent="0.25">
      <c r="A6" t="s">
        <v>5074</v>
      </c>
      <c r="B6" t="s">
        <v>5075</v>
      </c>
      <c r="C6">
        <v>2023</v>
      </c>
      <c r="D6">
        <v>574155</v>
      </c>
    </row>
    <row r="7" spans="1:4" x14ac:dyDescent="0.25">
      <c r="A7" t="s">
        <v>5076</v>
      </c>
      <c r="B7" t="s">
        <v>5077</v>
      </c>
      <c r="C7">
        <v>2023</v>
      </c>
      <c r="D7">
        <v>659641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"/>
  <sheetViews>
    <sheetView workbookViewId="0">
      <selection sqref="A1:K7"/>
    </sheetView>
  </sheetViews>
  <sheetFormatPr defaultRowHeight="15.75" x14ac:dyDescent="0.25"/>
  <cols>
    <col min="1" max="1" width="11.75" bestFit="1" customWidth="1"/>
    <col min="2" max="2" width="13.125" bestFit="1" customWidth="1"/>
    <col min="3" max="3" width="11.125" bestFit="1" customWidth="1"/>
    <col min="4" max="7" width="13.25" bestFit="1" customWidth="1"/>
    <col min="8" max="8" width="14.25" bestFit="1" customWidth="1"/>
    <col min="9" max="9" width="14.75" bestFit="1" customWidth="1"/>
    <col min="10" max="10" width="10.25" bestFit="1" customWidth="1"/>
    <col min="11" max="11" width="12.75" bestFit="1" customWidth="1"/>
  </cols>
  <sheetData>
    <row r="1" spans="1:11" x14ac:dyDescent="0.25">
      <c r="A1" t="s">
        <v>5078</v>
      </c>
      <c r="B1" t="s">
        <v>5063</v>
      </c>
      <c r="C1" t="s">
        <v>5064</v>
      </c>
      <c r="D1" t="s">
        <v>5079</v>
      </c>
      <c r="E1" t="s">
        <v>5080</v>
      </c>
      <c r="F1" t="s">
        <v>5081</v>
      </c>
      <c r="G1" t="s">
        <v>5082</v>
      </c>
      <c r="H1" t="s">
        <v>5683</v>
      </c>
      <c r="I1" t="s">
        <v>5684</v>
      </c>
      <c r="J1" t="s">
        <v>5685</v>
      </c>
      <c r="K1" t="s">
        <v>5686</v>
      </c>
    </row>
    <row r="2" spans="1:11" x14ac:dyDescent="0.25">
      <c r="A2" t="s">
        <v>5083</v>
      </c>
      <c r="B2" t="s">
        <v>5067</v>
      </c>
      <c r="C2">
        <v>2023</v>
      </c>
      <c r="D2" s="1">
        <v>118222.65000000001</v>
      </c>
      <c r="E2" s="1">
        <v>126017.55</v>
      </c>
      <c r="F2" s="1">
        <v>118222.65000000001</v>
      </c>
      <c r="G2" s="1">
        <v>118222.65000000001</v>
      </c>
      <c r="H2" s="1">
        <f t="shared" ref="H2" si="0">SUM(D2:G2)</f>
        <v>480685.50000000006</v>
      </c>
      <c r="I2" s="1">
        <f>SUMIFS(tblBudgets[BudgetAmount],tblBudgets[Department],B2,tblBudgets[FiscalYear],C2)</f>
        <v>519660</v>
      </c>
      <c r="J2" s="1">
        <f t="shared" ref="J2" si="1">H2-I2</f>
        <v>-38974.499999999942</v>
      </c>
      <c r="K2" s="2">
        <f t="shared" ref="K2" si="2">IFERROR(J2/I2,0)</f>
        <v>-7.4999999999999886E-2</v>
      </c>
    </row>
    <row r="3" spans="1:11" x14ac:dyDescent="0.25">
      <c r="A3" t="s">
        <v>5084</v>
      </c>
      <c r="B3" t="s">
        <v>5069</v>
      </c>
      <c r="C3">
        <v>2023</v>
      </c>
      <c r="D3" s="1">
        <v>160359.35999999999</v>
      </c>
      <c r="E3" s="1">
        <v>165370.59</v>
      </c>
      <c r="F3" s="1">
        <v>175393.05000000002</v>
      </c>
      <c r="G3" s="1">
        <v>182074.69</v>
      </c>
      <c r="H3" s="1">
        <f t="shared" ref="H3:H7" si="3">SUM(D3:G3)</f>
        <v>683197.69</v>
      </c>
      <c r="I3" s="1">
        <f>SUMIFS(tblBudgets[BudgetAmount],tblBudgets[Department],B3,tblBudgets[FiscalYear],C3)</f>
        <v>668164</v>
      </c>
      <c r="J3" s="1">
        <f t="shared" ref="J3:J7" si="4">H3-I3</f>
        <v>15033.689999999944</v>
      </c>
      <c r="K3" s="2">
        <f t="shared" ref="K3:K7" si="5">IFERROR(J3/I3,0)</f>
        <v>2.2499999999999916E-2</v>
      </c>
    </row>
    <row r="4" spans="1:11" x14ac:dyDescent="0.25">
      <c r="A4" t="s">
        <v>5085</v>
      </c>
      <c r="B4" t="s">
        <v>5071</v>
      </c>
      <c r="C4">
        <v>2023</v>
      </c>
      <c r="D4" s="1">
        <v>78952.845000000001</v>
      </c>
      <c r="E4" s="1">
        <v>75082.607499999998</v>
      </c>
      <c r="F4" s="1">
        <v>77404.75</v>
      </c>
      <c r="G4" s="1">
        <v>72760.464999999997</v>
      </c>
      <c r="H4" s="1">
        <f t="shared" si="3"/>
        <v>304200.66749999998</v>
      </c>
      <c r="I4" s="1">
        <f>SUMIFS(tblBudgets[BudgetAmount],tblBudgets[Department],B4,tblBudgets[FiscalYear],C4)</f>
        <v>309619</v>
      </c>
      <c r="J4" s="1">
        <f t="shared" si="4"/>
        <v>-5418.3325000000186</v>
      </c>
      <c r="K4" s="2">
        <f t="shared" si="5"/>
        <v>-1.7500000000000061E-2</v>
      </c>
    </row>
    <row r="5" spans="1:11" x14ac:dyDescent="0.25">
      <c r="A5" t="s">
        <v>5086</v>
      </c>
      <c r="B5" t="s">
        <v>5073</v>
      </c>
      <c r="C5">
        <v>2023</v>
      </c>
      <c r="D5" s="1">
        <v>38987.584999999999</v>
      </c>
      <c r="E5" s="1">
        <v>44128.805</v>
      </c>
      <c r="F5" s="1">
        <v>41129.760000000002</v>
      </c>
      <c r="G5" s="1">
        <v>42843.5</v>
      </c>
      <c r="H5" s="1">
        <f t="shared" si="3"/>
        <v>167089.65</v>
      </c>
      <c r="I5" s="1">
        <f>SUMIFS(tblBudgets[BudgetAmount],tblBudgets[Department],B5,tblBudgets[FiscalYear],C5)</f>
        <v>171374</v>
      </c>
      <c r="J5" s="1">
        <f t="shared" si="4"/>
        <v>-4284.3500000000058</v>
      </c>
      <c r="K5" s="2">
        <f t="shared" si="5"/>
        <v>-2.5000000000000033E-2</v>
      </c>
    </row>
    <row r="6" spans="1:11" x14ac:dyDescent="0.25">
      <c r="A6" t="s">
        <v>5087</v>
      </c>
      <c r="B6" t="s">
        <v>5075</v>
      </c>
      <c r="C6">
        <v>2023</v>
      </c>
      <c r="D6" s="1">
        <v>149280.30000000002</v>
      </c>
      <c r="E6" s="1">
        <v>149280.30000000002</v>
      </c>
      <c r="F6" s="1">
        <v>153586.46250000002</v>
      </c>
      <c r="G6" s="1">
        <v>134926.42499999999</v>
      </c>
      <c r="H6" s="1">
        <f t="shared" si="3"/>
        <v>587073.48750000005</v>
      </c>
      <c r="I6" s="1">
        <f>SUMIFS(tblBudgets[BudgetAmount],tblBudgets[Department],B6,tblBudgets[FiscalYear],C6)</f>
        <v>574155</v>
      </c>
      <c r="J6" s="1">
        <f t="shared" si="4"/>
        <v>12918.487500000047</v>
      </c>
      <c r="K6" s="2">
        <f t="shared" si="5"/>
        <v>2.2500000000000082E-2</v>
      </c>
    </row>
    <row r="7" spans="1:11" x14ac:dyDescent="0.25">
      <c r="A7" t="s">
        <v>5088</v>
      </c>
      <c r="B7" t="s">
        <v>5077</v>
      </c>
      <c r="C7">
        <v>2023</v>
      </c>
      <c r="D7" s="1">
        <v>174804.86500000002</v>
      </c>
      <c r="E7" s="1">
        <v>173155.76250000001</v>
      </c>
      <c r="F7" s="1">
        <v>151717.43</v>
      </c>
      <c r="G7" s="1">
        <v>161612.04499999998</v>
      </c>
      <c r="H7" s="1">
        <f t="shared" si="3"/>
        <v>661290.10250000004</v>
      </c>
      <c r="I7" s="1">
        <f>SUMIFS(tblBudgets[BudgetAmount],tblBudgets[Department],B7,tblBudgets[FiscalYear],C7)</f>
        <v>659641</v>
      </c>
      <c r="J7" s="1">
        <f t="shared" si="4"/>
        <v>1649.1025000000373</v>
      </c>
      <c r="K7" s="2">
        <f t="shared" si="5"/>
        <v>2.5000000000000564E-3</v>
      </c>
    </row>
  </sheetData>
  <conditionalFormatting sqref="J2:K7">
    <cfRule type="expression" dxfId="29" priority="1">
      <formula>$J2&lt;0</formula>
    </cfRule>
  </conditionalFormatting>
  <conditionalFormatting sqref="J2:K7">
    <cfRule type="expression" dxfId="28" priority="2">
      <formula>$J2&gt;0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tabSelected="1" workbookViewId="0">
      <selection sqref="A1:XFD1"/>
    </sheetView>
  </sheetViews>
  <sheetFormatPr defaultRowHeight="15.75" x14ac:dyDescent="0.25"/>
  <cols>
    <col min="1" max="1" width="16.875" bestFit="1" customWidth="1"/>
    <col min="2" max="2" width="12.375" bestFit="1" customWidth="1"/>
  </cols>
  <sheetData>
    <row r="1" spans="1:2" x14ac:dyDescent="0.25">
      <c r="A1" t="s">
        <v>5089</v>
      </c>
      <c r="B1" t="s">
        <v>5090</v>
      </c>
    </row>
    <row r="2" spans="1:2" x14ac:dyDescent="0.25">
      <c r="A2" t="s">
        <v>5091</v>
      </c>
      <c r="B2" s="1">
        <v>12761106.17</v>
      </c>
    </row>
    <row r="3" spans="1:2" x14ac:dyDescent="0.25">
      <c r="A3" t="s">
        <v>4023</v>
      </c>
      <c r="B3" s="1">
        <v>5057875.3499999996</v>
      </c>
    </row>
    <row r="4" spans="1:2" x14ac:dyDescent="0.25">
      <c r="A4" t="s">
        <v>5092</v>
      </c>
      <c r="B4" s="1">
        <v>7703230.8200000003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1"/>
  <sheetViews>
    <sheetView workbookViewId="0">
      <selection sqref="A1:I51"/>
    </sheetView>
  </sheetViews>
  <sheetFormatPr defaultRowHeight="15.75" x14ac:dyDescent="0.25"/>
  <cols>
    <col min="1" max="1" width="9.5" bestFit="1" customWidth="1"/>
    <col min="2" max="2" width="24.25" customWidth="1"/>
    <col min="3" max="3" width="14.5" bestFit="1" customWidth="1"/>
    <col min="4" max="4" width="8.875" bestFit="1" customWidth="1"/>
    <col min="5" max="5" width="16.75" bestFit="1" customWidth="1"/>
    <col min="6" max="6" width="13.125" bestFit="1" customWidth="1"/>
    <col min="7" max="7" width="19.875" bestFit="1" customWidth="1"/>
    <col min="8" max="8" width="16.375" bestFit="1" customWidth="1"/>
    <col min="9" max="9" width="15.5" bestFit="1" customWidth="1"/>
  </cols>
  <sheetData>
    <row r="1" spans="1:9" x14ac:dyDescent="0.25">
      <c r="A1" t="s">
        <v>5093</v>
      </c>
      <c r="B1" t="s">
        <v>5094</v>
      </c>
      <c r="C1" t="s">
        <v>5095</v>
      </c>
      <c r="D1" t="s">
        <v>5096</v>
      </c>
      <c r="E1" t="s">
        <v>5097</v>
      </c>
      <c r="F1" t="s">
        <v>5063</v>
      </c>
      <c r="G1" t="s">
        <v>5687</v>
      </c>
      <c r="H1" t="s">
        <v>5688</v>
      </c>
      <c r="I1" t="s">
        <v>5689</v>
      </c>
    </row>
    <row r="2" spans="1:9" x14ac:dyDescent="0.25">
      <c r="A2" t="s">
        <v>5136</v>
      </c>
      <c r="B2" t="s">
        <v>5137</v>
      </c>
      <c r="C2" s="3">
        <v>44110</v>
      </c>
      <c r="D2" s="1">
        <v>52654.39</v>
      </c>
      <c r="E2">
        <v>5</v>
      </c>
      <c r="F2" t="s">
        <v>5075</v>
      </c>
      <c r="G2" s="1">
        <f t="shared" ref="G2:G33" si="0">D2/E2</f>
        <v>10530.878000000001</v>
      </c>
      <c r="H2" s="3">
        <f t="shared" ref="H2:H33" si="1">EDATE(C2,12*E2)</f>
        <v>45936</v>
      </c>
      <c r="I2" t="str">
        <f t="shared" ref="I2:I33" ca="1" si="2">IF(H2&lt;TODAY(),"Fully Depreciated","Active")</f>
        <v>Fully Depreciated</v>
      </c>
    </row>
    <row r="3" spans="1:9" x14ac:dyDescent="0.25">
      <c r="A3" t="s">
        <v>5152</v>
      </c>
      <c r="B3" t="s">
        <v>5153</v>
      </c>
      <c r="C3" s="3">
        <v>44169</v>
      </c>
      <c r="D3" s="1">
        <v>25992.62</v>
      </c>
      <c r="E3">
        <v>7</v>
      </c>
      <c r="F3" t="s">
        <v>5075</v>
      </c>
      <c r="G3" s="1">
        <f t="shared" si="0"/>
        <v>3713.2314285714283</v>
      </c>
      <c r="H3" s="3">
        <f t="shared" si="1"/>
        <v>46725</v>
      </c>
      <c r="I3" t="str">
        <f t="shared" ca="1" si="2"/>
        <v>Active</v>
      </c>
    </row>
    <row r="4" spans="1:9" x14ac:dyDescent="0.25">
      <c r="A4" t="s">
        <v>5144</v>
      </c>
      <c r="B4" t="s">
        <v>5145</v>
      </c>
      <c r="C4" s="3">
        <v>44221</v>
      </c>
      <c r="D4" s="1">
        <v>53080.85</v>
      </c>
      <c r="E4">
        <v>5</v>
      </c>
      <c r="F4" t="s">
        <v>5075</v>
      </c>
      <c r="G4" s="1">
        <f t="shared" si="0"/>
        <v>10616.17</v>
      </c>
      <c r="H4" s="3">
        <f t="shared" si="1"/>
        <v>46047</v>
      </c>
      <c r="I4" t="str">
        <f t="shared" ca="1" si="2"/>
        <v>Fully Depreciated</v>
      </c>
    </row>
    <row r="5" spans="1:9" x14ac:dyDescent="0.25">
      <c r="A5" t="s">
        <v>5156</v>
      </c>
      <c r="B5" t="s">
        <v>5157</v>
      </c>
      <c r="C5" s="3">
        <v>44688</v>
      </c>
      <c r="D5" s="1">
        <v>58720.17</v>
      </c>
      <c r="E5">
        <v>7</v>
      </c>
      <c r="F5" t="s">
        <v>5075</v>
      </c>
      <c r="G5" s="1">
        <f t="shared" si="0"/>
        <v>8388.5957142857133</v>
      </c>
      <c r="H5" s="3">
        <f t="shared" si="1"/>
        <v>47245</v>
      </c>
      <c r="I5" t="str">
        <f t="shared" ca="1" si="2"/>
        <v>Active</v>
      </c>
    </row>
    <row r="6" spans="1:9" x14ac:dyDescent="0.25">
      <c r="A6" t="s">
        <v>5126</v>
      </c>
      <c r="B6" t="s">
        <v>5127</v>
      </c>
      <c r="C6" s="3">
        <v>44855</v>
      </c>
      <c r="D6" s="1">
        <v>18412.28</v>
      </c>
      <c r="E6">
        <v>10</v>
      </c>
      <c r="F6" t="s">
        <v>5075</v>
      </c>
      <c r="G6" s="1">
        <f t="shared" si="0"/>
        <v>1841.2279999999998</v>
      </c>
      <c r="H6" s="3">
        <f t="shared" si="1"/>
        <v>48508</v>
      </c>
      <c r="I6" t="str">
        <f t="shared" ca="1" si="2"/>
        <v>Active</v>
      </c>
    </row>
    <row r="7" spans="1:9" x14ac:dyDescent="0.25">
      <c r="A7" t="s">
        <v>5164</v>
      </c>
      <c r="B7" t="s">
        <v>5165</v>
      </c>
      <c r="C7" s="3">
        <v>44872</v>
      </c>
      <c r="D7" s="1">
        <v>72965.34</v>
      </c>
      <c r="E7">
        <v>10</v>
      </c>
      <c r="F7" t="s">
        <v>5075</v>
      </c>
      <c r="G7" s="1">
        <f t="shared" si="0"/>
        <v>7296.5339999999997</v>
      </c>
      <c r="H7" s="3">
        <f t="shared" si="1"/>
        <v>48525</v>
      </c>
      <c r="I7" t="str">
        <f t="shared" ca="1" si="2"/>
        <v>Active</v>
      </c>
    </row>
    <row r="8" spans="1:9" x14ac:dyDescent="0.25">
      <c r="A8" t="s">
        <v>5160</v>
      </c>
      <c r="B8" t="s">
        <v>5161</v>
      </c>
      <c r="C8" s="3">
        <v>43922</v>
      </c>
      <c r="D8" s="1">
        <v>64445.06</v>
      </c>
      <c r="E8">
        <v>10</v>
      </c>
      <c r="F8" t="s">
        <v>5073</v>
      </c>
      <c r="G8" s="1">
        <f t="shared" si="0"/>
        <v>6444.5059999999994</v>
      </c>
      <c r="H8" s="3">
        <f t="shared" si="1"/>
        <v>47574</v>
      </c>
      <c r="I8" t="str">
        <f t="shared" ca="1" si="2"/>
        <v>Active</v>
      </c>
    </row>
    <row r="9" spans="1:9" x14ac:dyDescent="0.25">
      <c r="A9" t="s">
        <v>5172</v>
      </c>
      <c r="B9" t="s">
        <v>5173</v>
      </c>
      <c r="C9" s="3">
        <v>44147</v>
      </c>
      <c r="D9" s="1">
        <v>59823.65</v>
      </c>
      <c r="E9">
        <v>5</v>
      </c>
      <c r="F9" t="s">
        <v>5073</v>
      </c>
      <c r="G9" s="1">
        <f t="shared" si="0"/>
        <v>11964.73</v>
      </c>
      <c r="H9" s="3">
        <f t="shared" si="1"/>
        <v>45973</v>
      </c>
      <c r="I9" t="str">
        <f t="shared" ca="1" si="2"/>
        <v>Fully Depreciated</v>
      </c>
    </row>
    <row r="10" spans="1:9" x14ac:dyDescent="0.25">
      <c r="A10" t="s">
        <v>5128</v>
      </c>
      <c r="B10" t="s">
        <v>5129</v>
      </c>
      <c r="C10" s="3">
        <v>44177</v>
      </c>
      <c r="D10" s="1">
        <v>12730.89</v>
      </c>
      <c r="E10">
        <v>10</v>
      </c>
      <c r="F10" t="s">
        <v>5073</v>
      </c>
      <c r="G10" s="1">
        <f t="shared" si="0"/>
        <v>1273.0889999999999</v>
      </c>
      <c r="H10" s="3">
        <f t="shared" si="1"/>
        <v>47829</v>
      </c>
      <c r="I10" t="str">
        <f t="shared" ca="1" si="2"/>
        <v>Active</v>
      </c>
    </row>
    <row r="11" spans="1:9" x14ac:dyDescent="0.25">
      <c r="A11" t="s">
        <v>5110</v>
      </c>
      <c r="B11" t="s">
        <v>5111</v>
      </c>
      <c r="C11" s="3">
        <v>44295</v>
      </c>
      <c r="D11" s="1">
        <v>71985.119999999995</v>
      </c>
      <c r="E11">
        <v>10</v>
      </c>
      <c r="F11" t="s">
        <v>5073</v>
      </c>
      <c r="G11" s="1">
        <f t="shared" si="0"/>
        <v>7198.5119999999997</v>
      </c>
      <c r="H11" s="3">
        <f t="shared" si="1"/>
        <v>47947</v>
      </c>
      <c r="I11" t="str">
        <f t="shared" ca="1" si="2"/>
        <v>Active</v>
      </c>
    </row>
    <row r="12" spans="1:9" x14ac:dyDescent="0.25">
      <c r="A12" t="s">
        <v>5100</v>
      </c>
      <c r="B12" t="s">
        <v>5101</v>
      </c>
      <c r="C12" s="3">
        <v>44325</v>
      </c>
      <c r="D12" s="1">
        <v>28464.07</v>
      </c>
      <c r="E12">
        <v>7</v>
      </c>
      <c r="F12" t="s">
        <v>5073</v>
      </c>
      <c r="G12" s="1">
        <f t="shared" si="0"/>
        <v>4066.2957142857144</v>
      </c>
      <c r="H12" s="3">
        <f t="shared" si="1"/>
        <v>46882</v>
      </c>
      <c r="I12" t="str">
        <f t="shared" ca="1" si="2"/>
        <v>Active</v>
      </c>
    </row>
    <row r="13" spans="1:9" x14ac:dyDescent="0.25">
      <c r="A13" t="s">
        <v>5170</v>
      </c>
      <c r="B13" t="s">
        <v>5171</v>
      </c>
      <c r="C13" s="3">
        <v>44356</v>
      </c>
      <c r="D13" s="1">
        <v>37455.31</v>
      </c>
      <c r="E13">
        <v>7</v>
      </c>
      <c r="F13" t="s">
        <v>5073</v>
      </c>
      <c r="G13" s="1">
        <f t="shared" si="0"/>
        <v>5350.7585714285715</v>
      </c>
      <c r="H13" s="3">
        <f t="shared" si="1"/>
        <v>46913</v>
      </c>
      <c r="I13" t="str">
        <f t="shared" ca="1" si="2"/>
        <v>Active</v>
      </c>
    </row>
    <row r="14" spans="1:9" x14ac:dyDescent="0.25">
      <c r="A14" t="s">
        <v>5134</v>
      </c>
      <c r="B14" t="s">
        <v>5135</v>
      </c>
      <c r="C14" s="3">
        <v>44437</v>
      </c>
      <c r="D14" s="1">
        <v>74787.350000000006</v>
      </c>
      <c r="E14">
        <v>5</v>
      </c>
      <c r="F14" t="s">
        <v>5073</v>
      </c>
      <c r="G14" s="1">
        <f t="shared" si="0"/>
        <v>14957.470000000001</v>
      </c>
      <c r="H14" s="3">
        <f t="shared" si="1"/>
        <v>46263</v>
      </c>
      <c r="I14" t="str">
        <f t="shared" ca="1" si="2"/>
        <v>Fully Depreciated</v>
      </c>
    </row>
    <row r="15" spans="1:9" x14ac:dyDescent="0.25">
      <c r="A15" t="s">
        <v>5178</v>
      </c>
      <c r="B15" t="s">
        <v>5179</v>
      </c>
      <c r="C15" s="3">
        <v>44644</v>
      </c>
      <c r="D15" s="1">
        <v>41708.81</v>
      </c>
      <c r="E15">
        <v>10</v>
      </c>
      <c r="F15" t="s">
        <v>5073</v>
      </c>
      <c r="G15" s="1">
        <f t="shared" si="0"/>
        <v>4170.8809999999994</v>
      </c>
      <c r="H15" s="3">
        <f t="shared" si="1"/>
        <v>48297</v>
      </c>
      <c r="I15" t="str">
        <f t="shared" ca="1" si="2"/>
        <v>Active</v>
      </c>
    </row>
    <row r="16" spans="1:9" x14ac:dyDescent="0.25">
      <c r="A16" t="s">
        <v>5190</v>
      </c>
      <c r="B16" t="s">
        <v>5191</v>
      </c>
      <c r="C16" s="3">
        <v>44684</v>
      </c>
      <c r="D16" s="1">
        <v>14280.55</v>
      </c>
      <c r="E16">
        <v>10</v>
      </c>
      <c r="F16" t="s">
        <v>5073</v>
      </c>
      <c r="G16" s="1">
        <f t="shared" si="0"/>
        <v>1428.0549999999998</v>
      </c>
      <c r="H16" s="3">
        <f t="shared" si="1"/>
        <v>48337</v>
      </c>
      <c r="I16" t="str">
        <f t="shared" ca="1" si="2"/>
        <v>Active</v>
      </c>
    </row>
    <row r="17" spans="1:9" x14ac:dyDescent="0.25">
      <c r="A17" t="s">
        <v>5150</v>
      </c>
      <c r="B17" t="s">
        <v>5151</v>
      </c>
      <c r="C17" s="3">
        <v>43943</v>
      </c>
      <c r="D17" s="1">
        <v>7555.56</v>
      </c>
      <c r="E17">
        <v>5</v>
      </c>
      <c r="F17" t="s">
        <v>5077</v>
      </c>
      <c r="G17" s="1">
        <f t="shared" si="0"/>
        <v>1511.1120000000001</v>
      </c>
      <c r="H17" s="3">
        <f t="shared" si="1"/>
        <v>45769</v>
      </c>
      <c r="I17" t="str">
        <f t="shared" ca="1" si="2"/>
        <v>Fully Depreciated</v>
      </c>
    </row>
    <row r="18" spans="1:9" x14ac:dyDescent="0.25">
      <c r="A18" t="s">
        <v>5188</v>
      </c>
      <c r="B18" t="s">
        <v>5189</v>
      </c>
      <c r="C18" s="3">
        <v>43959</v>
      </c>
      <c r="D18" s="1">
        <v>45133.01</v>
      </c>
      <c r="E18">
        <v>5</v>
      </c>
      <c r="F18" t="s">
        <v>5077</v>
      </c>
      <c r="G18" s="1">
        <f t="shared" si="0"/>
        <v>9026.6020000000008</v>
      </c>
      <c r="H18" s="3">
        <f t="shared" si="1"/>
        <v>45785</v>
      </c>
      <c r="I18" t="str">
        <f t="shared" ca="1" si="2"/>
        <v>Fully Depreciated</v>
      </c>
    </row>
    <row r="19" spans="1:9" x14ac:dyDescent="0.25">
      <c r="A19" t="s">
        <v>5184</v>
      </c>
      <c r="B19" t="s">
        <v>5185</v>
      </c>
      <c r="C19" s="3">
        <v>44057</v>
      </c>
      <c r="D19" s="1">
        <v>37497.53</v>
      </c>
      <c r="E19">
        <v>7</v>
      </c>
      <c r="F19" t="s">
        <v>5077</v>
      </c>
      <c r="G19" s="1">
        <f t="shared" si="0"/>
        <v>5356.79</v>
      </c>
      <c r="H19" s="3">
        <f t="shared" si="1"/>
        <v>46613</v>
      </c>
      <c r="I19" t="str">
        <f t="shared" ca="1" si="2"/>
        <v>Active</v>
      </c>
    </row>
    <row r="20" spans="1:9" x14ac:dyDescent="0.25">
      <c r="A20" t="s">
        <v>5138</v>
      </c>
      <c r="B20" t="s">
        <v>5139</v>
      </c>
      <c r="C20" s="3">
        <v>44315</v>
      </c>
      <c r="D20" s="1">
        <v>64353.29</v>
      </c>
      <c r="E20">
        <v>10</v>
      </c>
      <c r="F20" t="s">
        <v>5077</v>
      </c>
      <c r="G20" s="1">
        <f t="shared" si="0"/>
        <v>6435.3289999999997</v>
      </c>
      <c r="H20" s="3">
        <f t="shared" si="1"/>
        <v>47967</v>
      </c>
      <c r="I20" t="str">
        <f t="shared" ca="1" si="2"/>
        <v>Active</v>
      </c>
    </row>
    <row r="21" spans="1:9" x14ac:dyDescent="0.25">
      <c r="A21" t="s">
        <v>5130</v>
      </c>
      <c r="B21" t="s">
        <v>5131</v>
      </c>
      <c r="C21" s="3">
        <v>44609</v>
      </c>
      <c r="D21" s="1">
        <v>63468.02</v>
      </c>
      <c r="E21">
        <v>10</v>
      </c>
      <c r="F21" t="s">
        <v>5077</v>
      </c>
      <c r="G21" s="1">
        <f t="shared" si="0"/>
        <v>6346.8019999999997</v>
      </c>
      <c r="H21" s="3">
        <f t="shared" si="1"/>
        <v>48261</v>
      </c>
      <c r="I21" t="str">
        <f t="shared" ca="1" si="2"/>
        <v>Active</v>
      </c>
    </row>
    <row r="22" spans="1:9" x14ac:dyDescent="0.25">
      <c r="A22" t="s">
        <v>5168</v>
      </c>
      <c r="B22" t="s">
        <v>5169</v>
      </c>
      <c r="C22" s="3">
        <v>44655</v>
      </c>
      <c r="D22" s="1">
        <v>67744.53</v>
      </c>
      <c r="E22">
        <v>7</v>
      </c>
      <c r="F22" t="s">
        <v>5077</v>
      </c>
      <c r="G22" s="1">
        <f t="shared" si="0"/>
        <v>9677.7899999999991</v>
      </c>
      <c r="H22" s="3">
        <f t="shared" si="1"/>
        <v>47212</v>
      </c>
      <c r="I22" t="str">
        <f t="shared" ca="1" si="2"/>
        <v>Active</v>
      </c>
    </row>
    <row r="23" spans="1:9" x14ac:dyDescent="0.25">
      <c r="A23" t="s">
        <v>5102</v>
      </c>
      <c r="B23" t="s">
        <v>5103</v>
      </c>
      <c r="C23" s="3">
        <v>44806</v>
      </c>
      <c r="D23" s="1">
        <v>39682.69</v>
      </c>
      <c r="E23">
        <v>5</v>
      </c>
      <c r="F23" t="s">
        <v>5077</v>
      </c>
      <c r="G23" s="1">
        <f t="shared" si="0"/>
        <v>7936.5380000000005</v>
      </c>
      <c r="H23" s="3">
        <f t="shared" si="1"/>
        <v>46632</v>
      </c>
      <c r="I23" t="str">
        <f t="shared" ca="1" si="2"/>
        <v>Active</v>
      </c>
    </row>
    <row r="24" spans="1:9" x14ac:dyDescent="0.25">
      <c r="A24" t="s">
        <v>5180</v>
      </c>
      <c r="B24" t="s">
        <v>5181</v>
      </c>
      <c r="C24" s="3">
        <v>44820</v>
      </c>
      <c r="D24" s="1">
        <v>8744.4</v>
      </c>
      <c r="E24">
        <v>10</v>
      </c>
      <c r="F24" t="s">
        <v>5077</v>
      </c>
      <c r="G24" s="1">
        <f t="shared" si="0"/>
        <v>874.43999999999994</v>
      </c>
      <c r="H24" s="3">
        <f t="shared" si="1"/>
        <v>48473</v>
      </c>
      <c r="I24" t="str">
        <f t="shared" ca="1" si="2"/>
        <v>Active</v>
      </c>
    </row>
    <row r="25" spans="1:9" x14ac:dyDescent="0.25">
      <c r="A25" t="s">
        <v>5186</v>
      </c>
      <c r="B25" t="s">
        <v>5187</v>
      </c>
      <c r="C25" s="3">
        <v>44830</v>
      </c>
      <c r="D25" s="1">
        <v>19867.009999999998</v>
      </c>
      <c r="E25">
        <v>10</v>
      </c>
      <c r="F25" t="s">
        <v>5077</v>
      </c>
      <c r="G25" s="1">
        <f t="shared" si="0"/>
        <v>1986.7009999999998</v>
      </c>
      <c r="H25" s="3">
        <f t="shared" si="1"/>
        <v>48483</v>
      </c>
      <c r="I25" t="str">
        <f t="shared" ca="1" si="2"/>
        <v>Active</v>
      </c>
    </row>
    <row r="26" spans="1:9" x14ac:dyDescent="0.25">
      <c r="A26" t="s">
        <v>5162</v>
      </c>
      <c r="B26" t="s">
        <v>5163</v>
      </c>
      <c r="C26" s="3">
        <v>44912</v>
      </c>
      <c r="D26" s="1">
        <v>29847.19</v>
      </c>
      <c r="E26">
        <v>10</v>
      </c>
      <c r="F26" t="s">
        <v>5077</v>
      </c>
      <c r="G26" s="1">
        <f t="shared" si="0"/>
        <v>2984.7190000000001</v>
      </c>
      <c r="H26" s="3">
        <f t="shared" si="1"/>
        <v>48565</v>
      </c>
      <c r="I26" t="str">
        <f t="shared" ca="1" si="2"/>
        <v>Active</v>
      </c>
    </row>
    <row r="27" spans="1:9" x14ac:dyDescent="0.25">
      <c r="A27" t="s">
        <v>5098</v>
      </c>
      <c r="B27" t="s">
        <v>5099</v>
      </c>
      <c r="C27" s="3">
        <v>43847</v>
      </c>
      <c r="D27" s="1">
        <v>65913.649999999994</v>
      </c>
      <c r="E27">
        <v>7</v>
      </c>
      <c r="F27" t="s">
        <v>5069</v>
      </c>
      <c r="G27" s="1">
        <f t="shared" si="0"/>
        <v>9416.2357142857127</v>
      </c>
      <c r="H27" s="3">
        <f t="shared" si="1"/>
        <v>46404</v>
      </c>
      <c r="I27" t="str">
        <f t="shared" ca="1" si="2"/>
        <v>Active</v>
      </c>
    </row>
    <row r="28" spans="1:9" x14ac:dyDescent="0.25">
      <c r="A28" t="s">
        <v>5196</v>
      </c>
      <c r="B28" t="s">
        <v>5197</v>
      </c>
      <c r="C28" s="3">
        <v>44051</v>
      </c>
      <c r="D28" s="1">
        <v>5194.66</v>
      </c>
      <c r="E28">
        <v>5</v>
      </c>
      <c r="F28" t="s">
        <v>5069</v>
      </c>
      <c r="G28" s="1">
        <f t="shared" si="0"/>
        <v>1038.932</v>
      </c>
      <c r="H28" s="3">
        <f t="shared" si="1"/>
        <v>45877</v>
      </c>
      <c r="I28" t="str">
        <f t="shared" ca="1" si="2"/>
        <v>Fully Depreciated</v>
      </c>
    </row>
    <row r="29" spans="1:9" x14ac:dyDescent="0.25">
      <c r="A29" t="s">
        <v>5118</v>
      </c>
      <c r="B29" t="s">
        <v>5119</v>
      </c>
      <c r="C29" s="3">
        <v>44171</v>
      </c>
      <c r="D29" s="1">
        <v>24916.94</v>
      </c>
      <c r="E29">
        <v>5</v>
      </c>
      <c r="F29" t="s">
        <v>5069</v>
      </c>
      <c r="G29" s="1">
        <f t="shared" si="0"/>
        <v>4983.3879999999999</v>
      </c>
      <c r="H29" s="3">
        <f t="shared" si="1"/>
        <v>45997</v>
      </c>
      <c r="I29" t="str">
        <f t="shared" ca="1" si="2"/>
        <v>Fully Depreciated</v>
      </c>
    </row>
    <row r="30" spans="1:9" x14ac:dyDescent="0.25">
      <c r="A30" t="s">
        <v>5140</v>
      </c>
      <c r="B30" t="s">
        <v>5141</v>
      </c>
      <c r="C30" s="3">
        <v>44189</v>
      </c>
      <c r="D30" s="1">
        <v>32612.27</v>
      </c>
      <c r="E30">
        <v>5</v>
      </c>
      <c r="F30" t="s">
        <v>5069</v>
      </c>
      <c r="G30" s="1">
        <f t="shared" si="0"/>
        <v>6522.4539999999997</v>
      </c>
      <c r="H30" s="3">
        <f t="shared" si="1"/>
        <v>46015</v>
      </c>
      <c r="I30" t="str">
        <f t="shared" ca="1" si="2"/>
        <v>Fully Depreciated</v>
      </c>
    </row>
    <row r="31" spans="1:9" x14ac:dyDescent="0.25">
      <c r="A31" t="s">
        <v>5124</v>
      </c>
      <c r="B31" t="s">
        <v>5125</v>
      </c>
      <c r="C31" s="3">
        <v>44221</v>
      </c>
      <c r="D31" s="1">
        <v>67545.05</v>
      </c>
      <c r="E31">
        <v>5</v>
      </c>
      <c r="F31" t="s">
        <v>5069</v>
      </c>
      <c r="G31" s="1">
        <f t="shared" si="0"/>
        <v>13509.01</v>
      </c>
      <c r="H31" s="3">
        <f t="shared" si="1"/>
        <v>46047</v>
      </c>
      <c r="I31" t="str">
        <f t="shared" ca="1" si="2"/>
        <v>Fully Depreciated</v>
      </c>
    </row>
    <row r="32" spans="1:9" x14ac:dyDescent="0.25">
      <c r="A32" t="s">
        <v>5182</v>
      </c>
      <c r="B32" t="s">
        <v>5183</v>
      </c>
      <c r="C32" s="3">
        <v>44455</v>
      </c>
      <c r="D32" s="1">
        <v>48567.519999999997</v>
      </c>
      <c r="E32">
        <v>10</v>
      </c>
      <c r="F32" t="s">
        <v>5069</v>
      </c>
      <c r="G32" s="1">
        <f t="shared" si="0"/>
        <v>4856.7519999999995</v>
      </c>
      <c r="H32" s="3">
        <f t="shared" si="1"/>
        <v>48107</v>
      </c>
      <c r="I32" t="str">
        <f t="shared" ca="1" si="2"/>
        <v>Active</v>
      </c>
    </row>
    <row r="33" spans="1:9" x14ac:dyDescent="0.25">
      <c r="A33" t="s">
        <v>5114</v>
      </c>
      <c r="B33" t="s">
        <v>5115</v>
      </c>
      <c r="C33" s="3">
        <v>44726</v>
      </c>
      <c r="D33" s="1">
        <v>53424.02</v>
      </c>
      <c r="E33">
        <v>7</v>
      </c>
      <c r="F33" t="s">
        <v>5069</v>
      </c>
      <c r="G33" s="1">
        <f t="shared" si="0"/>
        <v>7632.0028571428566</v>
      </c>
      <c r="H33" s="3">
        <f t="shared" si="1"/>
        <v>47283</v>
      </c>
      <c r="I33" t="str">
        <f t="shared" ca="1" si="2"/>
        <v>Active</v>
      </c>
    </row>
    <row r="34" spans="1:9" x14ac:dyDescent="0.25">
      <c r="A34" t="s">
        <v>5132</v>
      </c>
      <c r="B34" t="s">
        <v>5133</v>
      </c>
      <c r="C34" s="3">
        <v>43861</v>
      </c>
      <c r="D34" s="1">
        <v>63555.6</v>
      </c>
      <c r="E34">
        <v>10</v>
      </c>
      <c r="F34" t="s">
        <v>5071</v>
      </c>
      <c r="G34" s="1">
        <f t="shared" ref="G34:G51" si="3">D34/E34</f>
        <v>6355.5599999999995</v>
      </c>
      <c r="H34" s="3">
        <f t="shared" ref="H34:H51" si="4">EDATE(C34,12*E34)</f>
        <v>47514</v>
      </c>
      <c r="I34" t="str">
        <f t="shared" ref="I34:I65" ca="1" si="5">IF(H34&lt;TODAY(),"Fully Depreciated","Active")</f>
        <v>Active</v>
      </c>
    </row>
    <row r="35" spans="1:9" x14ac:dyDescent="0.25">
      <c r="A35" t="s">
        <v>5122</v>
      </c>
      <c r="B35" t="s">
        <v>5123</v>
      </c>
      <c r="C35" s="3">
        <v>43966</v>
      </c>
      <c r="D35" s="1">
        <v>35611.29</v>
      </c>
      <c r="E35">
        <v>7</v>
      </c>
      <c r="F35" t="s">
        <v>5071</v>
      </c>
      <c r="G35" s="1">
        <f t="shared" si="3"/>
        <v>5087.3271428571434</v>
      </c>
      <c r="H35" s="3">
        <f t="shared" si="4"/>
        <v>46522</v>
      </c>
      <c r="I35" t="str">
        <f t="shared" ca="1" si="5"/>
        <v>Active</v>
      </c>
    </row>
    <row r="36" spans="1:9" x14ac:dyDescent="0.25">
      <c r="A36" t="s">
        <v>5158</v>
      </c>
      <c r="B36" t="s">
        <v>5159</v>
      </c>
      <c r="C36" s="3">
        <v>44021</v>
      </c>
      <c r="D36" s="1">
        <v>71431.87</v>
      </c>
      <c r="E36">
        <v>7</v>
      </c>
      <c r="F36" t="s">
        <v>5071</v>
      </c>
      <c r="G36" s="1">
        <f t="shared" si="3"/>
        <v>10204.552857142857</v>
      </c>
      <c r="H36" s="3">
        <f t="shared" si="4"/>
        <v>46577</v>
      </c>
      <c r="I36" t="str">
        <f t="shared" ca="1" si="5"/>
        <v>Active</v>
      </c>
    </row>
    <row r="37" spans="1:9" x14ac:dyDescent="0.25">
      <c r="A37" t="s">
        <v>5154</v>
      </c>
      <c r="B37" t="s">
        <v>5155</v>
      </c>
      <c r="C37" s="3">
        <v>44078</v>
      </c>
      <c r="D37" s="1">
        <v>73988.98</v>
      </c>
      <c r="E37">
        <v>10</v>
      </c>
      <c r="F37" t="s">
        <v>5071</v>
      </c>
      <c r="G37" s="1">
        <f t="shared" si="3"/>
        <v>7398.8979999999992</v>
      </c>
      <c r="H37" s="3">
        <f t="shared" si="4"/>
        <v>47730</v>
      </c>
      <c r="I37" t="str">
        <f t="shared" ca="1" si="5"/>
        <v>Active</v>
      </c>
    </row>
    <row r="38" spans="1:9" x14ac:dyDescent="0.25">
      <c r="A38" t="s">
        <v>5116</v>
      </c>
      <c r="B38" t="s">
        <v>5117</v>
      </c>
      <c r="C38" s="3">
        <v>44484</v>
      </c>
      <c r="D38" s="1">
        <v>17426.62</v>
      </c>
      <c r="E38">
        <v>7</v>
      </c>
      <c r="F38" t="s">
        <v>5071</v>
      </c>
      <c r="G38" s="1">
        <f t="shared" si="3"/>
        <v>2489.5171428571425</v>
      </c>
      <c r="H38" s="3">
        <f t="shared" si="4"/>
        <v>47041</v>
      </c>
      <c r="I38" t="str">
        <f t="shared" ca="1" si="5"/>
        <v>Active</v>
      </c>
    </row>
    <row r="39" spans="1:9" x14ac:dyDescent="0.25">
      <c r="A39" t="s">
        <v>5148</v>
      </c>
      <c r="B39" t="s">
        <v>5149</v>
      </c>
      <c r="C39" s="3">
        <v>44582</v>
      </c>
      <c r="D39" s="1">
        <v>37442.370000000003</v>
      </c>
      <c r="E39">
        <v>7</v>
      </c>
      <c r="F39" t="s">
        <v>5071</v>
      </c>
      <c r="G39" s="1">
        <f t="shared" si="3"/>
        <v>5348.9100000000008</v>
      </c>
      <c r="H39" s="3">
        <f t="shared" si="4"/>
        <v>47139</v>
      </c>
      <c r="I39" t="str">
        <f t="shared" ca="1" si="5"/>
        <v>Active</v>
      </c>
    </row>
    <row r="40" spans="1:9" x14ac:dyDescent="0.25">
      <c r="A40" t="s">
        <v>5104</v>
      </c>
      <c r="B40" t="s">
        <v>5105</v>
      </c>
      <c r="C40" s="3">
        <v>44688</v>
      </c>
      <c r="D40" s="1">
        <v>13033.72</v>
      </c>
      <c r="E40">
        <v>7</v>
      </c>
      <c r="F40" t="s">
        <v>5071</v>
      </c>
      <c r="G40" s="1">
        <f t="shared" si="3"/>
        <v>1861.9599999999998</v>
      </c>
      <c r="H40" s="3">
        <f t="shared" si="4"/>
        <v>47245</v>
      </c>
      <c r="I40" t="str">
        <f t="shared" ca="1" si="5"/>
        <v>Active</v>
      </c>
    </row>
    <row r="41" spans="1:9" x14ac:dyDescent="0.25">
      <c r="A41" t="s">
        <v>5146</v>
      </c>
      <c r="B41" t="s">
        <v>5147</v>
      </c>
      <c r="C41" s="3">
        <v>44690</v>
      </c>
      <c r="D41" s="1">
        <v>53882.84</v>
      </c>
      <c r="E41">
        <v>10</v>
      </c>
      <c r="F41" t="s">
        <v>5071</v>
      </c>
      <c r="G41" s="1">
        <f t="shared" si="3"/>
        <v>5388.2839999999997</v>
      </c>
      <c r="H41" s="3">
        <f t="shared" si="4"/>
        <v>48343</v>
      </c>
      <c r="I41" t="str">
        <f t="shared" ca="1" si="5"/>
        <v>Active</v>
      </c>
    </row>
    <row r="42" spans="1:9" x14ac:dyDescent="0.25">
      <c r="A42" t="s">
        <v>5194</v>
      </c>
      <c r="B42" t="s">
        <v>5195</v>
      </c>
      <c r="C42" s="3">
        <v>44716</v>
      </c>
      <c r="D42" s="1">
        <v>65219.08</v>
      </c>
      <c r="E42">
        <v>5</v>
      </c>
      <c r="F42" t="s">
        <v>5071</v>
      </c>
      <c r="G42" s="1">
        <f t="shared" si="3"/>
        <v>13043.816000000001</v>
      </c>
      <c r="H42" s="3">
        <f t="shared" si="4"/>
        <v>46542</v>
      </c>
      <c r="I42" t="str">
        <f t="shared" ca="1" si="5"/>
        <v>Active</v>
      </c>
    </row>
    <row r="43" spans="1:9" x14ac:dyDescent="0.25">
      <c r="A43" t="s">
        <v>5142</v>
      </c>
      <c r="B43" t="s">
        <v>5143</v>
      </c>
      <c r="C43" s="3">
        <v>44903</v>
      </c>
      <c r="D43" s="1">
        <v>34411.360000000001</v>
      </c>
      <c r="E43">
        <v>5</v>
      </c>
      <c r="F43" t="s">
        <v>5071</v>
      </c>
      <c r="G43" s="1">
        <f t="shared" si="3"/>
        <v>6882.2719999999999</v>
      </c>
      <c r="H43" s="3">
        <f t="shared" si="4"/>
        <v>46729</v>
      </c>
      <c r="I43" t="str">
        <f t="shared" ca="1" si="5"/>
        <v>Active</v>
      </c>
    </row>
    <row r="44" spans="1:9" x14ac:dyDescent="0.25">
      <c r="A44" t="s">
        <v>5176</v>
      </c>
      <c r="B44" t="s">
        <v>5177</v>
      </c>
      <c r="C44" s="3">
        <v>44903</v>
      </c>
      <c r="D44" s="1">
        <v>18324.63</v>
      </c>
      <c r="E44">
        <v>7</v>
      </c>
      <c r="F44" t="s">
        <v>5071</v>
      </c>
      <c r="G44" s="1">
        <f t="shared" si="3"/>
        <v>2617.8042857142859</v>
      </c>
      <c r="H44" s="3">
        <f t="shared" si="4"/>
        <v>47460</v>
      </c>
      <c r="I44" t="str">
        <f t="shared" ca="1" si="5"/>
        <v>Active</v>
      </c>
    </row>
    <row r="45" spans="1:9" x14ac:dyDescent="0.25">
      <c r="A45" t="s">
        <v>5166</v>
      </c>
      <c r="B45" t="s">
        <v>5167</v>
      </c>
      <c r="C45" s="3">
        <v>43949</v>
      </c>
      <c r="D45" s="1">
        <v>22754.44</v>
      </c>
      <c r="E45">
        <v>7</v>
      </c>
      <c r="F45" t="s">
        <v>5067</v>
      </c>
      <c r="G45" s="1">
        <f t="shared" si="3"/>
        <v>3250.6342857142854</v>
      </c>
      <c r="H45" s="3">
        <f t="shared" si="4"/>
        <v>46505</v>
      </c>
      <c r="I45" t="str">
        <f t="shared" ca="1" si="5"/>
        <v>Active</v>
      </c>
    </row>
    <row r="46" spans="1:9" x14ac:dyDescent="0.25">
      <c r="A46" t="s">
        <v>5192</v>
      </c>
      <c r="B46" t="s">
        <v>5193</v>
      </c>
      <c r="C46" s="3">
        <v>43982</v>
      </c>
      <c r="D46" s="1">
        <v>62199.38</v>
      </c>
      <c r="E46">
        <v>10</v>
      </c>
      <c r="F46" t="s">
        <v>5067</v>
      </c>
      <c r="G46" s="1">
        <f t="shared" si="3"/>
        <v>6219.9380000000001</v>
      </c>
      <c r="H46" s="3">
        <f t="shared" si="4"/>
        <v>47634</v>
      </c>
      <c r="I46" t="str">
        <f t="shared" ca="1" si="5"/>
        <v>Active</v>
      </c>
    </row>
    <row r="47" spans="1:9" x14ac:dyDescent="0.25">
      <c r="A47" t="s">
        <v>5120</v>
      </c>
      <c r="B47" t="s">
        <v>5121</v>
      </c>
      <c r="C47" s="3">
        <v>44246</v>
      </c>
      <c r="D47" s="1">
        <v>34989.93</v>
      </c>
      <c r="E47">
        <v>10</v>
      </c>
      <c r="F47" t="s">
        <v>5067</v>
      </c>
      <c r="G47" s="1">
        <f t="shared" si="3"/>
        <v>3498.9929999999999</v>
      </c>
      <c r="H47" s="3">
        <f t="shared" si="4"/>
        <v>47898</v>
      </c>
      <c r="I47" t="str">
        <f t="shared" ca="1" si="5"/>
        <v>Active</v>
      </c>
    </row>
    <row r="48" spans="1:9" x14ac:dyDescent="0.25">
      <c r="A48" t="s">
        <v>5106</v>
      </c>
      <c r="B48" t="s">
        <v>5107</v>
      </c>
      <c r="C48" s="3">
        <v>44324</v>
      </c>
      <c r="D48" s="1">
        <v>55619.71</v>
      </c>
      <c r="E48">
        <v>5</v>
      </c>
      <c r="F48" t="s">
        <v>5067</v>
      </c>
      <c r="G48" s="1">
        <f t="shared" si="3"/>
        <v>11123.941999999999</v>
      </c>
      <c r="H48" s="3">
        <f t="shared" si="4"/>
        <v>46150</v>
      </c>
      <c r="I48" t="str">
        <f t="shared" ca="1" si="5"/>
        <v>Fully Depreciated</v>
      </c>
    </row>
    <row r="49" spans="1:9" x14ac:dyDescent="0.25">
      <c r="A49" t="s">
        <v>5108</v>
      </c>
      <c r="B49" t="s">
        <v>5109</v>
      </c>
      <c r="C49" s="3">
        <v>44335</v>
      </c>
      <c r="D49" s="1">
        <v>72096.320000000007</v>
      </c>
      <c r="E49">
        <v>5</v>
      </c>
      <c r="F49" t="s">
        <v>5067</v>
      </c>
      <c r="G49" s="1">
        <f t="shared" si="3"/>
        <v>14419.264000000001</v>
      </c>
      <c r="H49" s="3">
        <f t="shared" si="4"/>
        <v>46161</v>
      </c>
      <c r="I49" t="str">
        <f t="shared" ca="1" si="5"/>
        <v>Fully Depreciated</v>
      </c>
    </row>
    <row r="50" spans="1:9" x14ac:dyDescent="0.25">
      <c r="A50" t="s">
        <v>5174</v>
      </c>
      <c r="B50" t="s">
        <v>5175</v>
      </c>
      <c r="C50" s="3">
        <v>44435</v>
      </c>
      <c r="D50" s="1">
        <v>40413.29</v>
      </c>
      <c r="E50">
        <v>7</v>
      </c>
      <c r="F50" t="s">
        <v>5067</v>
      </c>
      <c r="G50" s="1">
        <f t="shared" si="3"/>
        <v>5773.3271428571434</v>
      </c>
      <c r="H50" s="3">
        <f t="shared" si="4"/>
        <v>46992</v>
      </c>
      <c r="I50" t="str">
        <f t="shared" ca="1" si="5"/>
        <v>Active</v>
      </c>
    </row>
    <row r="51" spans="1:9" x14ac:dyDescent="0.25">
      <c r="A51" t="s">
        <v>5112</v>
      </c>
      <c r="B51" t="s">
        <v>5113</v>
      </c>
      <c r="C51" s="3">
        <v>44894</v>
      </c>
      <c r="D51" s="1">
        <v>8990.19</v>
      </c>
      <c r="E51">
        <v>5</v>
      </c>
      <c r="F51" t="s">
        <v>5067</v>
      </c>
      <c r="G51" s="1">
        <f t="shared" si="3"/>
        <v>1798.038</v>
      </c>
      <c r="H51" s="3">
        <f t="shared" si="4"/>
        <v>46720</v>
      </c>
      <c r="I51" t="str">
        <f t="shared" ca="1" si="5"/>
        <v>Active</v>
      </c>
    </row>
  </sheetData>
  <conditionalFormatting sqref="A2:I51">
    <cfRule type="expression" dxfId="18" priority="1">
      <formula>$I2="Fully Depreciated"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73"/>
  <sheetViews>
    <sheetView workbookViewId="0">
      <pane ySplit="1" topLeftCell="A2" activePane="bottomLeft" state="frozen"/>
      <selection pane="bottomLeft" sqref="A1:F373"/>
    </sheetView>
  </sheetViews>
  <sheetFormatPr defaultRowHeight="15.75" x14ac:dyDescent="0.25"/>
  <cols>
    <col min="1" max="1" width="13.375" bestFit="1" customWidth="1"/>
    <col min="2" max="2" width="11.5" bestFit="1" customWidth="1"/>
    <col min="3" max="3" width="4.875" bestFit="1" customWidth="1"/>
    <col min="4" max="4" width="18.625" bestFit="1" customWidth="1"/>
    <col min="5" max="5" width="24.25" customWidth="1"/>
    <col min="6" max="6" width="11.5" bestFit="1" customWidth="1"/>
  </cols>
  <sheetData>
    <row r="1" spans="1:6" x14ac:dyDescent="0.25">
      <c r="A1" t="s">
        <v>5198</v>
      </c>
      <c r="B1" t="s">
        <v>5093</v>
      </c>
      <c r="C1" t="s">
        <v>5199</v>
      </c>
      <c r="D1" s="1" t="s">
        <v>5200</v>
      </c>
      <c r="E1" t="s">
        <v>5094</v>
      </c>
      <c r="F1" t="s">
        <v>5063</v>
      </c>
    </row>
    <row r="2" spans="1:6" x14ac:dyDescent="0.25">
      <c r="A2" t="s">
        <v>5201</v>
      </c>
      <c r="B2" t="s">
        <v>5098</v>
      </c>
      <c r="C2">
        <v>2020</v>
      </c>
      <c r="D2" s="1">
        <v>9416.24</v>
      </c>
      <c r="E2" t="str">
        <f>_xlfn.XLOOKUP(B2,tblAssets[AssetID],tblAssets[AssetName],"Unmapped")</f>
        <v>Office Furniture 1</v>
      </c>
      <c r="F2" t="str">
        <f>_xlfn.XLOOKUP(B2,tblAssets[AssetID],tblAssets[Department],"Unmapped")</f>
        <v>Marketing</v>
      </c>
    </row>
    <row r="3" spans="1:6" x14ac:dyDescent="0.25">
      <c r="A3" t="s">
        <v>5266</v>
      </c>
      <c r="B3" t="s">
        <v>5118</v>
      </c>
      <c r="C3">
        <v>2020</v>
      </c>
      <c r="D3" s="1">
        <v>4983.3900000000003</v>
      </c>
      <c r="E3" t="str">
        <f>_xlfn.XLOOKUP(B3,tblAssets[AssetID],tblAssets[AssetName],"Unmapped")</f>
        <v>Office Furniture 11</v>
      </c>
      <c r="F3" t="str">
        <f>_xlfn.XLOOKUP(B3,tblAssets[AssetID],tblAssets[Department],"Unmapped")</f>
        <v>Marketing</v>
      </c>
    </row>
    <row r="4" spans="1:6" x14ac:dyDescent="0.25">
      <c r="A4" t="s">
        <v>5281</v>
      </c>
      <c r="B4" t="s">
        <v>5122</v>
      </c>
      <c r="C4">
        <v>2020</v>
      </c>
      <c r="D4" s="1">
        <v>5087.33</v>
      </c>
      <c r="E4" t="str">
        <f>_xlfn.XLOOKUP(B4,tblAssets[AssetID],tblAssets[AssetName],"Unmapped")</f>
        <v>Computer Equipment 13</v>
      </c>
      <c r="F4" t="str">
        <f>_xlfn.XLOOKUP(B4,tblAssets[AssetID],tblAssets[Department],"Unmapped")</f>
        <v>Production</v>
      </c>
    </row>
    <row r="5" spans="1:6" x14ac:dyDescent="0.25">
      <c r="A5" t="s">
        <v>5303</v>
      </c>
      <c r="B5" t="s">
        <v>5128</v>
      </c>
      <c r="C5">
        <v>2020</v>
      </c>
      <c r="D5" s="1">
        <v>1273.0899999999999</v>
      </c>
      <c r="E5" t="str">
        <f>_xlfn.XLOOKUP(B5,tblAssets[AssetID],tblAssets[AssetName],"Unmapped")</f>
        <v>Office Furniture 16</v>
      </c>
      <c r="F5" t="str">
        <f>_xlfn.XLOOKUP(B5,tblAssets[AssetID],tblAssets[Department],"Unmapped")</f>
        <v>HR</v>
      </c>
    </row>
    <row r="6" spans="1:6" x14ac:dyDescent="0.25">
      <c r="A6" t="s">
        <v>5323</v>
      </c>
      <c r="B6" t="s">
        <v>5132</v>
      </c>
      <c r="C6">
        <v>2020</v>
      </c>
      <c r="D6" s="1">
        <v>6355.56</v>
      </c>
      <c r="E6" t="str">
        <f>_xlfn.XLOOKUP(B6,tblAssets[AssetID],tblAssets[AssetName],"Unmapped")</f>
        <v>Office Furniture 18</v>
      </c>
      <c r="F6" t="str">
        <f>_xlfn.XLOOKUP(B6,tblAssets[AssetID],tblAssets[Department],"Unmapped")</f>
        <v>Production</v>
      </c>
    </row>
    <row r="7" spans="1:6" x14ac:dyDescent="0.25">
      <c r="A7" t="s">
        <v>5338</v>
      </c>
      <c r="B7" t="s">
        <v>5136</v>
      </c>
      <c r="C7">
        <v>2020</v>
      </c>
      <c r="D7" s="1">
        <v>10530.88</v>
      </c>
      <c r="E7" t="str">
        <f>_xlfn.XLOOKUP(B7,tblAssets[AssetID],tblAssets[AssetName],"Unmapped")</f>
        <v>Computer Equipment 20</v>
      </c>
      <c r="F7" t="str">
        <f>_xlfn.XLOOKUP(B7,tblAssets[AssetID],tblAssets[Department],"Unmapped")</f>
        <v>Finance</v>
      </c>
    </row>
    <row r="8" spans="1:6" x14ac:dyDescent="0.25">
      <c r="A8" t="s">
        <v>5353</v>
      </c>
      <c r="B8" t="s">
        <v>5140</v>
      </c>
      <c r="C8">
        <v>2020</v>
      </c>
      <c r="D8" s="1">
        <v>6522.45</v>
      </c>
      <c r="E8" t="str">
        <f>_xlfn.XLOOKUP(B8,tblAssets[AssetID],tblAssets[AssetName],"Unmapped")</f>
        <v>Production Machinery 22</v>
      </c>
      <c r="F8" t="str">
        <f>_xlfn.XLOOKUP(B8,tblAssets[AssetID],tblAssets[Department],"Unmapped")</f>
        <v>Marketing</v>
      </c>
    </row>
    <row r="9" spans="1:6" x14ac:dyDescent="0.25">
      <c r="A9" t="s">
        <v>5385</v>
      </c>
      <c r="B9" t="s">
        <v>5150</v>
      </c>
      <c r="C9">
        <v>2020</v>
      </c>
      <c r="D9" s="1">
        <v>1511.11</v>
      </c>
      <c r="E9" t="str">
        <f>_xlfn.XLOOKUP(B9,tblAssets[AssetID],tblAssets[AssetName],"Unmapped")</f>
        <v>Vehicles 27</v>
      </c>
      <c r="F9" t="str">
        <f>_xlfn.XLOOKUP(B9,tblAssets[AssetID],tblAssets[Department],"Unmapped")</f>
        <v>IT</v>
      </c>
    </row>
    <row r="10" spans="1:6" x14ac:dyDescent="0.25">
      <c r="A10" t="s">
        <v>5390</v>
      </c>
      <c r="B10" t="s">
        <v>5152</v>
      </c>
      <c r="C10">
        <v>2020</v>
      </c>
      <c r="D10" s="1">
        <v>3713.23</v>
      </c>
      <c r="E10" t="str">
        <f>_xlfn.XLOOKUP(B10,tblAssets[AssetID],tblAssets[AssetName],"Unmapped")</f>
        <v>Vehicles 28</v>
      </c>
      <c r="F10" t="str">
        <f>_xlfn.XLOOKUP(B10,tblAssets[AssetID],tblAssets[Department],"Unmapped")</f>
        <v>Finance</v>
      </c>
    </row>
    <row r="11" spans="1:6" x14ac:dyDescent="0.25">
      <c r="A11" t="s">
        <v>5397</v>
      </c>
      <c r="B11" t="s">
        <v>5154</v>
      </c>
      <c r="C11">
        <v>2020</v>
      </c>
      <c r="D11" s="1">
        <v>7398.9</v>
      </c>
      <c r="E11" t="str">
        <f>_xlfn.XLOOKUP(B11,tblAssets[AssetID],tblAssets[AssetName],"Unmapped")</f>
        <v>Office Furniture 29</v>
      </c>
      <c r="F11" t="str">
        <f>_xlfn.XLOOKUP(B11,tblAssets[AssetID],tblAssets[Department],"Unmapped")</f>
        <v>Production</v>
      </c>
    </row>
    <row r="12" spans="1:6" x14ac:dyDescent="0.25">
      <c r="A12" t="s">
        <v>5414</v>
      </c>
      <c r="B12" t="s">
        <v>5158</v>
      </c>
      <c r="C12">
        <v>2020</v>
      </c>
      <c r="D12" s="1">
        <v>10204.549999999999</v>
      </c>
      <c r="E12" t="str">
        <f>_xlfn.XLOOKUP(B12,tblAssets[AssetID],tblAssets[AssetName],"Unmapped")</f>
        <v>Vehicles 31</v>
      </c>
      <c r="F12" t="str">
        <f>_xlfn.XLOOKUP(B12,tblAssets[AssetID],tblAssets[Department],"Unmapped")</f>
        <v>Production</v>
      </c>
    </row>
    <row r="13" spans="1:6" x14ac:dyDescent="0.25">
      <c r="A13" t="s">
        <v>5421</v>
      </c>
      <c r="B13" t="s">
        <v>5160</v>
      </c>
      <c r="C13">
        <v>2020</v>
      </c>
      <c r="D13" s="1">
        <v>6444.51</v>
      </c>
      <c r="E13" t="str">
        <f>_xlfn.XLOOKUP(B13,tblAssets[AssetID],tblAssets[AssetName],"Unmapped")</f>
        <v>Production Machinery 32</v>
      </c>
      <c r="F13" t="str">
        <f>_xlfn.XLOOKUP(B13,tblAssets[AssetID],tblAssets[Department],"Unmapped")</f>
        <v>HR</v>
      </c>
    </row>
    <row r="14" spans="1:6" x14ac:dyDescent="0.25">
      <c r="A14" t="s">
        <v>5451</v>
      </c>
      <c r="B14" t="s">
        <v>5166</v>
      </c>
      <c r="C14">
        <v>2020</v>
      </c>
      <c r="D14" s="1">
        <v>3250.63</v>
      </c>
      <c r="E14" t="str">
        <f>_xlfn.XLOOKUP(B14,tblAssets[AssetID],tblAssets[AssetName],"Unmapped")</f>
        <v>Office Furniture 35</v>
      </c>
      <c r="F14" t="str">
        <f>_xlfn.XLOOKUP(B14,tblAssets[AssetID],tblAssets[Department],"Unmapped")</f>
        <v>Sales</v>
      </c>
    </row>
    <row r="15" spans="1:6" x14ac:dyDescent="0.25">
      <c r="A15" t="s">
        <v>5472</v>
      </c>
      <c r="B15" t="s">
        <v>5172</v>
      </c>
      <c r="C15">
        <v>2020</v>
      </c>
      <c r="D15" s="1">
        <v>11964.73</v>
      </c>
      <c r="E15" t="str">
        <f>_xlfn.XLOOKUP(B15,tblAssets[AssetID],tblAssets[AssetName],"Unmapped")</f>
        <v>Vehicles 38</v>
      </c>
      <c r="F15" t="str">
        <f>_xlfn.XLOOKUP(B15,tblAssets[AssetID],tblAssets[Department],"Unmapped")</f>
        <v>HR</v>
      </c>
    </row>
    <row r="16" spans="1:6" x14ac:dyDescent="0.25">
      <c r="A16" t="s">
        <v>5521</v>
      </c>
      <c r="B16" t="s">
        <v>5184</v>
      </c>
      <c r="C16">
        <v>2020</v>
      </c>
      <c r="D16" s="1">
        <v>5356.79</v>
      </c>
      <c r="E16" t="str">
        <f>_xlfn.XLOOKUP(B16,tblAssets[AssetID],tblAssets[AssetName],"Unmapped")</f>
        <v>Vehicles 44</v>
      </c>
      <c r="F16" t="str">
        <f>_xlfn.XLOOKUP(B16,tblAssets[AssetID],tblAssets[Department],"Unmapped")</f>
        <v>IT</v>
      </c>
    </row>
    <row r="17" spans="1:6" x14ac:dyDescent="0.25">
      <c r="A17" t="s">
        <v>5538</v>
      </c>
      <c r="B17" t="s">
        <v>5188</v>
      </c>
      <c r="C17">
        <v>2020</v>
      </c>
      <c r="D17" s="1">
        <v>9026.6</v>
      </c>
      <c r="E17" t="str">
        <f>_xlfn.XLOOKUP(B17,tblAssets[AssetID],tblAssets[AssetName],"Unmapped")</f>
        <v>Production Machinery 46</v>
      </c>
      <c r="F17" t="str">
        <f>_xlfn.XLOOKUP(B17,tblAssets[AssetID],tblAssets[Department],"Unmapped")</f>
        <v>IT</v>
      </c>
    </row>
    <row r="18" spans="1:6" x14ac:dyDescent="0.25">
      <c r="A18" t="s">
        <v>5553</v>
      </c>
      <c r="B18" t="s">
        <v>5192</v>
      </c>
      <c r="C18">
        <v>2020</v>
      </c>
      <c r="D18" s="1">
        <v>6219.94</v>
      </c>
      <c r="E18" t="str">
        <f>_xlfn.XLOOKUP(B18,tblAssets[AssetID],tblAssets[AssetName],"Unmapped")</f>
        <v>Vehicles 48</v>
      </c>
      <c r="F18" t="str">
        <f>_xlfn.XLOOKUP(B18,tblAssets[AssetID],tblAssets[Department],"Unmapped")</f>
        <v>Sales</v>
      </c>
    </row>
    <row r="19" spans="1:6" x14ac:dyDescent="0.25">
      <c r="A19" t="s">
        <v>5568</v>
      </c>
      <c r="B19" t="s">
        <v>5196</v>
      </c>
      <c r="C19">
        <v>2020</v>
      </c>
      <c r="D19" s="1">
        <v>1038.93</v>
      </c>
      <c r="E19" t="str">
        <f>_xlfn.XLOOKUP(B19,tblAssets[AssetID],tblAssets[AssetName],"Unmapped")</f>
        <v>Computer Equipment 50</v>
      </c>
      <c r="F19" t="str">
        <f>_xlfn.XLOOKUP(B19,tblAssets[AssetID],tblAssets[Department],"Unmapped")</f>
        <v>Marketing</v>
      </c>
    </row>
    <row r="20" spans="1:6" x14ac:dyDescent="0.25">
      <c r="A20" t="s">
        <v>5202</v>
      </c>
      <c r="B20" t="s">
        <v>5098</v>
      </c>
      <c r="C20">
        <v>2021</v>
      </c>
      <c r="D20" s="1">
        <v>9416.24</v>
      </c>
      <c r="E20" t="str">
        <f>_xlfn.XLOOKUP(B20,tblAssets[AssetID],tblAssets[AssetName],"Unmapped")</f>
        <v>Office Furniture 1</v>
      </c>
      <c r="F20" t="str">
        <f>_xlfn.XLOOKUP(B20,tblAssets[AssetID],tblAssets[Department],"Unmapped")</f>
        <v>Marketing</v>
      </c>
    </row>
    <row r="21" spans="1:6" x14ac:dyDescent="0.25">
      <c r="A21" t="s">
        <v>5208</v>
      </c>
      <c r="B21" t="s">
        <v>5100</v>
      </c>
      <c r="C21">
        <v>2021</v>
      </c>
      <c r="D21" s="1">
        <v>4066.3</v>
      </c>
      <c r="E21" t="str">
        <f>_xlfn.XLOOKUP(B21,tblAssets[AssetID],tblAssets[AssetName],"Unmapped")</f>
        <v>Computer Equipment 2</v>
      </c>
      <c r="F21" t="str">
        <f>_xlfn.XLOOKUP(B21,tblAssets[AssetID],tblAssets[Department],"Unmapped")</f>
        <v>HR</v>
      </c>
    </row>
    <row r="22" spans="1:6" x14ac:dyDescent="0.25">
      <c r="A22" t="s">
        <v>5227</v>
      </c>
      <c r="B22" t="s">
        <v>5106</v>
      </c>
      <c r="C22">
        <v>2021</v>
      </c>
      <c r="D22" s="1">
        <v>11123.94</v>
      </c>
      <c r="E22" t="str">
        <f>_xlfn.XLOOKUP(B22,tblAssets[AssetID],tblAssets[AssetName],"Unmapped")</f>
        <v>Computer Equipment 5</v>
      </c>
      <c r="F22" t="str">
        <f>_xlfn.XLOOKUP(B22,tblAssets[AssetID],tblAssets[Department],"Unmapped")</f>
        <v>Sales</v>
      </c>
    </row>
    <row r="23" spans="1:6" x14ac:dyDescent="0.25">
      <c r="A23" t="s">
        <v>5232</v>
      </c>
      <c r="B23" t="s">
        <v>5108</v>
      </c>
      <c r="C23">
        <v>2021</v>
      </c>
      <c r="D23" s="1">
        <v>14419.26</v>
      </c>
      <c r="E23" t="str">
        <f>_xlfn.XLOOKUP(B23,tblAssets[AssetID],tblAssets[AssetName],"Unmapped")</f>
        <v>Computer Equipment 6</v>
      </c>
      <c r="F23" t="str">
        <f>_xlfn.XLOOKUP(B23,tblAssets[AssetID],tblAssets[Department],"Unmapped")</f>
        <v>Sales</v>
      </c>
    </row>
    <row r="24" spans="1:6" x14ac:dyDescent="0.25">
      <c r="A24" t="s">
        <v>5237</v>
      </c>
      <c r="B24" t="s">
        <v>5110</v>
      </c>
      <c r="C24">
        <v>2021</v>
      </c>
      <c r="D24" s="1">
        <v>7198.51</v>
      </c>
      <c r="E24" t="str">
        <f>_xlfn.XLOOKUP(B24,tblAssets[AssetID],tblAssets[AssetName],"Unmapped")</f>
        <v>Vehicles 7</v>
      </c>
      <c r="F24" t="str">
        <f>_xlfn.XLOOKUP(B24,tblAssets[AssetID],tblAssets[Department],"Unmapped")</f>
        <v>HR</v>
      </c>
    </row>
    <row r="25" spans="1:6" x14ac:dyDescent="0.25">
      <c r="A25" t="s">
        <v>5259</v>
      </c>
      <c r="B25" t="s">
        <v>5116</v>
      </c>
      <c r="C25">
        <v>2021</v>
      </c>
      <c r="D25" s="1">
        <v>2489.52</v>
      </c>
      <c r="E25" t="str">
        <f>_xlfn.XLOOKUP(B25,tblAssets[AssetID],tblAssets[AssetName],"Unmapped")</f>
        <v>Vehicles 10</v>
      </c>
      <c r="F25" t="str">
        <f>_xlfn.XLOOKUP(B25,tblAssets[AssetID],tblAssets[Department],"Unmapped")</f>
        <v>Production</v>
      </c>
    </row>
    <row r="26" spans="1:6" x14ac:dyDescent="0.25">
      <c r="A26" t="s">
        <v>5267</v>
      </c>
      <c r="B26" t="s">
        <v>5118</v>
      </c>
      <c r="C26">
        <v>2021</v>
      </c>
      <c r="D26" s="1">
        <v>4983.3900000000003</v>
      </c>
      <c r="E26" t="str">
        <f>_xlfn.XLOOKUP(B26,tblAssets[AssetID],tblAssets[AssetName],"Unmapped")</f>
        <v>Office Furniture 11</v>
      </c>
      <c r="F26" t="str">
        <f>_xlfn.XLOOKUP(B26,tblAssets[AssetID],tblAssets[Department],"Unmapped")</f>
        <v>Marketing</v>
      </c>
    </row>
    <row r="27" spans="1:6" x14ac:dyDescent="0.25">
      <c r="A27" t="s">
        <v>5271</v>
      </c>
      <c r="B27" t="s">
        <v>5120</v>
      </c>
      <c r="C27">
        <v>2021</v>
      </c>
      <c r="D27" s="1">
        <v>3498.99</v>
      </c>
      <c r="E27" t="str">
        <f>_xlfn.XLOOKUP(B27,tblAssets[AssetID],tblAssets[AssetName],"Unmapped")</f>
        <v>Computer Equipment 12</v>
      </c>
      <c r="F27" t="str">
        <f>_xlfn.XLOOKUP(B27,tblAssets[AssetID],tblAssets[Department],"Unmapped")</f>
        <v>Sales</v>
      </c>
    </row>
    <row r="28" spans="1:6" x14ac:dyDescent="0.25">
      <c r="A28" t="s">
        <v>5282</v>
      </c>
      <c r="B28" t="s">
        <v>5122</v>
      </c>
      <c r="C28">
        <v>2021</v>
      </c>
      <c r="D28" s="1">
        <v>5087.33</v>
      </c>
      <c r="E28" t="str">
        <f>_xlfn.XLOOKUP(B28,tblAssets[AssetID],tblAssets[AssetName],"Unmapped")</f>
        <v>Computer Equipment 13</v>
      </c>
      <c r="F28" t="str">
        <f>_xlfn.XLOOKUP(B28,tblAssets[AssetID],tblAssets[Department],"Unmapped")</f>
        <v>Production</v>
      </c>
    </row>
    <row r="29" spans="1:6" x14ac:dyDescent="0.25">
      <c r="A29" t="s">
        <v>5288</v>
      </c>
      <c r="B29" t="s">
        <v>5124</v>
      </c>
      <c r="C29">
        <v>2021</v>
      </c>
      <c r="D29" s="1">
        <v>13509.01</v>
      </c>
      <c r="E29" t="str">
        <f>_xlfn.XLOOKUP(B29,tblAssets[AssetID],tblAssets[AssetName],"Unmapped")</f>
        <v>Production Machinery 14</v>
      </c>
      <c r="F29" t="str">
        <f>_xlfn.XLOOKUP(B29,tblAssets[AssetID],tblAssets[Department],"Unmapped")</f>
        <v>Marketing</v>
      </c>
    </row>
    <row r="30" spans="1:6" x14ac:dyDescent="0.25">
      <c r="A30" t="s">
        <v>5304</v>
      </c>
      <c r="B30" t="s">
        <v>5128</v>
      </c>
      <c r="C30">
        <v>2021</v>
      </c>
      <c r="D30" s="1">
        <v>1273.0899999999999</v>
      </c>
      <c r="E30" t="str">
        <f>_xlfn.XLOOKUP(B30,tblAssets[AssetID],tblAssets[AssetName],"Unmapped")</f>
        <v>Office Furniture 16</v>
      </c>
      <c r="F30" t="str">
        <f>_xlfn.XLOOKUP(B30,tblAssets[AssetID],tblAssets[Department],"Unmapped")</f>
        <v>HR</v>
      </c>
    </row>
    <row r="31" spans="1:6" x14ac:dyDescent="0.25">
      <c r="A31" t="s">
        <v>5324</v>
      </c>
      <c r="B31" t="s">
        <v>5132</v>
      </c>
      <c r="C31">
        <v>2021</v>
      </c>
      <c r="D31" s="1">
        <v>6355.56</v>
      </c>
      <c r="E31" t="str">
        <f>_xlfn.XLOOKUP(B31,tblAssets[AssetID],tblAssets[AssetName],"Unmapped")</f>
        <v>Office Furniture 18</v>
      </c>
      <c r="F31" t="str">
        <f>_xlfn.XLOOKUP(B31,tblAssets[AssetID],tblAssets[Department],"Unmapped")</f>
        <v>Production</v>
      </c>
    </row>
    <row r="32" spans="1:6" x14ac:dyDescent="0.25">
      <c r="A32" t="s">
        <v>5333</v>
      </c>
      <c r="B32" t="s">
        <v>5134</v>
      </c>
      <c r="C32">
        <v>2021</v>
      </c>
      <c r="D32" s="1">
        <v>14957.47</v>
      </c>
      <c r="E32" t="str">
        <f>_xlfn.XLOOKUP(B32,tblAssets[AssetID],tblAssets[AssetName],"Unmapped")</f>
        <v>Production Machinery 19</v>
      </c>
      <c r="F32" t="str">
        <f>_xlfn.XLOOKUP(B32,tblAssets[AssetID],tblAssets[Department],"Unmapped")</f>
        <v>HR</v>
      </c>
    </row>
    <row r="33" spans="1:6" x14ac:dyDescent="0.25">
      <c r="A33" t="s">
        <v>5339</v>
      </c>
      <c r="B33" t="s">
        <v>5136</v>
      </c>
      <c r="C33">
        <v>2021</v>
      </c>
      <c r="D33" s="1">
        <v>10530.88</v>
      </c>
      <c r="E33" t="str">
        <f>_xlfn.XLOOKUP(B33,tblAssets[AssetID],tblAssets[AssetName],"Unmapped")</f>
        <v>Computer Equipment 20</v>
      </c>
      <c r="F33" t="str">
        <f>_xlfn.XLOOKUP(B33,tblAssets[AssetID],tblAssets[Department],"Unmapped")</f>
        <v>Finance</v>
      </c>
    </row>
    <row r="34" spans="1:6" x14ac:dyDescent="0.25">
      <c r="A34" t="s">
        <v>5343</v>
      </c>
      <c r="B34" t="s">
        <v>5138</v>
      </c>
      <c r="C34">
        <v>2021</v>
      </c>
      <c r="D34" s="1">
        <v>6435.33</v>
      </c>
      <c r="E34" t="str">
        <f>_xlfn.XLOOKUP(B34,tblAssets[AssetID],tblAssets[AssetName],"Unmapped")</f>
        <v>Computer Equipment 21</v>
      </c>
      <c r="F34" t="str">
        <f>_xlfn.XLOOKUP(B34,tblAssets[AssetID],tblAssets[Department],"Unmapped")</f>
        <v>IT</v>
      </c>
    </row>
    <row r="35" spans="1:6" x14ac:dyDescent="0.25">
      <c r="A35" t="s">
        <v>5354</v>
      </c>
      <c r="B35" t="s">
        <v>5140</v>
      </c>
      <c r="C35">
        <v>2021</v>
      </c>
      <c r="D35" s="1">
        <v>6522.45</v>
      </c>
      <c r="E35" t="str">
        <f>_xlfn.XLOOKUP(B35,tblAssets[AssetID],tblAssets[AssetName],"Unmapped")</f>
        <v>Production Machinery 22</v>
      </c>
      <c r="F35" t="str">
        <f>_xlfn.XLOOKUP(B35,tblAssets[AssetID],tblAssets[Department],"Unmapped")</f>
        <v>Marketing</v>
      </c>
    </row>
    <row r="36" spans="1:6" x14ac:dyDescent="0.25">
      <c r="A36" t="s">
        <v>5363</v>
      </c>
      <c r="B36" t="s">
        <v>5144</v>
      </c>
      <c r="C36">
        <v>2021</v>
      </c>
      <c r="D36" s="1">
        <v>10616.17</v>
      </c>
      <c r="E36" t="str">
        <f>_xlfn.XLOOKUP(B36,tblAssets[AssetID],tblAssets[AssetName],"Unmapped")</f>
        <v>Computer Equipment 24</v>
      </c>
      <c r="F36" t="str">
        <f>_xlfn.XLOOKUP(B36,tblAssets[AssetID],tblAssets[Department],"Unmapped")</f>
        <v>Finance</v>
      </c>
    </row>
    <row r="37" spans="1:6" x14ac:dyDescent="0.25">
      <c r="A37" t="s">
        <v>5386</v>
      </c>
      <c r="B37" t="s">
        <v>5150</v>
      </c>
      <c r="C37">
        <v>2021</v>
      </c>
      <c r="D37" s="1">
        <v>1511.11</v>
      </c>
      <c r="E37" t="str">
        <f>_xlfn.XLOOKUP(B37,tblAssets[AssetID],tblAssets[AssetName],"Unmapped")</f>
        <v>Vehicles 27</v>
      </c>
      <c r="F37" t="str">
        <f>_xlfn.XLOOKUP(B37,tblAssets[AssetID],tblAssets[Department],"Unmapped")</f>
        <v>IT</v>
      </c>
    </row>
    <row r="38" spans="1:6" x14ac:dyDescent="0.25">
      <c r="A38" t="s">
        <v>5391</v>
      </c>
      <c r="B38" t="s">
        <v>5152</v>
      </c>
      <c r="C38">
        <v>2021</v>
      </c>
      <c r="D38" s="1">
        <v>3713.23</v>
      </c>
      <c r="E38" t="str">
        <f>_xlfn.XLOOKUP(B38,tblAssets[AssetID],tblAssets[AssetName],"Unmapped")</f>
        <v>Vehicles 28</v>
      </c>
      <c r="F38" t="str">
        <f>_xlfn.XLOOKUP(B38,tblAssets[AssetID],tblAssets[Department],"Unmapped")</f>
        <v>Finance</v>
      </c>
    </row>
    <row r="39" spans="1:6" x14ac:dyDescent="0.25">
      <c r="A39" t="s">
        <v>5398</v>
      </c>
      <c r="B39" t="s">
        <v>5154</v>
      </c>
      <c r="C39">
        <v>2021</v>
      </c>
      <c r="D39" s="1">
        <v>7398.9</v>
      </c>
      <c r="E39" t="str">
        <f>_xlfn.XLOOKUP(B39,tblAssets[AssetID],tblAssets[AssetName],"Unmapped")</f>
        <v>Office Furniture 29</v>
      </c>
      <c r="F39" t="str">
        <f>_xlfn.XLOOKUP(B39,tblAssets[AssetID],tblAssets[Department],"Unmapped")</f>
        <v>Production</v>
      </c>
    </row>
    <row r="40" spans="1:6" x14ac:dyDescent="0.25">
      <c r="A40" t="s">
        <v>5415</v>
      </c>
      <c r="B40" t="s">
        <v>5158</v>
      </c>
      <c r="C40">
        <v>2021</v>
      </c>
      <c r="D40" s="1">
        <v>10204.549999999999</v>
      </c>
      <c r="E40" t="str">
        <f>_xlfn.XLOOKUP(B40,tblAssets[AssetID],tblAssets[AssetName],"Unmapped")</f>
        <v>Vehicles 31</v>
      </c>
      <c r="F40" t="str">
        <f>_xlfn.XLOOKUP(B40,tblAssets[AssetID],tblAssets[Department],"Unmapped")</f>
        <v>Production</v>
      </c>
    </row>
    <row r="41" spans="1:6" x14ac:dyDescent="0.25">
      <c r="A41" t="s">
        <v>5422</v>
      </c>
      <c r="B41" t="s">
        <v>5160</v>
      </c>
      <c r="C41">
        <v>2021</v>
      </c>
      <c r="D41" s="1">
        <v>6444.51</v>
      </c>
      <c r="E41" t="str">
        <f>_xlfn.XLOOKUP(B41,tblAssets[AssetID],tblAssets[AssetName],"Unmapped")</f>
        <v>Production Machinery 32</v>
      </c>
      <c r="F41" t="str">
        <f>_xlfn.XLOOKUP(B41,tblAssets[AssetID],tblAssets[Department],"Unmapped")</f>
        <v>HR</v>
      </c>
    </row>
    <row r="42" spans="1:6" x14ac:dyDescent="0.25">
      <c r="A42" t="s">
        <v>5452</v>
      </c>
      <c r="B42" t="s">
        <v>5166</v>
      </c>
      <c r="C42">
        <v>2021</v>
      </c>
      <c r="D42" s="1">
        <v>3250.63</v>
      </c>
      <c r="E42" t="str">
        <f>_xlfn.XLOOKUP(B42,tblAssets[AssetID],tblAssets[AssetName],"Unmapped")</f>
        <v>Office Furniture 35</v>
      </c>
      <c r="F42" t="str">
        <f>_xlfn.XLOOKUP(B42,tblAssets[AssetID],tblAssets[Department],"Unmapped")</f>
        <v>Sales</v>
      </c>
    </row>
    <row r="43" spans="1:6" x14ac:dyDescent="0.25">
      <c r="A43" t="s">
        <v>5465</v>
      </c>
      <c r="B43" t="s">
        <v>5170</v>
      </c>
      <c r="C43">
        <v>2021</v>
      </c>
      <c r="D43" s="1">
        <v>5350.76</v>
      </c>
      <c r="E43" t="str">
        <f>_xlfn.XLOOKUP(B43,tblAssets[AssetID],tblAssets[AssetName],"Unmapped")</f>
        <v>Production Machinery 37</v>
      </c>
      <c r="F43" t="str">
        <f>_xlfn.XLOOKUP(B43,tblAssets[AssetID],tblAssets[Department],"Unmapped")</f>
        <v>HR</v>
      </c>
    </row>
    <row r="44" spans="1:6" x14ac:dyDescent="0.25">
      <c r="A44" t="s">
        <v>5473</v>
      </c>
      <c r="B44" t="s">
        <v>5172</v>
      </c>
      <c r="C44">
        <v>2021</v>
      </c>
      <c r="D44" s="1">
        <v>11964.73</v>
      </c>
      <c r="E44" t="str">
        <f>_xlfn.XLOOKUP(B44,tblAssets[AssetID],tblAssets[AssetName],"Unmapped")</f>
        <v>Vehicles 38</v>
      </c>
      <c r="F44" t="str">
        <f>_xlfn.XLOOKUP(B44,tblAssets[AssetID],tblAssets[Department],"Unmapped")</f>
        <v>HR</v>
      </c>
    </row>
    <row r="45" spans="1:6" x14ac:dyDescent="0.25">
      <c r="A45" t="s">
        <v>5477</v>
      </c>
      <c r="B45" t="s">
        <v>5174</v>
      </c>
      <c r="C45">
        <v>2021</v>
      </c>
      <c r="D45" s="1">
        <v>5773.33</v>
      </c>
      <c r="E45" t="str">
        <f>_xlfn.XLOOKUP(B45,tblAssets[AssetID],tblAssets[AssetName],"Unmapped")</f>
        <v>Production Machinery 39</v>
      </c>
      <c r="F45" t="str">
        <f>_xlfn.XLOOKUP(B45,tblAssets[AssetID],tblAssets[Department],"Unmapped")</f>
        <v>Sales</v>
      </c>
    </row>
    <row r="46" spans="1:6" x14ac:dyDescent="0.25">
      <c r="A46" t="s">
        <v>5511</v>
      </c>
      <c r="B46" t="s">
        <v>5182</v>
      </c>
      <c r="C46">
        <v>2021</v>
      </c>
      <c r="D46" s="1">
        <v>4856.75</v>
      </c>
      <c r="E46" t="str">
        <f>_xlfn.XLOOKUP(B46,tblAssets[AssetID],tblAssets[AssetName],"Unmapped")</f>
        <v>Computer Equipment 43</v>
      </c>
      <c r="F46" t="str">
        <f>_xlfn.XLOOKUP(B46,tblAssets[AssetID],tblAssets[Department],"Unmapped")</f>
        <v>Marketing</v>
      </c>
    </row>
    <row r="47" spans="1:6" x14ac:dyDescent="0.25">
      <c r="A47" t="s">
        <v>5522</v>
      </c>
      <c r="B47" t="s">
        <v>5184</v>
      </c>
      <c r="C47">
        <v>2021</v>
      </c>
      <c r="D47" s="1">
        <v>5356.79</v>
      </c>
      <c r="E47" t="str">
        <f>_xlfn.XLOOKUP(B47,tblAssets[AssetID],tblAssets[AssetName],"Unmapped")</f>
        <v>Vehicles 44</v>
      </c>
      <c r="F47" t="str">
        <f>_xlfn.XLOOKUP(B47,tblAssets[AssetID],tblAssets[Department],"Unmapped")</f>
        <v>IT</v>
      </c>
    </row>
    <row r="48" spans="1:6" x14ac:dyDescent="0.25">
      <c r="A48" t="s">
        <v>5539</v>
      </c>
      <c r="B48" t="s">
        <v>5188</v>
      </c>
      <c r="C48">
        <v>2021</v>
      </c>
      <c r="D48" s="1">
        <v>9026.6</v>
      </c>
      <c r="E48" t="str">
        <f>_xlfn.XLOOKUP(B48,tblAssets[AssetID],tblAssets[AssetName],"Unmapped")</f>
        <v>Production Machinery 46</v>
      </c>
      <c r="F48" t="str">
        <f>_xlfn.XLOOKUP(B48,tblAssets[AssetID],tblAssets[Department],"Unmapped")</f>
        <v>IT</v>
      </c>
    </row>
    <row r="49" spans="1:6" x14ac:dyDescent="0.25">
      <c r="A49" t="s">
        <v>5554</v>
      </c>
      <c r="B49" t="s">
        <v>5192</v>
      </c>
      <c r="C49">
        <v>2021</v>
      </c>
      <c r="D49" s="1">
        <v>6219.94</v>
      </c>
      <c r="E49" t="str">
        <f>_xlfn.XLOOKUP(B49,tblAssets[AssetID],tblAssets[AssetName],"Unmapped")</f>
        <v>Vehicles 48</v>
      </c>
      <c r="F49" t="str">
        <f>_xlfn.XLOOKUP(B49,tblAssets[AssetID],tblAssets[Department],"Unmapped")</f>
        <v>Sales</v>
      </c>
    </row>
    <row r="50" spans="1:6" x14ac:dyDescent="0.25">
      <c r="A50" t="s">
        <v>5569</v>
      </c>
      <c r="B50" t="s">
        <v>5196</v>
      </c>
      <c r="C50">
        <v>2021</v>
      </c>
      <c r="D50" s="1">
        <v>1038.93</v>
      </c>
      <c r="E50" t="str">
        <f>_xlfn.XLOOKUP(B50,tblAssets[AssetID],tblAssets[AssetName],"Unmapped")</f>
        <v>Computer Equipment 50</v>
      </c>
      <c r="F50" t="str">
        <f>_xlfn.XLOOKUP(B50,tblAssets[AssetID],tblAssets[Department],"Unmapped")</f>
        <v>Marketing</v>
      </c>
    </row>
    <row r="51" spans="1:6" x14ac:dyDescent="0.25">
      <c r="A51" t="s">
        <v>5203</v>
      </c>
      <c r="B51" t="s">
        <v>5098</v>
      </c>
      <c r="C51">
        <v>2022</v>
      </c>
      <c r="D51" s="1">
        <v>9416.24</v>
      </c>
      <c r="E51" t="str">
        <f>_xlfn.XLOOKUP(B51,tblAssets[AssetID],tblAssets[AssetName],"Unmapped")</f>
        <v>Office Furniture 1</v>
      </c>
      <c r="F51" t="str">
        <f>_xlfn.XLOOKUP(B51,tblAssets[AssetID],tblAssets[Department],"Unmapped")</f>
        <v>Marketing</v>
      </c>
    </row>
    <row r="52" spans="1:6" x14ac:dyDescent="0.25">
      <c r="A52" t="s">
        <v>5209</v>
      </c>
      <c r="B52" t="s">
        <v>5100</v>
      </c>
      <c r="C52">
        <v>2022</v>
      </c>
      <c r="D52" s="1">
        <v>4066.3</v>
      </c>
      <c r="E52" t="str">
        <f>_xlfn.XLOOKUP(B52,tblAssets[AssetID],tblAssets[AssetName],"Unmapped")</f>
        <v>Computer Equipment 2</v>
      </c>
      <c r="F52" t="str">
        <f>_xlfn.XLOOKUP(B52,tblAssets[AssetID],tblAssets[Department],"Unmapped")</f>
        <v>HR</v>
      </c>
    </row>
    <row r="53" spans="1:6" x14ac:dyDescent="0.25">
      <c r="A53" t="s">
        <v>5215</v>
      </c>
      <c r="B53" t="s">
        <v>5102</v>
      </c>
      <c r="C53">
        <v>2022</v>
      </c>
      <c r="D53" s="1">
        <v>7936.54</v>
      </c>
      <c r="E53" t="str">
        <f>_xlfn.XLOOKUP(B53,tblAssets[AssetID],tblAssets[AssetName],"Unmapped")</f>
        <v>Computer Equipment 3</v>
      </c>
      <c r="F53" t="str">
        <f>_xlfn.XLOOKUP(B53,tblAssets[AssetID],tblAssets[Department],"Unmapped")</f>
        <v>IT</v>
      </c>
    </row>
    <row r="54" spans="1:6" x14ac:dyDescent="0.25">
      <c r="A54" t="s">
        <v>5220</v>
      </c>
      <c r="B54" t="s">
        <v>5104</v>
      </c>
      <c r="C54">
        <v>2022</v>
      </c>
      <c r="D54" s="1">
        <v>1861.96</v>
      </c>
      <c r="E54" t="str">
        <f>_xlfn.XLOOKUP(B54,tblAssets[AssetID],tblAssets[AssetName],"Unmapped")</f>
        <v>Vehicles 4</v>
      </c>
      <c r="F54" t="str">
        <f>_xlfn.XLOOKUP(B54,tblAssets[AssetID],tblAssets[Department],"Unmapped")</f>
        <v>Production</v>
      </c>
    </row>
    <row r="55" spans="1:6" x14ac:dyDescent="0.25">
      <c r="A55" t="s">
        <v>5228</v>
      </c>
      <c r="B55" t="s">
        <v>5106</v>
      </c>
      <c r="C55">
        <v>2022</v>
      </c>
      <c r="D55" s="1">
        <v>11123.94</v>
      </c>
      <c r="E55" t="str">
        <f>_xlfn.XLOOKUP(B55,tblAssets[AssetID],tblAssets[AssetName],"Unmapped")</f>
        <v>Computer Equipment 5</v>
      </c>
      <c r="F55" t="str">
        <f>_xlfn.XLOOKUP(B55,tblAssets[AssetID],tblAssets[Department],"Unmapped")</f>
        <v>Sales</v>
      </c>
    </row>
    <row r="56" spans="1:6" x14ac:dyDescent="0.25">
      <c r="A56" t="s">
        <v>5233</v>
      </c>
      <c r="B56" t="s">
        <v>5108</v>
      </c>
      <c r="C56">
        <v>2022</v>
      </c>
      <c r="D56" s="1">
        <v>14419.26</v>
      </c>
      <c r="E56" t="str">
        <f>_xlfn.XLOOKUP(B56,tblAssets[AssetID],tblAssets[AssetName],"Unmapped")</f>
        <v>Computer Equipment 6</v>
      </c>
      <c r="F56" t="str">
        <f>_xlfn.XLOOKUP(B56,tblAssets[AssetID],tblAssets[Department],"Unmapped")</f>
        <v>Sales</v>
      </c>
    </row>
    <row r="57" spans="1:6" x14ac:dyDescent="0.25">
      <c r="A57" t="s">
        <v>5238</v>
      </c>
      <c r="B57" t="s">
        <v>5110</v>
      </c>
      <c r="C57">
        <v>2022</v>
      </c>
      <c r="D57" s="1">
        <v>7198.51</v>
      </c>
      <c r="E57" t="str">
        <f>_xlfn.XLOOKUP(B57,tblAssets[AssetID],tblAssets[AssetName],"Unmapped")</f>
        <v>Vehicles 7</v>
      </c>
      <c r="F57" t="str">
        <f>_xlfn.XLOOKUP(B57,tblAssets[AssetID],tblAssets[Department],"Unmapped")</f>
        <v>HR</v>
      </c>
    </row>
    <row r="58" spans="1:6" x14ac:dyDescent="0.25">
      <c r="A58" t="s">
        <v>5247</v>
      </c>
      <c r="B58" t="s">
        <v>5112</v>
      </c>
      <c r="C58">
        <v>2022</v>
      </c>
      <c r="D58" s="1">
        <v>1798.04</v>
      </c>
      <c r="E58" t="str">
        <f>_xlfn.XLOOKUP(B58,tblAssets[AssetID],tblAssets[AssetName],"Unmapped")</f>
        <v>Production Machinery 8</v>
      </c>
      <c r="F58" t="str">
        <f>_xlfn.XLOOKUP(B58,tblAssets[AssetID],tblAssets[Department],"Unmapped")</f>
        <v>Sales</v>
      </c>
    </row>
    <row r="59" spans="1:6" x14ac:dyDescent="0.25">
      <c r="A59" t="s">
        <v>5252</v>
      </c>
      <c r="B59" t="s">
        <v>5114</v>
      </c>
      <c r="C59">
        <v>2022</v>
      </c>
      <c r="D59" s="1">
        <v>7632</v>
      </c>
      <c r="E59" t="str">
        <f>_xlfn.XLOOKUP(B59,tblAssets[AssetID],tblAssets[AssetName],"Unmapped")</f>
        <v>Vehicles 9</v>
      </c>
      <c r="F59" t="str">
        <f>_xlfn.XLOOKUP(B59,tblAssets[AssetID],tblAssets[Department],"Unmapped")</f>
        <v>Marketing</v>
      </c>
    </row>
    <row r="60" spans="1:6" x14ac:dyDescent="0.25">
      <c r="A60" t="s">
        <v>5260</v>
      </c>
      <c r="B60" t="s">
        <v>5116</v>
      </c>
      <c r="C60">
        <v>2022</v>
      </c>
      <c r="D60" s="1">
        <v>2489.52</v>
      </c>
      <c r="E60" t="str">
        <f>_xlfn.XLOOKUP(B60,tblAssets[AssetID],tblAssets[AssetName],"Unmapped")</f>
        <v>Vehicles 10</v>
      </c>
      <c r="F60" t="str">
        <f>_xlfn.XLOOKUP(B60,tblAssets[AssetID],tblAssets[Department],"Unmapped")</f>
        <v>Production</v>
      </c>
    </row>
    <row r="61" spans="1:6" x14ac:dyDescent="0.25">
      <c r="A61" t="s">
        <v>5268</v>
      </c>
      <c r="B61" t="s">
        <v>5118</v>
      </c>
      <c r="C61">
        <v>2022</v>
      </c>
      <c r="D61" s="1">
        <v>4983.3900000000003</v>
      </c>
      <c r="E61" t="str">
        <f>_xlfn.XLOOKUP(B61,tblAssets[AssetID],tblAssets[AssetName],"Unmapped")</f>
        <v>Office Furniture 11</v>
      </c>
      <c r="F61" t="str">
        <f>_xlfn.XLOOKUP(B61,tblAssets[AssetID],tblAssets[Department],"Unmapped")</f>
        <v>Marketing</v>
      </c>
    </row>
    <row r="62" spans="1:6" x14ac:dyDescent="0.25">
      <c r="A62" t="s">
        <v>5272</v>
      </c>
      <c r="B62" t="s">
        <v>5120</v>
      </c>
      <c r="C62">
        <v>2022</v>
      </c>
      <c r="D62" s="1">
        <v>3498.99</v>
      </c>
      <c r="E62" t="str">
        <f>_xlfn.XLOOKUP(B62,tblAssets[AssetID],tblAssets[AssetName],"Unmapped")</f>
        <v>Computer Equipment 12</v>
      </c>
      <c r="F62" t="str">
        <f>_xlfn.XLOOKUP(B62,tblAssets[AssetID],tblAssets[Department],"Unmapped")</f>
        <v>Sales</v>
      </c>
    </row>
    <row r="63" spans="1:6" x14ac:dyDescent="0.25">
      <c r="A63" t="s">
        <v>5283</v>
      </c>
      <c r="B63" t="s">
        <v>5122</v>
      </c>
      <c r="C63">
        <v>2022</v>
      </c>
      <c r="D63" s="1">
        <v>5087.33</v>
      </c>
      <c r="E63" t="str">
        <f>_xlfn.XLOOKUP(B63,tblAssets[AssetID],tblAssets[AssetName],"Unmapped")</f>
        <v>Computer Equipment 13</v>
      </c>
      <c r="F63" t="str">
        <f>_xlfn.XLOOKUP(B63,tblAssets[AssetID],tblAssets[Department],"Unmapped")</f>
        <v>Production</v>
      </c>
    </row>
    <row r="64" spans="1:6" x14ac:dyDescent="0.25">
      <c r="A64" t="s">
        <v>5289</v>
      </c>
      <c r="B64" t="s">
        <v>5124</v>
      </c>
      <c r="C64">
        <v>2022</v>
      </c>
      <c r="D64" s="1">
        <v>13509.01</v>
      </c>
      <c r="E64" t="str">
        <f>_xlfn.XLOOKUP(B64,tblAssets[AssetID],tblAssets[AssetName],"Unmapped")</f>
        <v>Production Machinery 14</v>
      </c>
      <c r="F64" t="str">
        <f>_xlfn.XLOOKUP(B64,tblAssets[AssetID],tblAssets[Department],"Unmapped")</f>
        <v>Marketing</v>
      </c>
    </row>
    <row r="65" spans="1:6" x14ac:dyDescent="0.25">
      <c r="A65" t="s">
        <v>5293</v>
      </c>
      <c r="B65" t="s">
        <v>5126</v>
      </c>
      <c r="C65">
        <v>2022</v>
      </c>
      <c r="D65" s="1">
        <v>1841.23</v>
      </c>
      <c r="E65" t="str">
        <f>_xlfn.XLOOKUP(B65,tblAssets[AssetID],tblAssets[AssetName],"Unmapped")</f>
        <v>Computer Equipment 15</v>
      </c>
      <c r="F65" t="str">
        <f>_xlfn.XLOOKUP(B65,tblAssets[AssetID],tblAssets[Department],"Unmapped")</f>
        <v>Finance</v>
      </c>
    </row>
    <row r="66" spans="1:6" x14ac:dyDescent="0.25">
      <c r="A66" t="s">
        <v>5305</v>
      </c>
      <c r="B66" t="s">
        <v>5128</v>
      </c>
      <c r="C66">
        <v>2022</v>
      </c>
      <c r="D66" s="1">
        <v>1273.0899999999999</v>
      </c>
      <c r="E66" t="str">
        <f>_xlfn.XLOOKUP(B66,tblAssets[AssetID],tblAssets[AssetName],"Unmapped")</f>
        <v>Office Furniture 16</v>
      </c>
      <c r="F66" t="str">
        <f>_xlfn.XLOOKUP(B66,tblAssets[AssetID],tblAssets[Department],"Unmapped")</f>
        <v>HR</v>
      </c>
    </row>
    <row r="67" spans="1:6" x14ac:dyDescent="0.25">
      <c r="A67" t="s">
        <v>5313</v>
      </c>
      <c r="B67" t="s">
        <v>5130</v>
      </c>
      <c r="C67">
        <v>2022</v>
      </c>
      <c r="D67" s="1">
        <v>6346.8</v>
      </c>
      <c r="E67" t="str">
        <f>_xlfn.XLOOKUP(B67,tblAssets[AssetID],tblAssets[AssetName],"Unmapped")</f>
        <v>Office Furniture 17</v>
      </c>
      <c r="F67" t="str">
        <f>_xlfn.XLOOKUP(B67,tblAssets[AssetID],tblAssets[Department],"Unmapped")</f>
        <v>IT</v>
      </c>
    </row>
    <row r="68" spans="1:6" x14ac:dyDescent="0.25">
      <c r="A68" t="s">
        <v>5325</v>
      </c>
      <c r="B68" t="s">
        <v>5132</v>
      </c>
      <c r="C68">
        <v>2022</v>
      </c>
      <c r="D68" s="1">
        <v>6355.56</v>
      </c>
      <c r="E68" t="str">
        <f>_xlfn.XLOOKUP(B68,tblAssets[AssetID],tblAssets[AssetName],"Unmapped")</f>
        <v>Office Furniture 18</v>
      </c>
      <c r="F68" t="str">
        <f>_xlfn.XLOOKUP(B68,tblAssets[AssetID],tblAssets[Department],"Unmapped")</f>
        <v>Production</v>
      </c>
    </row>
    <row r="69" spans="1:6" x14ac:dyDescent="0.25">
      <c r="A69" t="s">
        <v>5334</v>
      </c>
      <c r="B69" t="s">
        <v>5134</v>
      </c>
      <c r="C69">
        <v>2022</v>
      </c>
      <c r="D69" s="1">
        <v>14957.47</v>
      </c>
      <c r="E69" t="str">
        <f>_xlfn.XLOOKUP(B69,tblAssets[AssetID],tblAssets[AssetName],"Unmapped")</f>
        <v>Production Machinery 19</v>
      </c>
      <c r="F69" t="str">
        <f>_xlfn.XLOOKUP(B69,tblAssets[AssetID],tblAssets[Department],"Unmapped")</f>
        <v>HR</v>
      </c>
    </row>
    <row r="70" spans="1:6" x14ac:dyDescent="0.25">
      <c r="A70" t="s">
        <v>5340</v>
      </c>
      <c r="B70" t="s">
        <v>5136</v>
      </c>
      <c r="C70">
        <v>2022</v>
      </c>
      <c r="D70" s="1">
        <v>10530.88</v>
      </c>
      <c r="E70" t="str">
        <f>_xlfn.XLOOKUP(B70,tblAssets[AssetID],tblAssets[AssetName],"Unmapped")</f>
        <v>Computer Equipment 20</v>
      </c>
      <c r="F70" t="str">
        <f>_xlfn.XLOOKUP(B70,tblAssets[AssetID],tblAssets[Department],"Unmapped")</f>
        <v>Finance</v>
      </c>
    </row>
    <row r="71" spans="1:6" x14ac:dyDescent="0.25">
      <c r="A71" t="s">
        <v>5344</v>
      </c>
      <c r="B71" t="s">
        <v>5138</v>
      </c>
      <c r="C71">
        <v>2022</v>
      </c>
      <c r="D71" s="1">
        <v>6435.33</v>
      </c>
      <c r="E71" t="str">
        <f>_xlfn.XLOOKUP(B71,tblAssets[AssetID],tblAssets[AssetName],"Unmapped")</f>
        <v>Computer Equipment 21</v>
      </c>
      <c r="F71" t="str">
        <f>_xlfn.XLOOKUP(B71,tblAssets[AssetID],tblAssets[Department],"Unmapped")</f>
        <v>IT</v>
      </c>
    </row>
    <row r="72" spans="1:6" x14ac:dyDescent="0.25">
      <c r="A72" t="s">
        <v>5355</v>
      </c>
      <c r="B72" t="s">
        <v>5140</v>
      </c>
      <c r="C72">
        <v>2022</v>
      </c>
      <c r="D72" s="1">
        <v>6522.45</v>
      </c>
      <c r="E72" t="str">
        <f>_xlfn.XLOOKUP(B72,tblAssets[AssetID],tblAssets[AssetName],"Unmapped")</f>
        <v>Production Machinery 22</v>
      </c>
      <c r="F72" t="str">
        <f>_xlfn.XLOOKUP(B72,tblAssets[AssetID],tblAssets[Department],"Unmapped")</f>
        <v>Marketing</v>
      </c>
    </row>
    <row r="73" spans="1:6" x14ac:dyDescent="0.25">
      <c r="A73" t="s">
        <v>5358</v>
      </c>
      <c r="B73" t="s">
        <v>5142</v>
      </c>
      <c r="C73">
        <v>2022</v>
      </c>
      <c r="D73" s="1">
        <v>6882.27</v>
      </c>
      <c r="E73" t="str">
        <f>_xlfn.XLOOKUP(B73,tblAssets[AssetID],tblAssets[AssetName],"Unmapped")</f>
        <v>Computer Equipment 23</v>
      </c>
      <c r="F73" t="str">
        <f>_xlfn.XLOOKUP(B73,tblAssets[AssetID],tblAssets[Department],"Unmapped")</f>
        <v>Production</v>
      </c>
    </row>
    <row r="74" spans="1:6" x14ac:dyDescent="0.25">
      <c r="A74" t="s">
        <v>5364</v>
      </c>
      <c r="B74" t="s">
        <v>5144</v>
      </c>
      <c r="C74">
        <v>2022</v>
      </c>
      <c r="D74" s="1">
        <v>10616.17</v>
      </c>
      <c r="E74" t="str">
        <f>_xlfn.XLOOKUP(B74,tblAssets[AssetID],tblAssets[AssetName],"Unmapped")</f>
        <v>Computer Equipment 24</v>
      </c>
      <c r="F74" t="str">
        <f>_xlfn.XLOOKUP(B74,tblAssets[AssetID],tblAssets[Department],"Unmapped")</f>
        <v>Finance</v>
      </c>
    </row>
    <row r="75" spans="1:6" x14ac:dyDescent="0.25">
      <c r="A75" t="s">
        <v>5368</v>
      </c>
      <c r="B75" t="s">
        <v>5146</v>
      </c>
      <c r="C75">
        <v>2022</v>
      </c>
      <c r="D75" s="1">
        <v>5388.28</v>
      </c>
      <c r="E75" t="str">
        <f>_xlfn.XLOOKUP(B75,tblAssets[AssetID],tblAssets[AssetName],"Unmapped")</f>
        <v>Vehicles 25</v>
      </c>
      <c r="F75" t="str">
        <f>_xlfn.XLOOKUP(B75,tblAssets[AssetID],tblAssets[Department],"Unmapped")</f>
        <v>Production</v>
      </c>
    </row>
    <row r="76" spans="1:6" x14ac:dyDescent="0.25">
      <c r="A76" t="s">
        <v>5378</v>
      </c>
      <c r="B76" t="s">
        <v>5148</v>
      </c>
      <c r="C76">
        <v>2022</v>
      </c>
      <c r="D76" s="1">
        <v>5348.91</v>
      </c>
      <c r="E76" t="str">
        <f>_xlfn.XLOOKUP(B76,tblAssets[AssetID],tblAssets[AssetName],"Unmapped")</f>
        <v>Vehicles 26</v>
      </c>
      <c r="F76" t="str">
        <f>_xlfn.XLOOKUP(B76,tblAssets[AssetID],tblAssets[Department],"Unmapped")</f>
        <v>Production</v>
      </c>
    </row>
    <row r="77" spans="1:6" x14ac:dyDescent="0.25">
      <c r="A77" t="s">
        <v>5387</v>
      </c>
      <c r="B77" t="s">
        <v>5150</v>
      </c>
      <c r="C77">
        <v>2022</v>
      </c>
      <c r="D77" s="1">
        <v>1511.11</v>
      </c>
      <c r="E77" t="str">
        <f>_xlfn.XLOOKUP(B77,tblAssets[AssetID],tblAssets[AssetName],"Unmapped")</f>
        <v>Vehicles 27</v>
      </c>
      <c r="F77" t="str">
        <f>_xlfn.XLOOKUP(B77,tblAssets[AssetID],tblAssets[Department],"Unmapped")</f>
        <v>IT</v>
      </c>
    </row>
    <row r="78" spans="1:6" x14ac:dyDescent="0.25">
      <c r="A78" t="s">
        <v>5392</v>
      </c>
      <c r="B78" t="s">
        <v>5152</v>
      </c>
      <c r="C78">
        <v>2022</v>
      </c>
      <c r="D78" s="1">
        <v>3713.23</v>
      </c>
      <c r="E78" t="str">
        <f>_xlfn.XLOOKUP(B78,tblAssets[AssetID],tblAssets[AssetName],"Unmapped")</f>
        <v>Vehicles 28</v>
      </c>
      <c r="F78" t="str">
        <f>_xlfn.XLOOKUP(B78,tblAssets[AssetID],tblAssets[Department],"Unmapped")</f>
        <v>Finance</v>
      </c>
    </row>
    <row r="79" spans="1:6" x14ac:dyDescent="0.25">
      <c r="A79" t="s">
        <v>5399</v>
      </c>
      <c r="B79" t="s">
        <v>5154</v>
      </c>
      <c r="C79">
        <v>2022</v>
      </c>
      <c r="D79" s="1">
        <v>7398.9</v>
      </c>
      <c r="E79" t="str">
        <f>_xlfn.XLOOKUP(B79,tblAssets[AssetID],tblAssets[AssetName],"Unmapped")</f>
        <v>Office Furniture 29</v>
      </c>
      <c r="F79" t="str">
        <f>_xlfn.XLOOKUP(B79,tblAssets[AssetID],tblAssets[Department],"Unmapped")</f>
        <v>Production</v>
      </c>
    </row>
    <row r="80" spans="1:6" x14ac:dyDescent="0.25">
      <c r="A80" t="s">
        <v>5407</v>
      </c>
      <c r="B80" t="s">
        <v>5156</v>
      </c>
      <c r="C80">
        <v>2022</v>
      </c>
      <c r="D80" s="1">
        <v>8388.6</v>
      </c>
      <c r="E80" t="str">
        <f>_xlfn.XLOOKUP(B80,tblAssets[AssetID],tblAssets[AssetName],"Unmapped")</f>
        <v>Production Machinery 30</v>
      </c>
      <c r="F80" t="str">
        <f>_xlfn.XLOOKUP(B80,tblAssets[AssetID],tblAssets[Department],"Unmapped")</f>
        <v>Finance</v>
      </c>
    </row>
    <row r="81" spans="1:6" x14ac:dyDescent="0.25">
      <c r="A81" t="s">
        <v>5416</v>
      </c>
      <c r="B81" t="s">
        <v>5158</v>
      </c>
      <c r="C81">
        <v>2022</v>
      </c>
      <c r="D81" s="1">
        <v>10204.549999999999</v>
      </c>
      <c r="E81" t="str">
        <f>_xlfn.XLOOKUP(B81,tblAssets[AssetID],tblAssets[AssetName],"Unmapped")</f>
        <v>Vehicles 31</v>
      </c>
      <c r="F81" t="str">
        <f>_xlfn.XLOOKUP(B81,tblAssets[AssetID],tblAssets[Department],"Unmapped")</f>
        <v>Production</v>
      </c>
    </row>
    <row r="82" spans="1:6" x14ac:dyDescent="0.25">
      <c r="A82" t="s">
        <v>5423</v>
      </c>
      <c r="B82" t="s">
        <v>5160</v>
      </c>
      <c r="C82">
        <v>2022</v>
      </c>
      <c r="D82" s="1">
        <v>6444.51</v>
      </c>
      <c r="E82" t="str">
        <f>_xlfn.XLOOKUP(B82,tblAssets[AssetID],tblAssets[AssetName],"Unmapped")</f>
        <v>Production Machinery 32</v>
      </c>
      <c r="F82" t="str">
        <f>_xlfn.XLOOKUP(B82,tblAssets[AssetID],tblAssets[Department],"Unmapped")</f>
        <v>HR</v>
      </c>
    </row>
    <row r="83" spans="1:6" x14ac:dyDescent="0.25">
      <c r="A83" t="s">
        <v>5431</v>
      </c>
      <c r="B83" t="s">
        <v>5162</v>
      </c>
      <c r="C83">
        <v>2022</v>
      </c>
      <c r="D83" s="1">
        <v>2984.72</v>
      </c>
      <c r="E83" t="str">
        <f>_xlfn.XLOOKUP(B83,tblAssets[AssetID],tblAssets[AssetName],"Unmapped")</f>
        <v>Production Machinery 33</v>
      </c>
      <c r="F83" t="str">
        <f>_xlfn.XLOOKUP(B83,tblAssets[AssetID],tblAssets[Department],"Unmapped")</f>
        <v>IT</v>
      </c>
    </row>
    <row r="84" spans="1:6" x14ac:dyDescent="0.25">
      <c r="A84" t="s">
        <v>5441</v>
      </c>
      <c r="B84" t="s">
        <v>5164</v>
      </c>
      <c r="C84">
        <v>2022</v>
      </c>
      <c r="D84" s="1">
        <v>7296.53</v>
      </c>
      <c r="E84" t="str">
        <f>_xlfn.XLOOKUP(B84,tblAssets[AssetID],tblAssets[AssetName],"Unmapped")</f>
        <v>Production Machinery 34</v>
      </c>
      <c r="F84" t="str">
        <f>_xlfn.XLOOKUP(B84,tblAssets[AssetID],tblAssets[Department],"Unmapped")</f>
        <v>Finance</v>
      </c>
    </row>
    <row r="85" spans="1:6" x14ac:dyDescent="0.25">
      <c r="A85" t="s">
        <v>5453</v>
      </c>
      <c r="B85" t="s">
        <v>5166</v>
      </c>
      <c r="C85">
        <v>2022</v>
      </c>
      <c r="D85" s="1">
        <v>3250.63</v>
      </c>
      <c r="E85" t="str">
        <f>_xlfn.XLOOKUP(B85,tblAssets[AssetID],tblAssets[AssetName],"Unmapped")</f>
        <v>Office Furniture 35</v>
      </c>
      <c r="F85" t="str">
        <f>_xlfn.XLOOKUP(B85,tblAssets[AssetID],tblAssets[Department],"Unmapped")</f>
        <v>Sales</v>
      </c>
    </row>
    <row r="86" spans="1:6" x14ac:dyDescent="0.25">
      <c r="A86" t="s">
        <v>5458</v>
      </c>
      <c r="B86" t="s">
        <v>5168</v>
      </c>
      <c r="C86">
        <v>2022</v>
      </c>
      <c r="D86" s="1">
        <v>9677.7900000000009</v>
      </c>
      <c r="E86" t="str">
        <f>_xlfn.XLOOKUP(B86,tblAssets[AssetID],tblAssets[AssetName],"Unmapped")</f>
        <v>Computer Equipment 36</v>
      </c>
      <c r="F86" t="str">
        <f>_xlfn.XLOOKUP(B86,tblAssets[AssetID],tblAssets[Department],"Unmapped")</f>
        <v>IT</v>
      </c>
    </row>
    <row r="87" spans="1:6" x14ac:dyDescent="0.25">
      <c r="A87" t="s">
        <v>5466</v>
      </c>
      <c r="B87" t="s">
        <v>5170</v>
      </c>
      <c r="C87">
        <v>2022</v>
      </c>
      <c r="D87" s="1">
        <v>5350.76</v>
      </c>
      <c r="E87" t="str">
        <f>_xlfn.XLOOKUP(B87,tblAssets[AssetID],tblAssets[AssetName],"Unmapped")</f>
        <v>Production Machinery 37</v>
      </c>
      <c r="F87" t="str">
        <f>_xlfn.XLOOKUP(B87,tblAssets[AssetID],tblAssets[Department],"Unmapped")</f>
        <v>HR</v>
      </c>
    </row>
    <row r="88" spans="1:6" x14ac:dyDescent="0.25">
      <c r="A88" t="s">
        <v>5474</v>
      </c>
      <c r="B88" t="s">
        <v>5172</v>
      </c>
      <c r="C88">
        <v>2022</v>
      </c>
      <c r="D88" s="1">
        <v>11964.73</v>
      </c>
      <c r="E88" t="str">
        <f>_xlfn.XLOOKUP(B88,tblAssets[AssetID],tblAssets[AssetName],"Unmapped")</f>
        <v>Vehicles 38</v>
      </c>
      <c r="F88" t="str">
        <f>_xlfn.XLOOKUP(B88,tblAssets[AssetID],tblAssets[Department],"Unmapped")</f>
        <v>HR</v>
      </c>
    </row>
    <row r="89" spans="1:6" x14ac:dyDescent="0.25">
      <c r="A89" t="s">
        <v>5478</v>
      </c>
      <c r="B89" t="s">
        <v>5174</v>
      </c>
      <c r="C89">
        <v>2022</v>
      </c>
      <c r="D89" s="1">
        <v>5773.33</v>
      </c>
      <c r="E89" t="str">
        <f>_xlfn.XLOOKUP(B89,tblAssets[AssetID],tblAssets[AssetName],"Unmapped")</f>
        <v>Production Machinery 39</v>
      </c>
      <c r="F89" t="str">
        <f>_xlfn.XLOOKUP(B89,tblAssets[AssetID],tblAssets[Department],"Unmapped")</f>
        <v>Sales</v>
      </c>
    </row>
    <row r="90" spans="1:6" x14ac:dyDescent="0.25">
      <c r="A90" t="s">
        <v>5484</v>
      </c>
      <c r="B90" t="s">
        <v>5176</v>
      </c>
      <c r="C90">
        <v>2022</v>
      </c>
      <c r="D90" s="1">
        <v>2617.8000000000002</v>
      </c>
      <c r="E90" t="str">
        <f>_xlfn.XLOOKUP(B90,tblAssets[AssetID],tblAssets[AssetName],"Unmapped")</f>
        <v>Computer Equipment 40</v>
      </c>
      <c r="F90" t="str">
        <f>_xlfn.XLOOKUP(B90,tblAssets[AssetID],tblAssets[Department],"Unmapped")</f>
        <v>Production</v>
      </c>
    </row>
    <row r="91" spans="1:6" x14ac:dyDescent="0.25">
      <c r="A91" t="s">
        <v>5491</v>
      </c>
      <c r="B91" t="s">
        <v>5178</v>
      </c>
      <c r="C91">
        <v>2022</v>
      </c>
      <c r="D91" s="1">
        <v>4170.88</v>
      </c>
      <c r="E91" t="str">
        <f>_xlfn.XLOOKUP(B91,tblAssets[AssetID],tblAssets[AssetName],"Unmapped")</f>
        <v>Vehicles 41</v>
      </c>
      <c r="F91" t="str">
        <f>_xlfn.XLOOKUP(B91,tblAssets[AssetID],tblAssets[Department],"Unmapped")</f>
        <v>HR</v>
      </c>
    </row>
    <row r="92" spans="1:6" x14ac:dyDescent="0.25">
      <c r="A92" t="s">
        <v>5501</v>
      </c>
      <c r="B92" t="s">
        <v>5180</v>
      </c>
      <c r="C92">
        <v>2022</v>
      </c>
      <c r="D92" s="1">
        <v>874.44</v>
      </c>
      <c r="E92" t="str">
        <f>_xlfn.XLOOKUP(B92,tblAssets[AssetID],tblAssets[AssetName],"Unmapped")</f>
        <v>Vehicles 42</v>
      </c>
      <c r="F92" t="str">
        <f>_xlfn.XLOOKUP(B92,tblAssets[AssetID],tblAssets[Department],"Unmapped")</f>
        <v>IT</v>
      </c>
    </row>
    <row r="93" spans="1:6" x14ac:dyDescent="0.25">
      <c r="A93" t="s">
        <v>5512</v>
      </c>
      <c r="B93" t="s">
        <v>5182</v>
      </c>
      <c r="C93">
        <v>2022</v>
      </c>
      <c r="D93" s="1">
        <v>4856.75</v>
      </c>
      <c r="E93" t="str">
        <f>_xlfn.XLOOKUP(B93,tblAssets[AssetID],tblAssets[AssetName],"Unmapped")</f>
        <v>Computer Equipment 43</v>
      </c>
      <c r="F93" t="str">
        <f>_xlfn.XLOOKUP(B93,tblAssets[AssetID],tblAssets[Department],"Unmapped")</f>
        <v>Marketing</v>
      </c>
    </row>
    <row r="94" spans="1:6" x14ac:dyDescent="0.25">
      <c r="A94" t="s">
        <v>5523</v>
      </c>
      <c r="B94" t="s">
        <v>5184</v>
      </c>
      <c r="C94">
        <v>2022</v>
      </c>
      <c r="D94" s="1">
        <v>5356.79</v>
      </c>
      <c r="E94" t="str">
        <f>_xlfn.XLOOKUP(B94,tblAssets[AssetID],tblAssets[AssetName],"Unmapped")</f>
        <v>Vehicles 44</v>
      </c>
      <c r="F94" t="str">
        <f>_xlfn.XLOOKUP(B94,tblAssets[AssetID],tblAssets[Department],"Unmapped")</f>
        <v>IT</v>
      </c>
    </row>
    <row r="95" spans="1:6" x14ac:dyDescent="0.25">
      <c r="A95" t="s">
        <v>5528</v>
      </c>
      <c r="B95" t="s">
        <v>5186</v>
      </c>
      <c r="C95">
        <v>2022</v>
      </c>
      <c r="D95" s="1">
        <v>1986.7</v>
      </c>
      <c r="E95" t="str">
        <f>_xlfn.XLOOKUP(B95,tblAssets[AssetID],tblAssets[AssetName],"Unmapped")</f>
        <v>Computer Equipment 45</v>
      </c>
      <c r="F95" t="str">
        <f>_xlfn.XLOOKUP(B95,tblAssets[AssetID],tblAssets[Department],"Unmapped")</f>
        <v>IT</v>
      </c>
    </row>
    <row r="96" spans="1:6" x14ac:dyDescent="0.25">
      <c r="A96" t="s">
        <v>5540</v>
      </c>
      <c r="B96" t="s">
        <v>5188</v>
      </c>
      <c r="C96">
        <v>2022</v>
      </c>
      <c r="D96" s="1">
        <v>9026.6</v>
      </c>
      <c r="E96" t="str">
        <f>_xlfn.XLOOKUP(B96,tblAssets[AssetID],tblAssets[AssetName],"Unmapped")</f>
        <v>Production Machinery 46</v>
      </c>
      <c r="F96" t="str">
        <f>_xlfn.XLOOKUP(B96,tblAssets[AssetID],tblAssets[Department],"Unmapped")</f>
        <v>IT</v>
      </c>
    </row>
    <row r="97" spans="1:6" x14ac:dyDescent="0.25">
      <c r="A97" t="s">
        <v>5543</v>
      </c>
      <c r="B97" t="s">
        <v>5190</v>
      </c>
      <c r="C97">
        <v>2022</v>
      </c>
      <c r="D97" s="1">
        <v>1428.05</v>
      </c>
      <c r="E97" t="str">
        <f>_xlfn.XLOOKUP(B97,tblAssets[AssetID],tblAssets[AssetName],"Unmapped")</f>
        <v>Production Machinery 47</v>
      </c>
      <c r="F97" t="str">
        <f>_xlfn.XLOOKUP(B97,tblAssets[AssetID],tblAssets[Department],"Unmapped")</f>
        <v>HR</v>
      </c>
    </row>
    <row r="98" spans="1:6" x14ac:dyDescent="0.25">
      <c r="A98" t="s">
        <v>5555</v>
      </c>
      <c r="B98" t="s">
        <v>5192</v>
      </c>
      <c r="C98">
        <v>2022</v>
      </c>
      <c r="D98" s="1">
        <v>6219.94</v>
      </c>
      <c r="E98" t="str">
        <f>_xlfn.XLOOKUP(B98,tblAssets[AssetID],tblAssets[AssetName],"Unmapped")</f>
        <v>Vehicles 48</v>
      </c>
      <c r="F98" t="str">
        <f>_xlfn.XLOOKUP(B98,tblAssets[AssetID],tblAssets[Department],"Unmapped")</f>
        <v>Sales</v>
      </c>
    </row>
    <row r="99" spans="1:6" x14ac:dyDescent="0.25">
      <c r="A99" t="s">
        <v>5563</v>
      </c>
      <c r="B99" t="s">
        <v>5194</v>
      </c>
      <c r="C99">
        <v>2022</v>
      </c>
      <c r="D99" s="1">
        <v>13043.82</v>
      </c>
      <c r="E99" t="str">
        <f>_xlfn.XLOOKUP(B99,tblAssets[AssetID],tblAssets[AssetName],"Unmapped")</f>
        <v>Office Furniture 49</v>
      </c>
      <c r="F99" t="str">
        <f>_xlfn.XLOOKUP(B99,tblAssets[AssetID],tblAssets[Department],"Unmapped")</f>
        <v>Production</v>
      </c>
    </row>
    <row r="100" spans="1:6" x14ac:dyDescent="0.25">
      <c r="A100" t="s">
        <v>5570</v>
      </c>
      <c r="B100" t="s">
        <v>5196</v>
      </c>
      <c r="C100">
        <v>2022</v>
      </c>
      <c r="D100" s="1">
        <v>1038.93</v>
      </c>
      <c r="E100" t="str">
        <f>_xlfn.XLOOKUP(B100,tblAssets[AssetID],tblAssets[AssetName],"Unmapped")</f>
        <v>Computer Equipment 50</v>
      </c>
      <c r="F100" t="str">
        <f>_xlfn.XLOOKUP(B100,tblAssets[AssetID],tblAssets[Department],"Unmapped")</f>
        <v>Marketing</v>
      </c>
    </row>
    <row r="101" spans="1:6" x14ac:dyDescent="0.25">
      <c r="A101" t="s">
        <v>5204</v>
      </c>
      <c r="B101" t="s">
        <v>5098</v>
      </c>
      <c r="C101">
        <v>2023</v>
      </c>
      <c r="D101" s="1">
        <v>9416.24</v>
      </c>
      <c r="E101" t="str">
        <f>_xlfn.XLOOKUP(B101,tblAssets[AssetID],tblAssets[AssetName],"Unmapped")</f>
        <v>Office Furniture 1</v>
      </c>
      <c r="F101" t="str">
        <f>_xlfn.XLOOKUP(B101,tblAssets[AssetID],tblAssets[Department],"Unmapped")</f>
        <v>Marketing</v>
      </c>
    </row>
    <row r="102" spans="1:6" x14ac:dyDescent="0.25">
      <c r="A102" t="s">
        <v>5210</v>
      </c>
      <c r="B102" t="s">
        <v>5100</v>
      </c>
      <c r="C102">
        <v>2023</v>
      </c>
      <c r="D102" s="1">
        <v>4066.3</v>
      </c>
      <c r="E102" t="str">
        <f>_xlfn.XLOOKUP(B102,tblAssets[AssetID],tblAssets[AssetName],"Unmapped")</f>
        <v>Computer Equipment 2</v>
      </c>
      <c r="F102" t="str">
        <f>_xlfn.XLOOKUP(B102,tblAssets[AssetID],tblAssets[Department],"Unmapped")</f>
        <v>HR</v>
      </c>
    </row>
    <row r="103" spans="1:6" x14ac:dyDescent="0.25">
      <c r="A103" t="s">
        <v>5216</v>
      </c>
      <c r="B103" t="s">
        <v>5102</v>
      </c>
      <c r="C103">
        <v>2023</v>
      </c>
      <c r="D103" s="1">
        <v>7936.54</v>
      </c>
      <c r="E103" t="str">
        <f>_xlfn.XLOOKUP(B103,tblAssets[AssetID],tblAssets[AssetName],"Unmapped")</f>
        <v>Computer Equipment 3</v>
      </c>
      <c r="F103" t="str">
        <f>_xlfn.XLOOKUP(B103,tblAssets[AssetID],tblAssets[Department],"Unmapped")</f>
        <v>IT</v>
      </c>
    </row>
    <row r="104" spans="1:6" x14ac:dyDescent="0.25">
      <c r="A104" t="s">
        <v>5221</v>
      </c>
      <c r="B104" t="s">
        <v>5104</v>
      </c>
      <c r="C104">
        <v>2023</v>
      </c>
      <c r="D104" s="1">
        <v>1861.96</v>
      </c>
      <c r="E104" t="str">
        <f>_xlfn.XLOOKUP(B104,tblAssets[AssetID],tblAssets[AssetName],"Unmapped")</f>
        <v>Vehicles 4</v>
      </c>
      <c r="F104" t="str">
        <f>_xlfn.XLOOKUP(B104,tblAssets[AssetID],tblAssets[Department],"Unmapped")</f>
        <v>Production</v>
      </c>
    </row>
    <row r="105" spans="1:6" x14ac:dyDescent="0.25">
      <c r="A105" t="s">
        <v>5229</v>
      </c>
      <c r="B105" t="s">
        <v>5106</v>
      </c>
      <c r="C105">
        <v>2023</v>
      </c>
      <c r="D105" s="1">
        <v>11123.94</v>
      </c>
      <c r="E105" t="str">
        <f>_xlfn.XLOOKUP(B105,tblAssets[AssetID],tblAssets[AssetName],"Unmapped")</f>
        <v>Computer Equipment 5</v>
      </c>
      <c r="F105" t="str">
        <f>_xlfn.XLOOKUP(B105,tblAssets[AssetID],tblAssets[Department],"Unmapped")</f>
        <v>Sales</v>
      </c>
    </row>
    <row r="106" spans="1:6" x14ac:dyDescent="0.25">
      <c r="A106" t="s">
        <v>5234</v>
      </c>
      <c r="B106" t="s">
        <v>5108</v>
      </c>
      <c r="C106">
        <v>2023</v>
      </c>
      <c r="D106" s="1">
        <v>14419.26</v>
      </c>
      <c r="E106" t="str">
        <f>_xlfn.XLOOKUP(B106,tblAssets[AssetID],tblAssets[AssetName],"Unmapped")</f>
        <v>Computer Equipment 6</v>
      </c>
      <c r="F106" t="str">
        <f>_xlfn.XLOOKUP(B106,tblAssets[AssetID],tblAssets[Department],"Unmapped")</f>
        <v>Sales</v>
      </c>
    </row>
    <row r="107" spans="1:6" x14ac:dyDescent="0.25">
      <c r="A107" t="s">
        <v>5239</v>
      </c>
      <c r="B107" t="s">
        <v>5110</v>
      </c>
      <c r="C107">
        <v>2023</v>
      </c>
      <c r="D107" s="1">
        <v>7198.51</v>
      </c>
      <c r="E107" t="str">
        <f>_xlfn.XLOOKUP(B107,tblAssets[AssetID],tblAssets[AssetName],"Unmapped")</f>
        <v>Vehicles 7</v>
      </c>
      <c r="F107" t="str">
        <f>_xlfn.XLOOKUP(B107,tblAssets[AssetID],tblAssets[Department],"Unmapped")</f>
        <v>HR</v>
      </c>
    </row>
    <row r="108" spans="1:6" x14ac:dyDescent="0.25">
      <c r="A108" t="s">
        <v>5248</v>
      </c>
      <c r="B108" t="s">
        <v>5112</v>
      </c>
      <c r="C108">
        <v>2023</v>
      </c>
      <c r="D108" s="1">
        <v>1798.04</v>
      </c>
      <c r="E108" t="str">
        <f>_xlfn.XLOOKUP(B108,tblAssets[AssetID],tblAssets[AssetName],"Unmapped")</f>
        <v>Production Machinery 8</v>
      </c>
      <c r="F108" t="str">
        <f>_xlfn.XLOOKUP(B108,tblAssets[AssetID],tblAssets[Department],"Unmapped")</f>
        <v>Sales</v>
      </c>
    </row>
    <row r="109" spans="1:6" x14ac:dyDescent="0.25">
      <c r="A109" t="s">
        <v>5253</v>
      </c>
      <c r="B109" t="s">
        <v>5114</v>
      </c>
      <c r="C109">
        <v>2023</v>
      </c>
      <c r="D109" s="1">
        <v>7632</v>
      </c>
      <c r="E109" t="str">
        <f>_xlfn.XLOOKUP(B109,tblAssets[AssetID],tblAssets[AssetName],"Unmapped")</f>
        <v>Vehicles 9</v>
      </c>
      <c r="F109" t="str">
        <f>_xlfn.XLOOKUP(B109,tblAssets[AssetID],tblAssets[Department],"Unmapped")</f>
        <v>Marketing</v>
      </c>
    </row>
    <row r="110" spans="1:6" x14ac:dyDescent="0.25">
      <c r="A110" t="s">
        <v>5261</v>
      </c>
      <c r="B110" t="s">
        <v>5116</v>
      </c>
      <c r="C110">
        <v>2023</v>
      </c>
      <c r="D110" s="1">
        <v>2489.52</v>
      </c>
      <c r="E110" t="str">
        <f>_xlfn.XLOOKUP(B110,tblAssets[AssetID],tblAssets[AssetName],"Unmapped")</f>
        <v>Vehicles 10</v>
      </c>
      <c r="F110" t="str">
        <f>_xlfn.XLOOKUP(B110,tblAssets[AssetID],tblAssets[Department],"Unmapped")</f>
        <v>Production</v>
      </c>
    </row>
    <row r="111" spans="1:6" x14ac:dyDescent="0.25">
      <c r="A111" t="s">
        <v>5269</v>
      </c>
      <c r="B111" t="s">
        <v>5118</v>
      </c>
      <c r="C111">
        <v>2023</v>
      </c>
      <c r="D111" s="1">
        <v>4983.3900000000003</v>
      </c>
      <c r="E111" t="str">
        <f>_xlfn.XLOOKUP(B111,tblAssets[AssetID],tblAssets[AssetName],"Unmapped")</f>
        <v>Office Furniture 11</v>
      </c>
      <c r="F111" t="str">
        <f>_xlfn.XLOOKUP(B111,tblAssets[AssetID],tblAssets[Department],"Unmapped")</f>
        <v>Marketing</v>
      </c>
    </row>
    <row r="112" spans="1:6" x14ac:dyDescent="0.25">
      <c r="A112" t="s">
        <v>5273</v>
      </c>
      <c r="B112" t="s">
        <v>5120</v>
      </c>
      <c r="C112">
        <v>2023</v>
      </c>
      <c r="D112" s="1">
        <v>3498.99</v>
      </c>
      <c r="E112" t="str">
        <f>_xlfn.XLOOKUP(B112,tblAssets[AssetID],tblAssets[AssetName],"Unmapped")</f>
        <v>Computer Equipment 12</v>
      </c>
      <c r="F112" t="str">
        <f>_xlfn.XLOOKUP(B112,tblAssets[AssetID],tblAssets[Department],"Unmapped")</f>
        <v>Sales</v>
      </c>
    </row>
    <row r="113" spans="1:6" x14ac:dyDescent="0.25">
      <c r="A113" t="s">
        <v>5284</v>
      </c>
      <c r="B113" t="s">
        <v>5122</v>
      </c>
      <c r="C113">
        <v>2023</v>
      </c>
      <c r="D113" s="1">
        <v>5087.33</v>
      </c>
      <c r="E113" t="str">
        <f>_xlfn.XLOOKUP(B113,tblAssets[AssetID],tblAssets[AssetName],"Unmapped")</f>
        <v>Computer Equipment 13</v>
      </c>
      <c r="F113" t="str">
        <f>_xlfn.XLOOKUP(B113,tblAssets[AssetID],tblAssets[Department],"Unmapped")</f>
        <v>Production</v>
      </c>
    </row>
    <row r="114" spans="1:6" x14ac:dyDescent="0.25">
      <c r="A114" t="s">
        <v>5290</v>
      </c>
      <c r="B114" t="s">
        <v>5124</v>
      </c>
      <c r="C114">
        <v>2023</v>
      </c>
      <c r="D114" s="1">
        <v>13509.01</v>
      </c>
      <c r="E114" t="str">
        <f>_xlfn.XLOOKUP(B114,tblAssets[AssetID],tblAssets[AssetName],"Unmapped")</f>
        <v>Production Machinery 14</v>
      </c>
      <c r="F114" t="str">
        <f>_xlfn.XLOOKUP(B114,tblAssets[AssetID],tblAssets[Department],"Unmapped")</f>
        <v>Marketing</v>
      </c>
    </row>
    <row r="115" spans="1:6" x14ac:dyDescent="0.25">
      <c r="A115" t="s">
        <v>5294</v>
      </c>
      <c r="B115" t="s">
        <v>5126</v>
      </c>
      <c r="C115">
        <v>2023</v>
      </c>
      <c r="D115" s="1">
        <v>1841.23</v>
      </c>
      <c r="E115" t="str">
        <f>_xlfn.XLOOKUP(B115,tblAssets[AssetID],tblAssets[AssetName],"Unmapped")</f>
        <v>Computer Equipment 15</v>
      </c>
      <c r="F115" t="str">
        <f>_xlfn.XLOOKUP(B115,tblAssets[AssetID],tblAssets[Department],"Unmapped")</f>
        <v>Finance</v>
      </c>
    </row>
    <row r="116" spans="1:6" x14ac:dyDescent="0.25">
      <c r="A116" t="s">
        <v>5306</v>
      </c>
      <c r="B116" t="s">
        <v>5128</v>
      </c>
      <c r="C116">
        <v>2023</v>
      </c>
      <c r="D116" s="1">
        <v>1273.0899999999999</v>
      </c>
      <c r="E116" t="str">
        <f>_xlfn.XLOOKUP(B116,tblAssets[AssetID],tblAssets[AssetName],"Unmapped")</f>
        <v>Office Furniture 16</v>
      </c>
      <c r="F116" t="str">
        <f>_xlfn.XLOOKUP(B116,tblAssets[AssetID],tblAssets[Department],"Unmapped")</f>
        <v>HR</v>
      </c>
    </row>
    <row r="117" spans="1:6" x14ac:dyDescent="0.25">
      <c r="A117" t="s">
        <v>5314</v>
      </c>
      <c r="B117" t="s">
        <v>5130</v>
      </c>
      <c r="C117">
        <v>2023</v>
      </c>
      <c r="D117" s="1">
        <v>6346.8</v>
      </c>
      <c r="E117" t="str">
        <f>_xlfn.XLOOKUP(B117,tblAssets[AssetID],tblAssets[AssetName],"Unmapped")</f>
        <v>Office Furniture 17</v>
      </c>
      <c r="F117" t="str">
        <f>_xlfn.XLOOKUP(B117,tblAssets[AssetID],tblAssets[Department],"Unmapped")</f>
        <v>IT</v>
      </c>
    </row>
    <row r="118" spans="1:6" x14ac:dyDescent="0.25">
      <c r="A118" t="s">
        <v>5326</v>
      </c>
      <c r="B118" t="s">
        <v>5132</v>
      </c>
      <c r="C118">
        <v>2023</v>
      </c>
      <c r="D118" s="1">
        <v>6355.56</v>
      </c>
      <c r="E118" t="str">
        <f>_xlfn.XLOOKUP(B118,tblAssets[AssetID],tblAssets[AssetName],"Unmapped")</f>
        <v>Office Furniture 18</v>
      </c>
      <c r="F118" t="str">
        <f>_xlfn.XLOOKUP(B118,tblAssets[AssetID],tblAssets[Department],"Unmapped")</f>
        <v>Production</v>
      </c>
    </row>
    <row r="119" spans="1:6" x14ac:dyDescent="0.25">
      <c r="A119" t="s">
        <v>5335</v>
      </c>
      <c r="B119" t="s">
        <v>5134</v>
      </c>
      <c r="C119">
        <v>2023</v>
      </c>
      <c r="D119" s="1">
        <v>14957.47</v>
      </c>
      <c r="E119" t="str">
        <f>_xlfn.XLOOKUP(B119,tblAssets[AssetID],tblAssets[AssetName],"Unmapped")</f>
        <v>Production Machinery 19</v>
      </c>
      <c r="F119" t="str">
        <f>_xlfn.XLOOKUP(B119,tblAssets[AssetID],tblAssets[Department],"Unmapped")</f>
        <v>HR</v>
      </c>
    </row>
    <row r="120" spans="1:6" x14ac:dyDescent="0.25">
      <c r="A120" t="s">
        <v>5341</v>
      </c>
      <c r="B120" t="s">
        <v>5136</v>
      </c>
      <c r="C120">
        <v>2023</v>
      </c>
      <c r="D120" s="1">
        <v>10530.88</v>
      </c>
      <c r="E120" t="str">
        <f>_xlfn.XLOOKUP(B120,tblAssets[AssetID],tblAssets[AssetName],"Unmapped")</f>
        <v>Computer Equipment 20</v>
      </c>
      <c r="F120" t="str">
        <f>_xlfn.XLOOKUP(B120,tblAssets[AssetID],tblAssets[Department],"Unmapped")</f>
        <v>Finance</v>
      </c>
    </row>
    <row r="121" spans="1:6" x14ac:dyDescent="0.25">
      <c r="A121" t="s">
        <v>5345</v>
      </c>
      <c r="B121" t="s">
        <v>5138</v>
      </c>
      <c r="C121">
        <v>2023</v>
      </c>
      <c r="D121" s="1">
        <v>6435.33</v>
      </c>
      <c r="E121" t="str">
        <f>_xlfn.XLOOKUP(B121,tblAssets[AssetID],tblAssets[AssetName],"Unmapped")</f>
        <v>Computer Equipment 21</v>
      </c>
      <c r="F121" t="str">
        <f>_xlfn.XLOOKUP(B121,tblAssets[AssetID],tblAssets[Department],"Unmapped")</f>
        <v>IT</v>
      </c>
    </row>
    <row r="122" spans="1:6" x14ac:dyDescent="0.25">
      <c r="A122" t="s">
        <v>5356</v>
      </c>
      <c r="B122" t="s">
        <v>5140</v>
      </c>
      <c r="C122">
        <v>2023</v>
      </c>
      <c r="D122" s="1">
        <v>6522.45</v>
      </c>
      <c r="E122" t="str">
        <f>_xlfn.XLOOKUP(B122,tblAssets[AssetID],tblAssets[AssetName],"Unmapped")</f>
        <v>Production Machinery 22</v>
      </c>
      <c r="F122" t="str">
        <f>_xlfn.XLOOKUP(B122,tblAssets[AssetID],tblAssets[Department],"Unmapped")</f>
        <v>Marketing</v>
      </c>
    </row>
    <row r="123" spans="1:6" x14ac:dyDescent="0.25">
      <c r="A123" t="s">
        <v>5359</v>
      </c>
      <c r="B123" t="s">
        <v>5142</v>
      </c>
      <c r="C123">
        <v>2023</v>
      </c>
      <c r="D123" s="1">
        <v>6882.27</v>
      </c>
      <c r="E123" t="str">
        <f>_xlfn.XLOOKUP(B123,tblAssets[AssetID],tblAssets[AssetName],"Unmapped")</f>
        <v>Computer Equipment 23</v>
      </c>
      <c r="F123" t="str">
        <f>_xlfn.XLOOKUP(B123,tblAssets[AssetID],tblAssets[Department],"Unmapped")</f>
        <v>Production</v>
      </c>
    </row>
    <row r="124" spans="1:6" x14ac:dyDescent="0.25">
      <c r="A124" t="s">
        <v>5365</v>
      </c>
      <c r="B124" t="s">
        <v>5144</v>
      </c>
      <c r="C124">
        <v>2023</v>
      </c>
      <c r="D124" s="1">
        <v>10616.17</v>
      </c>
      <c r="E124" t="str">
        <f>_xlfn.XLOOKUP(B124,tblAssets[AssetID],tblAssets[AssetName],"Unmapped")</f>
        <v>Computer Equipment 24</v>
      </c>
      <c r="F124" t="str">
        <f>_xlfn.XLOOKUP(B124,tblAssets[AssetID],tblAssets[Department],"Unmapped")</f>
        <v>Finance</v>
      </c>
    </row>
    <row r="125" spans="1:6" x14ac:dyDescent="0.25">
      <c r="A125" t="s">
        <v>5369</v>
      </c>
      <c r="B125" t="s">
        <v>5146</v>
      </c>
      <c r="C125">
        <v>2023</v>
      </c>
      <c r="D125" s="1">
        <v>5388.28</v>
      </c>
      <c r="E125" t="str">
        <f>_xlfn.XLOOKUP(B125,tblAssets[AssetID],tblAssets[AssetName],"Unmapped")</f>
        <v>Vehicles 25</v>
      </c>
      <c r="F125" t="str">
        <f>_xlfn.XLOOKUP(B125,tblAssets[AssetID],tblAssets[Department],"Unmapped")</f>
        <v>Production</v>
      </c>
    </row>
    <row r="126" spans="1:6" x14ac:dyDescent="0.25">
      <c r="A126" t="s">
        <v>5379</v>
      </c>
      <c r="B126" t="s">
        <v>5148</v>
      </c>
      <c r="C126">
        <v>2023</v>
      </c>
      <c r="D126" s="1">
        <v>5348.91</v>
      </c>
      <c r="E126" t="str">
        <f>_xlfn.XLOOKUP(B126,tblAssets[AssetID],tblAssets[AssetName],"Unmapped")</f>
        <v>Vehicles 26</v>
      </c>
      <c r="F126" t="str">
        <f>_xlfn.XLOOKUP(B126,tblAssets[AssetID],tblAssets[Department],"Unmapped")</f>
        <v>Production</v>
      </c>
    </row>
    <row r="127" spans="1:6" x14ac:dyDescent="0.25">
      <c r="A127" t="s">
        <v>5388</v>
      </c>
      <c r="B127" t="s">
        <v>5150</v>
      </c>
      <c r="C127">
        <v>2023</v>
      </c>
      <c r="D127" s="1">
        <v>1511.11</v>
      </c>
      <c r="E127" t="str">
        <f>_xlfn.XLOOKUP(B127,tblAssets[AssetID],tblAssets[AssetName],"Unmapped")</f>
        <v>Vehicles 27</v>
      </c>
      <c r="F127" t="str">
        <f>_xlfn.XLOOKUP(B127,tblAssets[AssetID],tblAssets[Department],"Unmapped")</f>
        <v>IT</v>
      </c>
    </row>
    <row r="128" spans="1:6" x14ac:dyDescent="0.25">
      <c r="A128" t="s">
        <v>5393</v>
      </c>
      <c r="B128" t="s">
        <v>5152</v>
      </c>
      <c r="C128">
        <v>2023</v>
      </c>
      <c r="D128" s="1">
        <v>3713.23</v>
      </c>
      <c r="E128" t="str">
        <f>_xlfn.XLOOKUP(B128,tblAssets[AssetID],tblAssets[AssetName],"Unmapped")</f>
        <v>Vehicles 28</v>
      </c>
      <c r="F128" t="str">
        <f>_xlfn.XLOOKUP(B128,tblAssets[AssetID],tblAssets[Department],"Unmapped")</f>
        <v>Finance</v>
      </c>
    </row>
    <row r="129" spans="1:6" x14ac:dyDescent="0.25">
      <c r="A129" t="s">
        <v>5400</v>
      </c>
      <c r="B129" t="s">
        <v>5154</v>
      </c>
      <c r="C129">
        <v>2023</v>
      </c>
      <c r="D129" s="1">
        <v>7398.9</v>
      </c>
      <c r="E129" t="str">
        <f>_xlfn.XLOOKUP(B129,tblAssets[AssetID],tblAssets[AssetName],"Unmapped")</f>
        <v>Office Furniture 29</v>
      </c>
      <c r="F129" t="str">
        <f>_xlfn.XLOOKUP(B129,tblAssets[AssetID],tblAssets[Department],"Unmapped")</f>
        <v>Production</v>
      </c>
    </row>
    <row r="130" spans="1:6" x14ac:dyDescent="0.25">
      <c r="A130" t="s">
        <v>5408</v>
      </c>
      <c r="B130" t="s">
        <v>5156</v>
      </c>
      <c r="C130">
        <v>2023</v>
      </c>
      <c r="D130" s="1">
        <v>8388.6</v>
      </c>
      <c r="E130" t="str">
        <f>_xlfn.XLOOKUP(B130,tblAssets[AssetID],tblAssets[AssetName],"Unmapped")</f>
        <v>Production Machinery 30</v>
      </c>
      <c r="F130" t="str">
        <f>_xlfn.XLOOKUP(B130,tblAssets[AssetID],tblAssets[Department],"Unmapped")</f>
        <v>Finance</v>
      </c>
    </row>
    <row r="131" spans="1:6" x14ac:dyDescent="0.25">
      <c r="A131" t="s">
        <v>5417</v>
      </c>
      <c r="B131" t="s">
        <v>5158</v>
      </c>
      <c r="C131">
        <v>2023</v>
      </c>
      <c r="D131" s="1">
        <v>10204.549999999999</v>
      </c>
      <c r="E131" t="str">
        <f>_xlfn.XLOOKUP(B131,tblAssets[AssetID],tblAssets[AssetName],"Unmapped")</f>
        <v>Vehicles 31</v>
      </c>
      <c r="F131" t="str">
        <f>_xlfn.XLOOKUP(B131,tblAssets[AssetID],tblAssets[Department],"Unmapped")</f>
        <v>Production</v>
      </c>
    </row>
    <row r="132" spans="1:6" x14ac:dyDescent="0.25">
      <c r="A132" t="s">
        <v>5424</v>
      </c>
      <c r="B132" t="s">
        <v>5160</v>
      </c>
      <c r="C132">
        <v>2023</v>
      </c>
      <c r="D132" s="1">
        <v>6444.51</v>
      </c>
      <c r="E132" t="str">
        <f>_xlfn.XLOOKUP(B132,tblAssets[AssetID],tblAssets[AssetName],"Unmapped")</f>
        <v>Production Machinery 32</v>
      </c>
      <c r="F132" t="str">
        <f>_xlfn.XLOOKUP(B132,tblAssets[AssetID],tblAssets[Department],"Unmapped")</f>
        <v>HR</v>
      </c>
    </row>
    <row r="133" spans="1:6" x14ac:dyDescent="0.25">
      <c r="A133" t="s">
        <v>5432</v>
      </c>
      <c r="B133" t="s">
        <v>5162</v>
      </c>
      <c r="C133">
        <v>2023</v>
      </c>
      <c r="D133" s="1">
        <v>2984.72</v>
      </c>
      <c r="E133" t="str">
        <f>_xlfn.XLOOKUP(B133,tblAssets[AssetID],tblAssets[AssetName],"Unmapped")</f>
        <v>Production Machinery 33</v>
      </c>
      <c r="F133" t="str">
        <f>_xlfn.XLOOKUP(B133,tblAssets[AssetID],tblAssets[Department],"Unmapped")</f>
        <v>IT</v>
      </c>
    </row>
    <row r="134" spans="1:6" x14ac:dyDescent="0.25">
      <c r="A134" t="s">
        <v>5442</v>
      </c>
      <c r="B134" t="s">
        <v>5164</v>
      </c>
      <c r="C134">
        <v>2023</v>
      </c>
      <c r="D134" s="1">
        <v>7296.53</v>
      </c>
      <c r="E134" t="str">
        <f>_xlfn.XLOOKUP(B134,tblAssets[AssetID],tblAssets[AssetName],"Unmapped")</f>
        <v>Production Machinery 34</v>
      </c>
      <c r="F134" t="str">
        <f>_xlfn.XLOOKUP(B134,tblAssets[AssetID],tblAssets[Department],"Unmapped")</f>
        <v>Finance</v>
      </c>
    </row>
    <row r="135" spans="1:6" x14ac:dyDescent="0.25">
      <c r="A135" t="s">
        <v>5454</v>
      </c>
      <c r="B135" t="s">
        <v>5166</v>
      </c>
      <c r="C135">
        <v>2023</v>
      </c>
      <c r="D135" s="1">
        <v>3250.63</v>
      </c>
      <c r="E135" t="str">
        <f>_xlfn.XLOOKUP(B135,tblAssets[AssetID],tblAssets[AssetName],"Unmapped")</f>
        <v>Office Furniture 35</v>
      </c>
      <c r="F135" t="str">
        <f>_xlfn.XLOOKUP(B135,tblAssets[AssetID],tblAssets[Department],"Unmapped")</f>
        <v>Sales</v>
      </c>
    </row>
    <row r="136" spans="1:6" x14ac:dyDescent="0.25">
      <c r="A136" t="s">
        <v>5459</v>
      </c>
      <c r="B136" t="s">
        <v>5168</v>
      </c>
      <c r="C136">
        <v>2023</v>
      </c>
      <c r="D136" s="1">
        <v>9677.7900000000009</v>
      </c>
      <c r="E136" t="str">
        <f>_xlfn.XLOOKUP(B136,tblAssets[AssetID],tblAssets[AssetName],"Unmapped")</f>
        <v>Computer Equipment 36</v>
      </c>
      <c r="F136" t="str">
        <f>_xlfn.XLOOKUP(B136,tblAssets[AssetID],tblAssets[Department],"Unmapped")</f>
        <v>IT</v>
      </c>
    </row>
    <row r="137" spans="1:6" x14ac:dyDescent="0.25">
      <c r="A137" t="s">
        <v>5467</v>
      </c>
      <c r="B137" t="s">
        <v>5170</v>
      </c>
      <c r="C137">
        <v>2023</v>
      </c>
      <c r="D137" s="1">
        <v>5350.76</v>
      </c>
      <c r="E137" t="str">
        <f>_xlfn.XLOOKUP(B137,tblAssets[AssetID],tblAssets[AssetName],"Unmapped")</f>
        <v>Production Machinery 37</v>
      </c>
      <c r="F137" t="str">
        <f>_xlfn.XLOOKUP(B137,tblAssets[AssetID],tblAssets[Department],"Unmapped")</f>
        <v>HR</v>
      </c>
    </row>
    <row r="138" spans="1:6" x14ac:dyDescent="0.25">
      <c r="A138" t="s">
        <v>5475</v>
      </c>
      <c r="B138" t="s">
        <v>5172</v>
      </c>
      <c r="C138">
        <v>2023</v>
      </c>
      <c r="D138" s="1">
        <v>11964.73</v>
      </c>
      <c r="E138" t="str">
        <f>_xlfn.XLOOKUP(B138,tblAssets[AssetID],tblAssets[AssetName],"Unmapped")</f>
        <v>Vehicles 38</v>
      </c>
      <c r="F138" t="str">
        <f>_xlfn.XLOOKUP(B138,tblAssets[AssetID],tblAssets[Department],"Unmapped")</f>
        <v>HR</v>
      </c>
    </row>
    <row r="139" spans="1:6" x14ac:dyDescent="0.25">
      <c r="A139" t="s">
        <v>5479</v>
      </c>
      <c r="B139" t="s">
        <v>5174</v>
      </c>
      <c r="C139">
        <v>2023</v>
      </c>
      <c r="D139" s="1">
        <v>5773.33</v>
      </c>
      <c r="E139" t="str">
        <f>_xlfn.XLOOKUP(B139,tblAssets[AssetID],tblAssets[AssetName],"Unmapped")</f>
        <v>Production Machinery 39</v>
      </c>
      <c r="F139" t="str">
        <f>_xlfn.XLOOKUP(B139,tblAssets[AssetID],tblAssets[Department],"Unmapped")</f>
        <v>Sales</v>
      </c>
    </row>
    <row r="140" spans="1:6" x14ac:dyDescent="0.25">
      <c r="A140" t="s">
        <v>5485</v>
      </c>
      <c r="B140" t="s">
        <v>5176</v>
      </c>
      <c r="C140">
        <v>2023</v>
      </c>
      <c r="D140" s="1">
        <v>2617.8000000000002</v>
      </c>
      <c r="E140" t="str">
        <f>_xlfn.XLOOKUP(B140,tblAssets[AssetID],tblAssets[AssetName],"Unmapped")</f>
        <v>Computer Equipment 40</v>
      </c>
      <c r="F140" t="str">
        <f>_xlfn.XLOOKUP(B140,tblAssets[AssetID],tblAssets[Department],"Unmapped")</f>
        <v>Production</v>
      </c>
    </row>
    <row r="141" spans="1:6" x14ac:dyDescent="0.25">
      <c r="A141" t="s">
        <v>5492</v>
      </c>
      <c r="B141" t="s">
        <v>5178</v>
      </c>
      <c r="C141">
        <v>2023</v>
      </c>
      <c r="D141" s="1">
        <v>4170.88</v>
      </c>
      <c r="E141" t="str">
        <f>_xlfn.XLOOKUP(B141,tblAssets[AssetID],tblAssets[AssetName],"Unmapped")</f>
        <v>Vehicles 41</v>
      </c>
      <c r="F141" t="str">
        <f>_xlfn.XLOOKUP(B141,tblAssets[AssetID],tblAssets[Department],"Unmapped")</f>
        <v>HR</v>
      </c>
    </row>
    <row r="142" spans="1:6" x14ac:dyDescent="0.25">
      <c r="A142" t="s">
        <v>5502</v>
      </c>
      <c r="B142" t="s">
        <v>5180</v>
      </c>
      <c r="C142">
        <v>2023</v>
      </c>
      <c r="D142" s="1">
        <v>874.44</v>
      </c>
      <c r="E142" t="str">
        <f>_xlfn.XLOOKUP(B142,tblAssets[AssetID],tblAssets[AssetName],"Unmapped")</f>
        <v>Vehicles 42</v>
      </c>
      <c r="F142" t="str">
        <f>_xlfn.XLOOKUP(B142,tblAssets[AssetID],tblAssets[Department],"Unmapped")</f>
        <v>IT</v>
      </c>
    </row>
    <row r="143" spans="1:6" x14ac:dyDescent="0.25">
      <c r="A143" t="s">
        <v>5513</v>
      </c>
      <c r="B143" t="s">
        <v>5182</v>
      </c>
      <c r="C143">
        <v>2023</v>
      </c>
      <c r="D143" s="1">
        <v>4856.75</v>
      </c>
      <c r="E143" t="str">
        <f>_xlfn.XLOOKUP(B143,tblAssets[AssetID],tblAssets[AssetName],"Unmapped")</f>
        <v>Computer Equipment 43</v>
      </c>
      <c r="F143" t="str">
        <f>_xlfn.XLOOKUP(B143,tblAssets[AssetID],tblAssets[Department],"Unmapped")</f>
        <v>Marketing</v>
      </c>
    </row>
    <row r="144" spans="1:6" x14ac:dyDescent="0.25">
      <c r="A144" t="s">
        <v>5524</v>
      </c>
      <c r="B144" t="s">
        <v>5184</v>
      </c>
      <c r="C144">
        <v>2023</v>
      </c>
      <c r="D144" s="1">
        <v>5356.79</v>
      </c>
      <c r="E144" t="str">
        <f>_xlfn.XLOOKUP(B144,tblAssets[AssetID],tblAssets[AssetName],"Unmapped")</f>
        <v>Vehicles 44</v>
      </c>
      <c r="F144" t="str">
        <f>_xlfn.XLOOKUP(B144,tblAssets[AssetID],tblAssets[Department],"Unmapped")</f>
        <v>IT</v>
      </c>
    </row>
    <row r="145" spans="1:6" x14ac:dyDescent="0.25">
      <c r="A145" t="s">
        <v>5529</v>
      </c>
      <c r="B145" t="s">
        <v>5186</v>
      </c>
      <c r="C145">
        <v>2023</v>
      </c>
      <c r="D145" s="1">
        <v>1986.7</v>
      </c>
      <c r="E145" t="str">
        <f>_xlfn.XLOOKUP(B145,tblAssets[AssetID],tblAssets[AssetName],"Unmapped")</f>
        <v>Computer Equipment 45</v>
      </c>
      <c r="F145" t="str">
        <f>_xlfn.XLOOKUP(B145,tblAssets[AssetID],tblAssets[Department],"Unmapped")</f>
        <v>IT</v>
      </c>
    </row>
    <row r="146" spans="1:6" x14ac:dyDescent="0.25">
      <c r="A146" t="s">
        <v>5541</v>
      </c>
      <c r="B146" t="s">
        <v>5188</v>
      </c>
      <c r="C146">
        <v>2023</v>
      </c>
      <c r="D146" s="1">
        <v>9026.6</v>
      </c>
      <c r="E146" t="str">
        <f>_xlfn.XLOOKUP(B146,tblAssets[AssetID],tblAssets[AssetName],"Unmapped")</f>
        <v>Production Machinery 46</v>
      </c>
      <c r="F146" t="str">
        <f>_xlfn.XLOOKUP(B146,tblAssets[AssetID],tblAssets[Department],"Unmapped")</f>
        <v>IT</v>
      </c>
    </row>
    <row r="147" spans="1:6" x14ac:dyDescent="0.25">
      <c r="A147" t="s">
        <v>5544</v>
      </c>
      <c r="B147" t="s">
        <v>5190</v>
      </c>
      <c r="C147">
        <v>2023</v>
      </c>
      <c r="D147" s="1">
        <v>1428.05</v>
      </c>
      <c r="E147" t="str">
        <f>_xlfn.XLOOKUP(B147,tblAssets[AssetID],tblAssets[AssetName],"Unmapped")</f>
        <v>Production Machinery 47</v>
      </c>
      <c r="F147" t="str">
        <f>_xlfn.XLOOKUP(B147,tblAssets[AssetID],tblAssets[Department],"Unmapped")</f>
        <v>HR</v>
      </c>
    </row>
    <row r="148" spans="1:6" x14ac:dyDescent="0.25">
      <c r="A148" t="s">
        <v>5556</v>
      </c>
      <c r="B148" t="s">
        <v>5192</v>
      </c>
      <c r="C148">
        <v>2023</v>
      </c>
      <c r="D148" s="1">
        <v>6219.94</v>
      </c>
      <c r="E148" t="str">
        <f>_xlfn.XLOOKUP(B148,tblAssets[AssetID],tblAssets[AssetName],"Unmapped")</f>
        <v>Vehicles 48</v>
      </c>
      <c r="F148" t="str">
        <f>_xlfn.XLOOKUP(B148,tblAssets[AssetID],tblAssets[Department],"Unmapped")</f>
        <v>Sales</v>
      </c>
    </row>
    <row r="149" spans="1:6" x14ac:dyDescent="0.25">
      <c r="A149" t="s">
        <v>5564</v>
      </c>
      <c r="B149" t="s">
        <v>5194</v>
      </c>
      <c r="C149">
        <v>2023</v>
      </c>
      <c r="D149" s="1">
        <v>13043.82</v>
      </c>
      <c r="E149" t="str">
        <f>_xlfn.XLOOKUP(B149,tblAssets[AssetID],tblAssets[AssetName],"Unmapped")</f>
        <v>Office Furniture 49</v>
      </c>
      <c r="F149" t="str">
        <f>_xlfn.XLOOKUP(B149,tblAssets[AssetID],tblAssets[Department],"Unmapped")</f>
        <v>Production</v>
      </c>
    </row>
    <row r="150" spans="1:6" x14ac:dyDescent="0.25">
      <c r="A150" t="s">
        <v>5571</v>
      </c>
      <c r="B150" t="s">
        <v>5196</v>
      </c>
      <c r="C150">
        <v>2023</v>
      </c>
      <c r="D150" s="1">
        <v>1038.93</v>
      </c>
      <c r="E150" t="str">
        <f>_xlfn.XLOOKUP(B150,tblAssets[AssetID],tblAssets[AssetName],"Unmapped")</f>
        <v>Computer Equipment 50</v>
      </c>
      <c r="F150" t="str">
        <f>_xlfn.XLOOKUP(B150,tblAssets[AssetID],tblAssets[Department],"Unmapped")</f>
        <v>Marketing</v>
      </c>
    </row>
    <row r="151" spans="1:6" x14ac:dyDescent="0.25">
      <c r="A151" t="s">
        <v>5205</v>
      </c>
      <c r="B151" t="s">
        <v>5098</v>
      </c>
      <c r="C151">
        <v>2024</v>
      </c>
      <c r="D151" s="1">
        <v>9416.24</v>
      </c>
      <c r="E151" t="str">
        <f>_xlfn.XLOOKUP(B151,tblAssets[AssetID],tblAssets[AssetName],"Unmapped")</f>
        <v>Office Furniture 1</v>
      </c>
      <c r="F151" t="str">
        <f>_xlfn.XLOOKUP(B151,tblAssets[AssetID],tblAssets[Department],"Unmapped")</f>
        <v>Marketing</v>
      </c>
    </row>
    <row r="152" spans="1:6" x14ac:dyDescent="0.25">
      <c r="A152" t="s">
        <v>5211</v>
      </c>
      <c r="B152" t="s">
        <v>5100</v>
      </c>
      <c r="C152">
        <v>2024</v>
      </c>
      <c r="D152" s="1">
        <v>4066.3</v>
      </c>
      <c r="E152" t="str">
        <f>_xlfn.XLOOKUP(B152,tblAssets[AssetID],tblAssets[AssetName],"Unmapped")</f>
        <v>Computer Equipment 2</v>
      </c>
      <c r="F152" t="str">
        <f>_xlfn.XLOOKUP(B152,tblAssets[AssetID],tblAssets[Department],"Unmapped")</f>
        <v>HR</v>
      </c>
    </row>
    <row r="153" spans="1:6" x14ac:dyDescent="0.25">
      <c r="A153" t="s">
        <v>5217</v>
      </c>
      <c r="B153" t="s">
        <v>5102</v>
      </c>
      <c r="C153">
        <v>2024</v>
      </c>
      <c r="D153" s="1">
        <v>7936.54</v>
      </c>
      <c r="E153" t="str">
        <f>_xlfn.XLOOKUP(B153,tblAssets[AssetID],tblAssets[AssetName],"Unmapped")</f>
        <v>Computer Equipment 3</v>
      </c>
      <c r="F153" t="str">
        <f>_xlfn.XLOOKUP(B153,tblAssets[AssetID],tblAssets[Department],"Unmapped")</f>
        <v>IT</v>
      </c>
    </row>
    <row r="154" spans="1:6" x14ac:dyDescent="0.25">
      <c r="A154" t="s">
        <v>5222</v>
      </c>
      <c r="B154" t="s">
        <v>5104</v>
      </c>
      <c r="C154">
        <v>2024</v>
      </c>
      <c r="D154" s="1">
        <v>1861.96</v>
      </c>
      <c r="E154" t="str">
        <f>_xlfn.XLOOKUP(B154,tblAssets[AssetID],tblAssets[AssetName],"Unmapped")</f>
        <v>Vehicles 4</v>
      </c>
      <c r="F154" t="str">
        <f>_xlfn.XLOOKUP(B154,tblAssets[AssetID],tblAssets[Department],"Unmapped")</f>
        <v>Production</v>
      </c>
    </row>
    <row r="155" spans="1:6" x14ac:dyDescent="0.25">
      <c r="A155" t="s">
        <v>5230</v>
      </c>
      <c r="B155" t="s">
        <v>5106</v>
      </c>
      <c r="C155">
        <v>2024</v>
      </c>
      <c r="D155" s="1">
        <v>11123.94</v>
      </c>
      <c r="E155" t="str">
        <f>_xlfn.XLOOKUP(B155,tblAssets[AssetID],tblAssets[AssetName],"Unmapped")</f>
        <v>Computer Equipment 5</v>
      </c>
      <c r="F155" t="str">
        <f>_xlfn.XLOOKUP(B155,tblAssets[AssetID],tblAssets[Department],"Unmapped")</f>
        <v>Sales</v>
      </c>
    </row>
    <row r="156" spans="1:6" x14ac:dyDescent="0.25">
      <c r="A156" t="s">
        <v>5235</v>
      </c>
      <c r="B156" t="s">
        <v>5108</v>
      </c>
      <c r="C156">
        <v>2024</v>
      </c>
      <c r="D156" s="1">
        <v>14419.26</v>
      </c>
      <c r="E156" t="str">
        <f>_xlfn.XLOOKUP(B156,tblAssets[AssetID],tblAssets[AssetName],"Unmapped")</f>
        <v>Computer Equipment 6</v>
      </c>
      <c r="F156" t="str">
        <f>_xlfn.XLOOKUP(B156,tblAssets[AssetID],tblAssets[Department],"Unmapped")</f>
        <v>Sales</v>
      </c>
    </row>
    <row r="157" spans="1:6" x14ac:dyDescent="0.25">
      <c r="A157" t="s">
        <v>5240</v>
      </c>
      <c r="B157" t="s">
        <v>5110</v>
      </c>
      <c r="C157">
        <v>2024</v>
      </c>
      <c r="D157" s="1">
        <v>7198.51</v>
      </c>
      <c r="E157" t="str">
        <f>_xlfn.XLOOKUP(B157,tblAssets[AssetID],tblAssets[AssetName],"Unmapped")</f>
        <v>Vehicles 7</v>
      </c>
      <c r="F157" t="str">
        <f>_xlfn.XLOOKUP(B157,tblAssets[AssetID],tblAssets[Department],"Unmapped")</f>
        <v>HR</v>
      </c>
    </row>
    <row r="158" spans="1:6" x14ac:dyDescent="0.25">
      <c r="A158" t="s">
        <v>5249</v>
      </c>
      <c r="B158" t="s">
        <v>5112</v>
      </c>
      <c r="C158">
        <v>2024</v>
      </c>
      <c r="D158" s="1">
        <v>1798.04</v>
      </c>
      <c r="E158" t="str">
        <f>_xlfn.XLOOKUP(B158,tblAssets[AssetID],tblAssets[AssetName],"Unmapped")</f>
        <v>Production Machinery 8</v>
      </c>
      <c r="F158" t="str">
        <f>_xlfn.XLOOKUP(B158,tblAssets[AssetID],tblAssets[Department],"Unmapped")</f>
        <v>Sales</v>
      </c>
    </row>
    <row r="159" spans="1:6" x14ac:dyDescent="0.25">
      <c r="A159" t="s">
        <v>5254</v>
      </c>
      <c r="B159" t="s">
        <v>5114</v>
      </c>
      <c r="C159">
        <v>2024</v>
      </c>
      <c r="D159" s="1">
        <v>7632</v>
      </c>
      <c r="E159" t="str">
        <f>_xlfn.XLOOKUP(B159,tblAssets[AssetID],tblAssets[AssetName],"Unmapped")</f>
        <v>Vehicles 9</v>
      </c>
      <c r="F159" t="str">
        <f>_xlfn.XLOOKUP(B159,tblAssets[AssetID],tblAssets[Department],"Unmapped")</f>
        <v>Marketing</v>
      </c>
    </row>
    <row r="160" spans="1:6" x14ac:dyDescent="0.25">
      <c r="A160" t="s">
        <v>5262</v>
      </c>
      <c r="B160" t="s">
        <v>5116</v>
      </c>
      <c r="C160">
        <v>2024</v>
      </c>
      <c r="D160" s="1">
        <v>2489.52</v>
      </c>
      <c r="E160" t="str">
        <f>_xlfn.XLOOKUP(B160,tblAssets[AssetID],tblAssets[AssetName],"Unmapped")</f>
        <v>Vehicles 10</v>
      </c>
      <c r="F160" t="str">
        <f>_xlfn.XLOOKUP(B160,tblAssets[AssetID],tblAssets[Department],"Unmapped")</f>
        <v>Production</v>
      </c>
    </row>
    <row r="161" spans="1:6" x14ac:dyDescent="0.25">
      <c r="A161" t="s">
        <v>5270</v>
      </c>
      <c r="B161" t="s">
        <v>5118</v>
      </c>
      <c r="C161">
        <v>2024</v>
      </c>
      <c r="D161" s="1">
        <v>4983.3900000000003</v>
      </c>
      <c r="E161" t="str">
        <f>_xlfn.XLOOKUP(B161,tblAssets[AssetID],tblAssets[AssetName],"Unmapped")</f>
        <v>Office Furniture 11</v>
      </c>
      <c r="F161" t="str">
        <f>_xlfn.XLOOKUP(B161,tblAssets[AssetID],tblAssets[Department],"Unmapped")</f>
        <v>Marketing</v>
      </c>
    </row>
    <row r="162" spans="1:6" x14ac:dyDescent="0.25">
      <c r="A162" t="s">
        <v>5274</v>
      </c>
      <c r="B162" t="s">
        <v>5120</v>
      </c>
      <c r="C162">
        <v>2024</v>
      </c>
      <c r="D162" s="1">
        <v>3498.99</v>
      </c>
      <c r="E162" t="str">
        <f>_xlfn.XLOOKUP(B162,tblAssets[AssetID],tblAssets[AssetName],"Unmapped")</f>
        <v>Computer Equipment 12</v>
      </c>
      <c r="F162" t="str">
        <f>_xlfn.XLOOKUP(B162,tblAssets[AssetID],tblAssets[Department],"Unmapped")</f>
        <v>Sales</v>
      </c>
    </row>
    <row r="163" spans="1:6" x14ac:dyDescent="0.25">
      <c r="A163" t="s">
        <v>5285</v>
      </c>
      <c r="B163" t="s">
        <v>5122</v>
      </c>
      <c r="C163">
        <v>2024</v>
      </c>
      <c r="D163" s="1">
        <v>5087.33</v>
      </c>
      <c r="E163" t="str">
        <f>_xlfn.XLOOKUP(B163,tblAssets[AssetID],tblAssets[AssetName],"Unmapped")</f>
        <v>Computer Equipment 13</v>
      </c>
      <c r="F163" t="str">
        <f>_xlfn.XLOOKUP(B163,tblAssets[AssetID],tblAssets[Department],"Unmapped")</f>
        <v>Production</v>
      </c>
    </row>
    <row r="164" spans="1:6" x14ac:dyDescent="0.25">
      <c r="A164" t="s">
        <v>5291</v>
      </c>
      <c r="B164" t="s">
        <v>5124</v>
      </c>
      <c r="C164">
        <v>2024</v>
      </c>
      <c r="D164" s="1">
        <v>13509.01</v>
      </c>
      <c r="E164" t="str">
        <f>_xlfn.XLOOKUP(B164,tblAssets[AssetID],tblAssets[AssetName],"Unmapped")</f>
        <v>Production Machinery 14</v>
      </c>
      <c r="F164" t="str">
        <f>_xlfn.XLOOKUP(B164,tblAssets[AssetID],tblAssets[Department],"Unmapped")</f>
        <v>Marketing</v>
      </c>
    </row>
    <row r="165" spans="1:6" x14ac:dyDescent="0.25">
      <c r="A165" t="s">
        <v>5295</v>
      </c>
      <c r="B165" t="s">
        <v>5126</v>
      </c>
      <c r="C165">
        <v>2024</v>
      </c>
      <c r="D165" s="1">
        <v>1841.23</v>
      </c>
      <c r="E165" t="str">
        <f>_xlfn.XLOOKUP(B165,tblAssets[AssetID],tblAssets[AssetName],"Unmapped")</f>
        <v>Computer Equipment 15</v>
      </c>
      <c r="F165" t="str">
        <f>_xlfn.XLOOKUP(B165,tblAssets[AssetID],tblAssets[Department],"Unmapped")</f>
        <v>Finance</v>
      </c>
    </row>
    <row r="166" spans="1:6" x14ac:dyDescent="0.25">
      <c r="A166" t="s">
        <v>5307</v>
      </c>
      <c r="B166" t="s">
        <v>5128</v>
      </c>
      <c r="C166">
        <v>2024</v>
      </c>
      <c r="D166" s="1">
        <v>1273.0899999999999</v>
      </c>
      <c r="E166" t="str">
        <f>_xlfn.XLOOKUP(B166,tblAssets[AssetID],tblAssets[AssetName],"Unmapped")</f>
        <v>Office Furniture 16</v>
      </c>
      <c r="F166" t="str">
        <f>_xlfn.XLOOKUP(B166,tblAssets[AssetID],tblAssets[Department],"Unmapped")</f>
        <v>HR</v>
      </c>
    </row>
    <row r="167" spans="1:6" x14ac:dyDescent="0.25">
      <c r="A167" t="s">
        <v>5315</v>
      </c>
      <c r="B167" t="s">
        <v>5130</v>
      </c>
      <c r="C167">
        <v>2024</v>
      </c>
      <c r="D167" s="1">
        <v>6346.8</v>
      </c>
      <c r="E167" t="str">
        <f>_xlfn.XLOOKUP(B167,tblAssets[AssetID],tblAssets[AssetName],"Unmapped")</f>
        <v>Office Furniture 17</v>
      </c>
      <c r="F167" t="str">
        <f>_xlfn.XLOOKUP(B167,tblAssets[AssetID],tblAssets[Department],"Unmapped")</f>
        <v>IT</v>
      </c>
    </row>
    <row r="168" spans="1:6" x14ac:dyDescent="0.25">
      <c r="A168" t="s">
        <v>5327</v>
      </c>
      <c r="B168" t="s">
        <v>5132</v>
      </c>
      <c r="C168">
        <v>2024</v>
      </c>
      <c r="D168" s="1">
        <v>6355.56</v>
      </c>
      <c r="E168" t="str">
        <f>_xlfn.XLOOKUP(B168,tblAssets[AssetID],tblAssets[AssetName],"Unmapped")</f>
        <v>Office Furniture 18</v>
      </c>
      <c r="F168" t="str">
        <f>_xlfn.XLOOKUP(B168,tblAssets[AssetID],tblAssets[Department],"Unmapped")</f>
        <v>Production</v>
      </c>
    </row>
    <row r="169" spans="1:6" x14ac:dyDescent="0.25">
      <c r="A169" t="s">
        <v>5336</v>
      </c>
      <c r="B169" t="s">
        <v>5134</v>
      </c>
      <c r="C169">
        <v>2024</v>
      </c>
      <c r="D169" s="1">
        <v>14957.47</v>
      </c>
      <c r="E169" t="str">
        <f>_xlfn.XLOOKUP(B169,tblAssets[AssetID],tblAssets[AssetName],"Unmapped")</f>
        <v>Production Machinery 19</v>
      </c>
      <c r="F169" t="str">
        <f>_xlfn.XLOOKUP(B169,tblAssets[AssetID],tblAssets[Department],"Unmapped")</f>
        <v>HR</v>
      </c>
    </row>
    <row r="170" spans="1:6" x14ac:dyDescent="0.25">
      <c r="A170" t="s">
        <v>5342</v>
      </c>
      <c r="B170" t="s">
        <v>5136</v>
      </c>
      <c r="C170">
        <v>2024</v>
      </c>
      <c r="D170" s="1">
        <v>10530.88</v>
      </c>
      <c r="E170" t="str">
        <f>_xlfn.XLOOKUP(B170,tblAssets[AssetID],tblAssets[AssetName],"Unmapped")</f>
        <v>Computer Equipment 20</v>
      </c>
      <c r="F170" t="str">
        <f>_xlfn.XLOOKUP(B170,tblAssets[AssetID],tblAssets[Department],"Unmapped")</f>
        <v>Finance</v>
      </c>
    </row>
    <row r="171" spans="1:6" x14ac:dyDescent="0.25">
      <c r="A171" t="s">
        <v>5346</v>
      </c>
      <c r="B171" t="s">
        <v>5138</v>
      </c>
      <c r="C171">
        <v>2024</v>
      </c>
      <c r="D171" s="1">
        <v>6435.33</v>
      </c>
      <c r="E171" t="str">
        <f>_xlfn.XLOOKUP(B171,tblAssets[AssetID],tblAssets[AssetName],"Unmapped")</f>
        <v>Computer Equipment 21</v>
      </c>
      <c r="F171" t="str">
        <f>_xlfn.XLOOKUP(B171,tblAssets[AssetID],tblAssets[Department],"Unmapped")</f>
        <v>IT</v>
      </c>
    </row>
    <row r="172" spans="1:6" x14ac:dyDescent="0.25">
      <c r="A172" t="s">
        <v>5357</v>
      </c>
      <c r="B172" t="s">
        <v>5140</v>
      </c>
      <c r="C172">
        <v>2024</v>
      </c>
      <c r="D172" s="1">
        <v>6522.45</v>
      </c>
      <c r="E172" t="str">
        <f>_xlfn.XLOOKUP(B172,tblAssets[AssetID],tblAssets[AssetName],"Unmapped")</f>
        <v>Production Machinery 22</v>
      </c>
      <c r="F172" t="str">
        <f>_xlfn.XLOOKUP(B172,tblAssets[AssetID],tblAssets[Department],"Unmapped")</f>
        <v>Marketing</v>
      </c>
    </row>
    <row r="173" spans="1:6" x14ac:dyDescent="0.25">
      <c r="A173" t="s">
        <v>5360</v>
      </c>
      <c r="B173" t="s">
        <v>5142</v>
      </c>
      <c r="C173">
        <v>2024</v>
      </c>
      <c r="D173" s="1">
        <v>6882.27</v>
      </c>
      <c r="E173" t="str">
        <f>_xlfn.XLOOKUP(B173,tblAssets[AssetID],tblAssets[AssetName],"Unmapped")</f>
        <v>Computer Equipment 23</v>
      </c>
      <c r="F173" t="str">
        <f>_xlfn.XLOOKUP(B173,tblAssets[AssetID],tblAssets[Department],"Unmapped")</f>
        <v>Production</v>
      </c>
    </row>
    <row r="174" spans="1:6" x14ac:dyDescent="0.25">
      <c r="A174" t="s">
        <v>5366</v>
      </c>
      <c r="B174" t="s">
        <v>5144</v>
      </c>
      <c r="C174">
        <v>2024</v>
      </c>
      <c r="D174" s="1">
        <v>10616.17</v>
      </c>
      <c r="E174" t="str">
        <f>_xlfn.XLOOKUP(B174,tblAssets[AssetID],tblAssets[AssetName],"Unmapped")</f>
        <v>Computer Equipment 24</v>
      </c>
      <c r="F174" t="str">
        <f>_xlfn.XLOOKUP(B174,tblAssets[AssetID],tblAssets[Department],"Unmapped")</f>
        <v>Finance</v>
      </c>
    </row>
    <row r="175" spans="1:6" x14ac:dyDescent="0.25">
      <c r="A175" t="s">
        <v>5370</v>
      </c>
      <c r="B175" t="s">
        <v>5146</v>
      </c>
      <c r="C175">
        <v>2024</v>
      </c>
      <c r="D175" s="1">
        <v>5388.28</v>
      </c>
      <c r="E175" t="str">
        <f>_xlfn.XLOOKUP(B175,tblAssets[AssetID],tblAssets[AssetName],"Unmapped")</f>
        <v>Vehicles 25</v>
      </c>
      <c r="F175" t="str">
        <f>_xlfn.XLOOKUP(B175,tblAssets[AssetID],tblAssets[Department],"Unmapped")</f>
        <v>Production</v>
      </c>
    </row>
    <row r="176" spans="1:6" x14ac:dyDescent="0.25">
      <c r="A176" t="s">
        <v>5380</v>
      </c>
      <c r="B176" t="s">
        <v>5148</v>
      </c>
      <c r="C176">
        <v>2024</v>
      </c>
      <c r="D176" s="1">
        <v>5348.91</v>
      </c>
      <c r="E176" t="str">
        <f>_xlfn.XLOOKUP(B176,tblAssets[AssetID],tblAssets[AssetName],"Unmapped")</f>
        <v>Vehicles 26</v>
      </c>
      <c r="F176" t="str">
        <f>_xlfn.XLOOKUP(B176,tblAssets[AssetID],tblAssets[Department],"Unmapped")</f>
        <v>Production</v>
      </c>
    </row>
    <row r="177" spans="1:6" x14ac:dyDescent="0.25">
      <c r="A177" t="s">
        <v>5389</v>
      </c>
      <c r="B177" t="s">
        <v>5150</v>
      </c>
      <c r="C177">
        <v>2024</v>
      </c>
      <c r="D177" s="1">
        <v>1511.11</v>
      </c>
      <c r="E177" t="str">
        <f>_xlfn.XLOOKUP(B177,tblAssets[AssetID],tblAssets[AssetName],"Unmapped")</f>
        <v>Vehicles 27</v>
      </c>
      <c r="F177" t="str">
        <f>_xlfn.XLOOKUP(B177,tblAssets[AssetID],tblAssets[Department],"Unmapped")</f>
        <v>IT</v>
      </c>
    </row>
    <row r="178" spans="1:6" x14ac:dyDescent="0.25">
      <c r="A178" t="s">
        <v>5394</v>
      </c>
      <c r="B178" t="s">
        <v>5152</v>
      </c>
      <c r="C178">
        <v>2024</v>
      </c>
      <c r="D178" s="1">
        <v>3713.23</v>
      </c>
      <c r="E178" t="str">
        <f>_xlfn.XLOOKUP(B178,tblAssets[AssetID],tblAssets[AssetName],"Unmapped")</f>
        <v>Vehicles 28</v>
      </c>
      <c r="F178" t="str">
        <f>_xlfn.XLOOKUP(B178,tblAssets[AssetID],tblAssets[Department],"Unmapped")</f>
        <v>Finance</v>
      </c>
    </row>
    <row r="179" spans="1:6" x14ac:dyDescent="0.25">
      <c r="A179" t="s">
        <v>5401</v>
      </c>
      <c r="B179" t="s">
        <v>5154</v>
      </c>
      <c r="C179">
        <v>2024</v>
      </c>
      <c r="D179" s="1">
        <v>7398.9</v>
      </c>
      <c r="E179" t="str">
        <f>_xlfn.XLOOKUP(B179,tblAssets[AssetID],tblAssets[AssetName],"Unmapped")</f>
        <v>Office Furniture 29</v>
      </c>
      <c r="F179" t="str">
        <f>_xlfn.XLOOKUP(B179,tblAssets[AssetID],tblAssets[Department],"Unmapped")</f>
        <v>Production</v>
      </c>
    </row>
    <row r="180" spans="1:6" x14ac:dyDescent="0.25">
      <c r="A180" t="s">
        <v>5409</v>
      </c>
      <c r="B180" t="s">
        <v>5156</v>
      </c>
      <c r="C180">
        <v>2024</v>
      </c>
      <c r="D180" s="1">
        <v>8388.6</v>
      </c>
      <c r="E180" t="str">
        <f>_xlfn.XLOOKUP(B180,tblAssets[AssetID],tblAssets[AssetName],"Unmapped")</f>
        <v>Production Machinery 30</v>
      </c>
      <c r="F180" t="str">
        <f>_xlfn.XLOOKUP(B180,tblAssets[AssetID],tblAssets[Department],"Unmapped")</f>
        <v>Finance</v>
      </c>
    </row>
    <row r="181" spans="1:6" x14ac:dyDescent="0.25">
      <c r="A181" t="s">
        <v>5418</v>
      </c>
      <c r="B181" t="s">
        <v>5158</v>
      </c>
      <c r="C181">
        <v>2024</v>
      </c>
      <c r="D181" s="1">
        <v>10204.549999999999</v>
      </c>
      <c r="E181" t="str">
        <f>_xlfn.XLOOKUP(B181,tblAssets[AssetID],tblAssets[AssetName],"Unmapped")</f>
        <v>Vehicles 31</v>
      </c>
      <c r="F181" t="str">
        <f>_xlfn.XLOOKUP(B181,tblAssets[AssetID],tblAssets[Department],"Unmapped")</f>
        <v>Production</v>
      </c>
    </row>
    <row r="182" spans="1:6" x14ac:dyDescent="0.25">
      <c r="A182" t="s">
        <v>5425</v>
      </c>
      <c r="B182" t="s">
        <v>5160</v>
      </c>
      <c r="C182">
        <v>2024</v>
      </c>
      <c r="D182" s="1">
        <v>6444.51</v>
      </c>
      <c r="E182" t="str">
        <f>_xlfn.XLOOKUP(B182,tblAssets[AssetID],tblAssets[AssetName],"Unmapped")</f>
        <v>Production Machinery 32</v>
      </c>
      <c r="F182" t="str">
        <f>_xlfn.XLOOKUP(B182,tblAssets[AssetID],tblAssets[Department],"Unmapped")</f>
        <v>HR</v>
      </c>
    </row>
    <row r="183" spans="1:6" x14ac:dyDescent="0.25">
      <c r="A183" t="s">
        <v>5433</v>
      </c>
      <c r="B183" t="s">
        <v>5162</v>
      </c>
      <c r="C183">
        <v>2024</v>
      </c>
      <c r="D183" s="1">
        <v>2984.72</v>
      </c>
      <c r="E183" t="str">
        <f>_xlfn.XLOOKUP(B183,tblAssets[AssetID],tblAssets[AssetName],"Unmapped")</f>
        <v>Production Machinery 33</v>
      </c>
      <c r="F183" t="str">
        <f>_xlfn.XLOOKUP(B183,tblAssets[AssetID],tblAssets[Department],"Unmapped")</f>
        <v>IT</v>
      </c>
    </row>
    <row r="184" spans="1:6" x14ac:dyDescent="0.25">
      <c r="A184" t="s">
        <v>5443</v>
      </c>
      <c r="B184" t="s">
        <v>5164</v>
      </c>
      <c r="C184">
        <v>2024</v>
      </c>
      <c r="D184" s="1">
        <v>7296.53</v>
      </c>
      <c r="E184" t="str">
        <f>_xlfn.XLOOKUP(B184,tblAssets[AssetID],tblAssets[AssetName],"Unmapped")</f>
        <v>Production Machinery 34</v>
      </c>
      <c r="F184" t="str">
        <f>_xlfn.XLOOKUP(B184,tblAssets[AssetID],tblAssets[Department],"Unmapped")</f>
        <v>Finance</v>
      </c>
    </row>
    <row r="185" spans="1:6" x14ac:dyDescent="0.25">
      <c r="A185" t="s">
        <v>5455</v>
      </c>
      <c r="B185" t="s">
        <v>5166</v>
      </c>
      <c r="C185">
        <v>2024</v>
      </c>
      <c r="D185" s="1">
        <v>3250.63</v>
      </c>
      <c r="E185" t="str">
        <f>_xlfn.XLOOKUP(B185,tblAssets[AssetID],tblAssets[AssetName],"Unmapped")</f>
        <v>Office Furniture 35</v>
      </c>
      <c r="F185" t="str">
        <f>_xlfn.XLOOKUP(B185,tblAssets[AssetID],tblAssets[Department],"Unmapped")</f>
        <v>Sales</v>
      </c>
    </row>
    <row r="186" spans="1:6" x14ac:dyDescent="0.25">
      <c r="A186" t="s">
        <v>5460</v>
      </c>
      <c r="B186" t="s">
        <v>5168</v>
      </c>
      <c r="C186">
        <v>2024</v>
      </c>
      <c r="D186" s="1">
        <v>9677.7900000000009</v>
      </c>
      <c r="E186" t="str">
        <f>_xlfn.XLOOKUP(B186,tblAssets[AssetID],tblAssets[AssetName],"Unmapped")</f>
        <v>Computer Equipment 36</v>
      </c>
      <c r="F186" t="str">
        <f>_xlfn.XLOOKUP(B186,tblAssets[AssetID],tblAssets[Department],"Unmapped")</f>
        <v>IT</v>
      </c>
    </row>
    <row r="187" spans="1:6" x14ac:dyDescent="0.25">
      <c r="A187" t="s">
        <v>5468</v>
      </c>
      <c r="B187" t="s">
        <v>5170</v>
      </c>
      <c r="C187">
        <v>2024</v>
      </c>
      <c r="D187" s="1">
        <v>5350.76</v>
      </c>
      <c r="E187" t="str">
        <f>_xlfn.XLOOKUP(B187,tblAssets[AssetID],tblAssets[AssetName],"Unmapped")</f>
        <v>Production Machinery 37</v>
      </c>
      <c r="F187" t="str">
        <f>_xlfn.XLOOKUP(B187,tblAssets[AssetID],tblAssets[Department],"Unmapped")</f>
        <v>HR</v>
      </c>
    </row>
    <row r="188" spans="1:6" x14ac:dyDescent="0.25">
      <c r="A188" t="s">
        <v>5476</v>
      </c>
      <c r="B188" t="s">
        <v>5172</v>
      </c>
      <c r="C188">
        <v>2024</v>
      </c>
      <c r="D188" s="1">
        <v>11964.73</v>
      </c>
      <c r="E188" t="str">
        <f>_xlfn.XLOOKUP(B188,tblAssets[AssetID],tblAssets[AssetName],"Unmapped")</f>
        <v>Vehicles 38</v>
      </c>
      <c r="F188" t="str">
        <f>_xlfn.XLOOKUP(B188,tblAssets[AssetID],tblAssets[Department],"Unmapped")</f>
        <v>HR</v>
      </c>
    </row>
    <row r="189" spans="1:6" x14ac:dyDescent="0.25">
      <c r="A189" t="s">
        <v>5480</v>
      </c>
      <c r="B189" t="s">
        <v>5174</v>
      </c>
      <c r="C189">
        <v>2024</v>
      </c>
      <c r="D189" s="1">
        <v>5773.33</v>
      </c>
      <c r="E189" t="str">
        <f>_xlfn.XLOOKUP(B189,tblAssets[AssetID],tblAssets[AssetName],"Unmapped")</f>
        <v>Production Machinery 39</v>
      </c>
      <c r="F189" t="str">
        <f>_xlfn.XLOOKUP(B189,tblAssets[AssetID],tblAssets[Department],"Unmapped")</f>
        <v>Sales</v>
      </c>
    </row>
    <row r="190" spans="1:6" x14ac:dyDescent="0.25">
      <c r="A190" t="s">
        <v>5486</v>
      </c>
      <c r="B190" t="s">
        <v>5176</v>
      </c>
      <c r="C190">
        <v>2024</v>
      </c>
      <c r="D190" s="1">
        <v>2617.8000000000002</v>
      </c>
      <c r="E190" t="str">
        <f>_xlfn.XLOOKUP(B190,tblAssets[AssetID],tblAssets[AssetName],"Unmapped")</f>
        <v>Computer Equipment 40</v>
      </c>
      <c r="F190" t="str">
        <f>_xlfn.XLOOKUP(B190,tblAssets[AssetID],tblAssets[Department],"Unmapped")</f>
        <v>Production</v>
      </c>
    </row>
    <row r="191" spans="1:6" x14ac:dyDescent="0.25">
      <c r="A191" t="s">
        <v>5493</v>
      </c>
      <c r="B191" t="s">
        <v>5178</v>
      </c>
      <c r="C191">
        <v>2024</v>
      </c>
      <c r="D191" s="1">
        <v>4170.88</v>
      </c>
      <c r="E191" t="str">
        <f>_xlfn.XLOOKUP(B191,tblAssets[AssetID],tblAssets[AssetName],"Unmapped")</f>
        <v>Vehicles 41</v>
      </c>
      <c r="F191" t="str">
        <f>_xlfn.XLOOKUP(B191,tblAssets[AssetID],tblAssets[Department],"Unmapped")</f>
        <v>HR</v>
      </c>
    </row>
    <row r="192" spans="1:6" x14ac:dyDescent="0.25">
      <c r="A192" t="s">
        <v>5503</v>
      </c>
      <c r="B192" t="s">
        <v>5180</v>
      </c>
      <c r="C192">
        <v>2024</v>
      </c>
      <c r="D192" s="1">
        <v>874.44</v>
      </c>
      <c r="E192" t="str">
        <f>_xlfn.XLOOKUP(B192,tblAssets[AssetID],tblAssets[AssetName],"Unmapped")</f>
        <v>Vehicles 42</v>
      </c>
      <c r="F192" t="str">
        <f>_xlfn.XLOOKUP(B192,tblAssets[AssetID],tblAssets[Department],"Unmapped")</f>
        <v>IT</v>
      </c>
    </row>
    <row r="193" spans="1:6" x14ac:dyDescent="0.25">
      <c r="A193" t="s">
        <v>5514</v>
      </c>
      <c r="B193" t="s">
        <v>5182</v>
      </c>
      <c r="C193">
        <v>2024</v>
      </c>
      <c r="D193" s="1">
        <v>4856.75</v>
      </c>
      <c r="E193" t="str">
        <f>_xlfn.XLOOKUP(B193,tblAssets[AssetID],tblAssets[AssetName],"Unmapped")</f>
        <v>Computer Equipment 43</v>
      </c>
      <c r="F193" t="str">
        <f>_xlfn.XLOOKUP(B193,tblAssets[AssetID],tblAssets[Department],"Unmapped")</f>
        <v>Marketing</v>
      </c>
    </row>
    <row r="194" spans="1:6" x14ac:dyDescent="0.25">
      <c r="A194" t="s">
        <v>5525</v>
      </c>
      <c r="B194" t="s">
        <v>5184</v>
      </c>
      <c r="C194">
        <v>2024</v>
      </c>
      <c r="D194" s="1">
        <v>5356.79</v>
      </c>
      <c r="E194" t="str">
        <f>_xlfn.XLOOKUP(B194,tblAssets[AssetID],tblAssets[AssetName],"Unmapped")</f>
        <v>Vehicles 44</v>
      </c>
      <c r="F194" t="str">
        <f>_xlfn.XLOOKUP(B194,tblAssets[AssetID],tblAssets[Department],"Unmapped")</f>
        <v>IT</v>
      </c>
    </row>
    <row r="195" spans="1:6" x14ac:dyDescent="0.25">
      <c r="A195" t="s">
        <v>5530</v>
      </c>
      <c r="B195" t="s">
        <v>5186</v>
      </c>
      <c r="C195">
        <v>2024</v>
      </c>
      <c r="D195" s="1">
        <v>1986.7</v>
      </c>
      <c r="E195" t="str">
        <f>_xlfn.XLOOKUP(B195,tblAssets[AssetID],tblAssets[AssetName],"Unmapped")</f>
        <v>Computer Equipment 45</v>
      </c>
      <c r="F195" t="str">
        <f>_xlfn.XLOOKUP(B195,tblAssets[AssetID],tblAssets[Department],"Unmapped")</f>
        <v>IT</v>
      </c>
    </row>
    <row r="196" spans="1:6" x14ac:dyDescent="0.25">
      <c r="A196" t="s">
        <v>5542</v>
      </c>
      <c r="B196" t="s">
        <v>5188</v>
      </c>
      <c r="C196">
        <v>2024</v>
      </c>
      <c r="D196" s="1">
        <v>9026.6</v>
      </c>
      <c r="E196" t="str">
        <f>_xlfn.XLOOKUP(B196,tblAssets[AssetID],tblAssets[AssetName],"Unmapped")</f>
        <v>Production Machinery 46</v>
      </c>
      <c r="F196" t="str">
        <f>_xlfn.XLOOKUP(B196,tblAssets[AssetID],tblAssets[Department],"Unmapped")</f>
        <v>IT</v>
      </c>
    </row>
    <row r="197" spans="1:6" x14ac:dyDescent="0.25">
      <c r="A197" t="s">
        <v>5545</v>
      </c>
      <c r="B197" t="s">
        <v>5190</v>
      </c>
      <c r="C197">
        <v>2024</v>
      </c>
      <c r="D197" s="1">
        <v>1428.05</v>
      </c>
      <c r="E197" t="str">
        <f>_xlfn.XLOOKUP(B197,tblAssets[AssetID],tblAssets[AssetName],"Unmapped")</f>
        <v>Production Machinery 47</v>
      </c>
      <c r="F197" t="str">
        <f>_xlfn.XLOOKUP(B197,tblAssets[AssetID],tblAssets[Department],"Unmapped")</f>
        <v>HR</v>
      </c>
    </row>
    <row r="198" spans="1:6" x14ac:dyDescent="0.25">
      <c r="A198" t="s">
        <v>5557</v>
      </c>
      <c r="B198" t="s">
        <v>5192</v>
      </c>
      <c r="C198">
        <v>2024</v>
      </c>
      <c r="D198" s="1">
        <v>6219.94</v>
      </c>
      <c r="E198" t="str">
        <f>_xlfn.XLOOKUP(B198,tblAssets[AssetID],tblAssets[AssetName],"Unmapped")</f>
        <v>Vehicles 48</v>
      </c>
      <c r="F198" t="str">
        <f>_xlfn.XLOOKUP(B198,tblAssets[AssetID],tblAssets[Department],"Unmapped")</f>
        <v>Sales</v>
      </c>
    </row>
    <row r="199" spans="1:6" x14ac:dyDescent="0.25">
      <c r="A199" t="s">
        <v>5565</v>
      </c>
      <c r="B199" t="s">
        <v>5194</v>
      </c>
      <c r="C199">
        <v>2024</v>
      </c>
      <c r="D199" s="1">
        <v>13043.82</v>
      </c>
      <c r="E199" t="str">
        <f>_xlfn.XLOOKUP(B199,tblAssets[AssetID],tblAssets[AssetName],"Unmapped")</f>
        <v>Office Furniture 49</v>
      </c>
      <c r="F199" t="str">
        <f>_xlfn.XLOOKUP(B199,tblAssets[AssetID],tblAssets[Department],"Unmapped")</f>
        <v>Production</v>
      </c>
    </row>
    <row r="200" spans="1:6" x14ac:dyDescent="0.25">
      <c r="A200" t="s">
        <v>5572</v>
      </c>
      <c r="B200" t="s">
        <v>5196</v>
      </c>
      <c r="C200">
        <v>2024</v>
      </c>
      <c r="D200" s="1">
        <v>1038.93</v>
      </c>
      <c r="E200" t="str">
        <f>_xlfn.XLOOKUP(B200,tblAssets[AssetID],tblAssets[AssetName],"Unmapped")</f>
        <v>Computer Equipment 50</v>
      </c>
      <c r="F200" t="str">
        <f>_xlfn.XLOOKUP(B200,tblAssets[AssetID],tblAssets[Department],"Unmapped")</f>
        <v>Marketing</v>
      </c>
    </row>
    <row r="201" spans="1:6" x14ac:dyDescent="0.25">
      <c r="A201" t="s">
        <v>5206</v>
      </c>
      <c r="B201" t="s">
        <v>5098</v>
      </c>
      <c r="C201">
        <v>2025</v>
      </c>
      <c r="D201" s="1">
        <v>9416.24</v>
      </c>
      <c r="E201" t="str">
        <f>_xlfn.XLOOKUP(B201,tblAssets[AssetID],tblAssets[AssetName],"Unmapped")</f>
        <v>Office Furniture 1</v>
      </c>
      <c r="F201" t="str">
        <f>_xlfn.XLOOKUP(B201,tblAssets[AssetID],tblAssets[Department],"Unmapped")</f>
        <v>Marketing</v>
      </c>
    </row>
    <row r="202" spans="1:6" x14ac:dyDescent="0.25">
      <c r="A202" t="s">
        <v>5212</v>
      </c>
      <c r="B202" t="s">
        <v>5100</v>
      </c>
      <c r="C202">
        <v>2025</v>
      </c>
      <c r="D202" s="1">
        <v>4066.3</v>
      </c>
      <c r="E202" t="str">
        <f>_xlfn.XLOOKUP(B202,tblAssets[AssetID],tblAssets[AssetName],"Unmapped")</f>
        <v>Computer Equipment 2</v>
      </c>
      <c r="F202" t="str">
        <f>_xlfn.XLOOKUP(B202,tblAssets[AssetID],tblAssets[Department],"Unmapped")</f>
        <v>HR</v>
      </c>
    </row>
    <row r="203" spans="1:6" x14ac:dyDescent="0.25">
      <c r="A203" t="s">
        <v>5218</v>
      </c>
      <c r="B203" t="s">
        <v>5102</v>
      </c>
      <c r="C203">
        <v>2025</v>
      </c>
      <c r="D203" s="1">
        <v>7936.54</v>
      </c>
      <c r="E203" t="str">
        <f>_xlfn.XLOOKUP(B203,tblAssets[AssetID],tblAssets[AssetName],"Unmapped")</f>
        <v>Computer Equipment 3</v>
      </c>
      <c r="F203" t="str">
        <f>_xlfn.XLOOKUP(B203,tblAssets[AssetID],tblAssets[Department],"Unmapped")</f>
        <v>IT</v>
      </c>
    </row>
    <row r="204" spans="1:6" x14ac:dyDescent="0.25">
      <c r="A204" t="s">
        <v>5223</v>
      </c>
      <c r="B204" t="s">
        <v>5104</v>
      </c>
      <c r="C204">
        <v>2025</v>
      </c>
      <c r="D204" s="1">
        <v>1861.96</v>
      </c>
      <c r="E204" t="str">
        <f>_xlfn.XLOOKUP(B204,tblAssets[AssetID],tblAssets[AssetName],"Unmapped")</f>
        <v>Vehicles 4</v>
      </c>
      <c r="F204" t="str">
        <f>_xlfn.XLOOKUP(B204,tblAssets[AssetID],tblAssets[Department],"Unmapped")</f>
        <v>Production</v>
      </c>
    </row>
    <row r="205" spans="1:6" x14ac:dyDescent="0.25">
      <c r="A205" t="s">
        <v>5231</v>
      </c>
      <c r="B205" t="s">
        <v>5106</v>
      </c>
      <c r="C205">
        <v>2025</v>
      </c>
      <c r="D205" s="1">
        <v>11123.94</v>
      </c>
      <c r="E205" t="str">
        <f>_xlfn.XLOOKUP(B205,tblAssets[AssetID],tblAssets[AssetName],"Unmapped")</f>
        <v>Computer Equipment 5</v>
      </c>
      <c r="F205" t="str">
        <f>_xlfn.XLOOKUP(B205,tblAssets[AssetID],tblAssets[Department],"Unmapped")</f>
        <v>Sales</v>
      </c>
    </row>
    <row r="206" spans="1:6" x14ac:dyDescent="0.25">
      <c r="A206" t="s">
        <v>5236</v>
      </c>
      <c r="B206" t="s">
        <v>5108</v>
      </c>
      <c r="C206">
        <v>2025</v>
      </c>
      <c r="D206" s="1">
        <v>14419.26</v>
      </c>
      <c r="E206" t="str">
        <f>_xlfn.XLOOKUP(B206,tblAssets[AssetID],tblAssets[AssetName],"Unmapped")</f>
        <v>Computer Equipment 6</v>
      </c>
      <c r="F206" t="str">
        <f>_xlfn.XLOOKUP(B206,tblAssets[AssetID],tblAssets[Department],"Unmapped")</f>
        <v>Sales</v>
      </c>
    </row>
    <row r="207" spans="1:6" x14ac:dyDescent="0.25">
      <c r="A207" t="s">
        <v>5241</v>
      </c>
      <c r="B207" t="s">
        <v>5110</v>
      </c>
      <c r="C207">
        <v>2025</v>
      </c>
      <c r="D207" s="1">
        <v>7198.51</v>
      </c>
      <c r="E207" t="str">
        <f>_xlfn.XLOOKUP(B207,tblAssets[AssetID],tblAssets[AssetName],"Unmapped")</f>
        <v>Vehicles 7</v>
      </c>
      <c r="F207" t="str">
        <f>_xlfn.XLOOKUP(B207,tblAssets[AssetID],tblAssets[Department],"Unmapped")</f>
        <v>HR</v>
      </c>
    </row>
    <row r="208" spans="1:6" x14ac:dyDescent="0.25">
      <c r="A208" t="s">
        <v>5250</v>
      </c>
      <c r="B208" t="s">
        <v>5112</v>
      </c>
      <c r="C208">
        <v>2025</v>
      </c>
      <c r="D208" s="1">
        <v>1798.04</v>
      </c>
      <c r="E208" t="str">
        <f>_xlfn.XLOOKUP(B208,tblAssets[AssetID],tblAssets[AssetName],"Unmapped")</f>
        <v>Production Machinery 8</v>
      </c>
      <c r="F208" t="str">
        <f>_xlfn.XLOOKUP(B208,tblAssets[AssetID],tblAssets[Department],"Unmapped")</f>
        <v>Sales</v>
      </c>
    </row>
    <row r="209" spans="1:6" x14ac:dyDescent="0.25">
      <c r="A209" t="s">
        <v>5255</v>
      </c>
      <c r="B209" t="s">
        <v>5114</v>
      </c>
      <c r="C209">
        <v>2025</v>
      </c>
      <c r="D209" s="1">
        <v>7632</v>
      </c>
      <c r="E209" t="str">
        <f>_xlfn.XLOOKUP(B209,tblAssets[AssetID],tblAssets[AssetName],"Unmapped")</f>
        <v>Vehicles 9</v>
      </c>
      <c r="F209" t="str">
        <f>_xlfn.XLOOKUP(B209,tblAssets[AssetID],tblAssets[Department],"Unmapped")</f>
        <v>Marketing</v>
      </c>
    </row>
    <row r="210" spans="1:6" x14ac:dyDescent="0.25">
      <c r="A210" t="s">
        <v>5263</v>
      </c>
      <c r="B210" t="s">
        <v>5116</v>
      </c>
      <c r="C210">
        <v>2025</v>
      </c>
      <c r="D210" s="1">
        <v>2489.52</v>
      </c>
      <c r="E210" t="str">
        <f>_xlfn.XLOOKUP(B210,tblAssets[AssetID],tblAssets[AssetName],"Unmapped")</f>
        <v>Vehicles 10</v>
      </c>
      <c r="F210" t="str">
        <f>_xlfn.XLOOKUP(B210,tblAssets[AssetID],tblAssets[Department],"Unmapped")</f>
        <v>Production</v>
      </c>
    </row>
    <row r="211" spans="1:6" x14ac:dyDescent="0.25">
      <c r="A211" t="s">
        <v>5275</v>
      </c>
      <c r="B211" t="s">
        <v>5120</v>
      </c>
      <c r="C211">
        <v>2025</v>
      </c>
      <c r="D211" s="1">
        <v>3498.99</v>
      </c>
      <c r="E211" t="str">
        <f>_xlfn.XLOOKUP(B211,tblAssets[AssetID],tblAssets[AssetName],"Unmapped")</f>
        <v>Computer Equipment 12</v>
      </c>
      <c r="F211" t="str">
        <f>_xlfn.XLOOKUP(B211,tblAssets[AssetID],tblAssets[Department],"Unmapped")</f>
        <v>Sales</v>
      </c>
    </row>
    <row r="212" spans="1:6" x14ac:dyDescent="0.25">
      <c r="A212" t="s">
        <v>5286</v>
      </c>
      <c r="B212" t="s">
        <v>5122</v>
      </c>
      <c r="C212">
        <v>2025</v>
      </c>
      <c r="D212" s="1">
        <v>5087.33</v>
      </c>
      <c r="E212" t="str">
        <f>_xlfn.XLOOKUP(B212,tblAssets[AssetID],tblAssets[AssetName],"Unmapped")</f>
        <v>Computer Equipment 13</v>
      </c>
      <c r="F212" t="str">
        <f>_xlfn.XLOOKUP(B212,tblAssets[AssetID],tblAssets[Department],"Unmapped")</f>
        <v>Production</v>
      </c>
    </row>
    <row r="213" spans="1:6" x14ac:dyDescent="0.25">
      <c r="A213" t="s">
        <v>5292</v>
      </c>
      <c r="B213" t="s">
        <v>5124</v>
      </c>
      <c r="C213">
        <v>2025</v>
      </c>
      <c r="D213" s="1">
        <v>13509.01</v>
      </c>
      <c r="E213" t="str">
        <f>_xlfn.XLOOKUP(B213,tblAssets[AssetID],tblAssets[AssetName],"Unmapped")</f>
        <v>Production Machinery 14</v>
      </c>
      <c r="F213" t="str">
        <f>_xlfn.XLOOKUP(B213,tblAssets[AssetID],tblAssets[Department],"Unmapped")</f>
        <v>Marketing</v>
      </c>
    </row>
    <row r="214" spans="1:6" x14ac:dyDescent="0.25">
      <c r="A214" t="s">
        <v>5296</v>
      </c>
      <c r="B214" t="s">
        <v>5126</v>
      </c>
      <c r="C214">
        <v>2025</v>
      </c>
      <c r="D214" s="1">
        <v>1841.23</v>
      </c>
      <c r="E214" t="str">
        <f>_xlfn.XLOOKUP(B214,tblAssets[AssetID],tblAssets[AssetName],"Unmapped")</f>
        <v>Computer Equipment 15</v>
      </c>
      <c r="F214" t="str">
        <f>_xlfn.XLOOKUP(B214,tblAssets[AssetID],tblAssets[Department],"Unmapped")</f>
        <v>Finance</v>
      </c>
    </row>
    <row r="215" spans="1:6" x14ac:dyDescent="0.25">
      <c r="A215" t="s">
        <v>5308</v>
      </c>
      <c r="B215" t="s">
        <v>5128</v>
      </c>
      <c r="C215">
        <v>2025</v>
      </c>
      <c r="D215" s="1">
        <v>1273.0899999999999</v>
      </c>
      <c r="E215" t="str">
        <f>_xlfn.XLOOKUP(B215,tblAssets[AssetID],tblAssets[AssetName],"Unmapped")</f>
        <v>Office Furniture 16</v>
      </c>
      <c r="F215" t="str">
        <f>_xlfn.XLOOKUP(B215,tblAssets[AssetID],tblAssets[Department],"Unmapped")</f>
        <v>HR</v>
      </c>
    </row>
    <row r="216" spans="1:6" x14ac:dyDescent="0.25">
      <c r="A216" t="s">
        <v>5316</v>
      </c>
      <c r="B216" t="s">
        <v>5130</v>
      </c>
      <c r="C216">
        <v>2025</v>
      </c>
      <c r="D216" s="1">
        <v>6346.8</v>
      </c>
      <c r="E216" t="str">
        <f>_xlfn.XLOOKUP(B216,tblAssets[AssetID],tblAssets[AssetName],"Unmapped")</f>
        <v>Office Furniture 17</v>
      </c>
      <c r="F216" t="str">
        <f>_xlfn.XLOOKUP(B216,tblAssets[AssetID],tblAssets[Department],"Unmapped")</f>
        <v>IT</v>
      </c>
    </row>
    <row r="217" spans="1:6" x14ac:dyDescent="0.25">
      <c r="A217" t="s">
        <v>5328</v>
      </c>
      <c r="B217" t="s">
        <v>5132</v>
      </c>
      <c r="C217">
        <v>2025</v>
      </c>
      <c r="D217" s="1">
        <v>6355.56</v>
      </c>
      <c r="E217" t="str">
        <f>_xlfn.XLOOKUP(B217,tblAssets[AssetID],tblAssets[AssetName],"Unmapped")</f>
        <v>Office Furniture 18</v>
      </c>
      <c r="F217" t="str">
        <f>_xlfn.XLOOKUP(B217,tblAssets[AssetID],tblAssets[Department],"Unmapped")</f>
        <v>Production</v>
      </c>
    </row>
    <row r="218" spans="1:6" x14ac:dyDescent="0.25">
      <c r="A218" t="s">
        <v>5337</v>
      </c>
      <c r="B218" t="s">
        <v>5134</v>
      </c>
      <c r="C218">
        <v>2025</v>
      </c>
      <c r="D218" s="1">
        <v>14957.47</v>
      </c>
      <c r="E218" t="str">
        <f>_xlfn.XLOOKUP(B218,tblAssets[AssetID],tblAssets[AssetName],"Unmapped")</f>
        <v>Production Machinery 19</v>
      </c>
      <c r="F218" t="str">
        <f>_xlfn.XLOOKUP(B218,tblAssets[AssetID],tblAssets[Department],"Unmapped")</f>
        <v>HR</v>
      </c>
    </row>
    <row r="219" spans="1:6" x14ac:dyDescent="0.25">
      <c r="A219" t="s">
        <v>5347</v>
      </c>
      <c r="B219" t="s">
        <v>5138</v>
      </c>
      <c r="C219">
        <v>2025</v>
      </c>
      <c r="D219" s="1">
        <v>6435.33</v>
      </c>
      <c r="E219" t="str">
        <f>_xlfn.XLOOKUP(B219,tblAssets[AssetID],tblAssets[AssetName],"Unmapped")</f>
        <v>Computer Equipment 21</v>
      </c>
      <c r="F219" t="str">
        <f>_xlfn.XLOOKUP(B219,tblAssets[AssetID],tblAssets[Department],"Unmapped")</f>
        <v>IT</v>
      </c>
    </row>
    <row r="220" spans="1:6" x14ac:dyDescent="0.25">
      <c r="A220" t="s">
        <v>5361</v>
      </c>
      <c r="B220" t="s">
        <v>5142</v>
      </c>
      <c r="C220">
        <v>2025</v>
      </c>
      <c r="D220" s="1">
        <v>6882.27</v>
      </c>
      <c r="E220" t="str">
        <f>_xlfn.XLOOKUP(B220,tblAssets[AssetID],tblAssets[AssetName],"Unmapped")</f>
        <v>Computer Equipment 23</v>
      </c>
      <c r="F220" t="str">
        <f>_xlfn.XLOOKUP(B220,tblAssets[AssetID],tblAssets[Department],"Unmapped")</f>
        <v>Production</v>
      </c>
    </row>
    <row r="221" spans="1:6" x14ac:dyDescent="0.25">
      <c r="A221" t="s">
        <v>5367</v>
      </c>
      <c r="B221" t="s">
        <v>5144</v>
      </c>
      <c r="C221">
        <v>2025</v>
      </c>
      <c r="D221" s="1">
        <v>10616.17</v>
      </c>
      <c r="E221" t="str">
        <f>_xlfn.XLOOKUP(B221,tblAssets[AssetID],tblAssets[AssetName],"Unmapped")</f>
        <v>Computer Equipment 24</v>
      </c>
      <c r="F221" t="str">
        <f>_xlfn.XLOOKUP(B221,tblAssets[AssetID],tblAssets[Department],"Unmapped")</f>
        <v>Finance</v>
      </c>
    </row>
    <row r="222" spans="1:6" x14ac:dyDescent="0.25">
      <c r="A222" t="s">
        <v>5371</v>
      </c>
      <c r="B222" t="s">
        <v>5146</v>
      </c>
      <c r="C222">
        <v>2025</v>
      </c>
      <c r="D222" s="1">
        <v>5388.28</v>
      </c>
      <c r="E222" t="str">
        <f>_xlfn.XLOOKUP(B222,tblAssets[AssetID],tblAssets[AssetName],"Unmapped")</f>
        <v>Vehicles 25</v>
      </c>
      <c r="F222" t="str">
        <f>_xlfn.XLOOKUP(B222,tblAssets[AssetID],tblAssets[Department],"Unmapped")</f>
        <v>Production</v>
      </c>
    </row>
    <row r="223" spans="1:6" x14ac:dyDescent="0.25">
      <c r="A223" t="s">
        <v>5381</v>
      </c>
      <c r="B223" t="s">
        <v>5148</v>
      </c>
      <c r="C223">
        <v>2025</v>
      </c>
      <c r="D223" s="1">
        <v>5348.91</v>
      </c>
      <c r="E223" t="str">
        <f>_xlfn.XLOOKUP(B223,tblAssets[AssetID],tblAssets[AssetName],"Unmapped")</f>
        <v>Vehicles 26</v>
      </c>
      <c r="F223" t="str">
        <f>_xlfn.XLOOKUP(B223,tblAssets[AssetID],tblAssets[Department],"Unmapped")</f>
        <v>Production</v>
      </c>
    </row>
    <row r="224" spans="1:6" x14ac:dyDescent="0.25">
      <c r="A224" t="s">
        <v>5395</v>
      </c>
      <c r="B224" t="s">
        <v>5152</v>
      </c>
      <c r="C224">
        <v>2025</v>
      </c>
      <c r="D224" s="1">
        <v>3713.23</v>
      </c>
      <c r="E224" t="str">
        <f>_xlfn.XLOOKUP(B224,tblAssets[AssetID],tblAssets[AssetName],"Unmapped")</f>
        <v>Vehicles 28</v>
      </c>
      <c r="F224" t="str">
        <f>_xlfn.XLOOKUP(B224,tblAssets[AssetID],tblAssets[Department],"Unmapped")</f>
        <v>Finance</v>
      </c>
    </row>
    <row r="225" spans="1:6" x14ac:dyDescent="0.25">
      <c r="A225" t="s">
        <v>5402</v>
      </c>
      <c r="B225" t="s">
        <v>5154</v>
      </c>
      <c r="C225">
        <v>2025</v>
      </c>
      <c r="D225" s="1">
        <v>7398.9</v>
      </c>
      <c r="E225" t="str">
        <f>_xlfn.XLOOKUP(B225,tblAssets[AssetID],tblAssets[AssetName],"Unmapped")</f>
        <v>Office Furniture 29</v>
      </c>
      <c r="F225" t="str">
        <f>_xlfn.XLOOKUP(B225,tblAssets[AssetID],tblAssets[Department],"Unmapped")</f>
        <v>Production</v>
      </c>
    </row>
    <row r="226" spans="1:6" x14ac:dyDescent="0.25">
      <c r="A226" t="s">
        <v>5410</v>
      </c>
      <c r="B226" t="s">
        <v>5156</v>
      </c>
      <c r="C226">
        <v>2025</v>
      </c>
      <c r="D226" s="1">
        <v>8388.6</v>
      </c>
      <c r="E226" t="str">
        <f>_xlfn.XLOOKUP(B226,tblAssets[AssetID],tblAssets[AssetName],"Unmapped")</f>
        <v>Production Machinery 30</v>
      </c>
      <c r="F226" t="str">
        <f>_xlfn.XLOOKUP(B226,tblAssets[AssetID],tblAssets[Department],"Unmapped")</f>
        <v>Finance</v>
      </c>
    </row>
    <row r="227" spans="1:6" x14ac:dyDescent="0.25">
      <c r="A227" t="s">
        <v>5419</v>
      </c>
      <c r="B227" t="s">
        <v>5158</v>
      </c>
      <c r="C227">
        <v>2025</v>
      </c>
      <c r="D227" s="1">
        <v>10204.549999999999</v>
      </c>
      <c r="E227" t="str">
        <f>_xlfn.XLOOKUP(B227,tblAssets[AssetID],tblAssets[AssetName],"Unmapped")</f>
        <v>Vehicles 31</v>
      </c>
      <c r="F227" t="str">
        <f>_xlfn.XLOOKUP(B227,tblAssets[AssetID],tblAssets[Department],"Unmapped")</f>
        <v>Production</v>
      </c>
    </row>
    <row r="228" spans="1:6" x14ac:dyDescent="0.25">
      <c r="A228" t="s">
        <v>5426</v>
      </c>
      <c r="B228" t="s">
        <v>5160</v>
      </c>
      <c r="C228">
        <v>2025</v>
      </c>
      <c r="D228" s="1">
        <v>6444.51</v>
      </c>
      <c r="E228" t="str">
        <f>_xlfn.XLOOKUP(B228,tblAssets[AssetID],tblAssets[AssetName],"Unmapped")</f>
        <v>Production Machinery 32</v>
      </c>
      <c r="F228" t="str">
        <f>_xlfn.XLOOKUP(B228,tblAssets[AssetID],tblAssets[Department],"Unmapped")</f>
        <v>HR</v>
      </c>
    </row>
    <row r="229" spans="1:6" x14ac:dyDescent="0.25">
      <c r="A229" t="s">
        <v>5434</v>
      </c>
      <c r="B229" t="s">
        <v>5162</v>
      </c>
      <c r="C229">
        <v>2025</v>
      </c>
      <c r="D229" s="1">
        <v>2984.72</v>
      </c>
      <c r="E229" t="str">
        <f>_xlfn.XLOOKUP(B229,tblAssets[AssetID],tblAssets[AssetName],"Unmapped")</f>
        <v>Production Machinery 33</v>
      </c>
      <c r="F229" t="str">
        <f>_xlfn.XLOOKUP(B229,tblAssets[AssetID],tblAssets[Department],"Unmapped")</f>
        <v>IT</v>
      </c>
    </row>
    <row r="230" spans="1:6" x14ac:dyDescent="0.25">
      <c r="A230" t="s">
        <v>5444</v>
      </c>
      <c r="B230" t="s">
        <v>5164</v>
      </c>
      <c r="C230">
        <v>2025</v>
      </c>
      <c r="D230" s="1">
        <v>7296.53</v>
      </c>
      <c r="E230" t="str">
        <f>_xlfn.XLOOKUP(B230,tblAssets[AssetID],tblAssets[AssetName],"Unmapped")</f>
        <v>Production Machinery 34</v>
      </c>
      <c r="F230" t="str">
        <f>_xlfn.XLOOKUP(B230,tblAssets[AssetID],tblAssets[Department],"Unmapped")</f>
        <v>Finance</v>
      </c>
    </row>
    <row r="231" spans="1:6" x14ac:dyDescent="0.25">
      <c r="A231" t="s">
        <v>5456</v>
      </c>
      <c r="B231" t="s">
        <v>5166</v>
      </c>
      <c r="C231">
        <v>2025</v>
      </c>
      <c r="D231" s="1">
        <v>3250.63</v>
      </c>
      <c r="E231" t="str">
        <f>_xlfn.XLOOKUP(B231,tblAssets[AssetID],tblAssets[AssetName],"Unmapped")</f>
        <v>Office Furniture 35</v>
      </c>
      <c r="F231" t="str">
        <f>_xlfn.XLOOKUP(B231,tblAssets[AssetID],tblAssets[Department],"Unmapped")</f>
        <v>Sales</v>
      </c>
    </row>
    <row r="232" spans="1:6" x14ac:dyDescent="0.25">
      <c r="A232" t="s">
        <v>5461</v>
      </c>
      <c r="B232" t="s">
        <v>5168</v>
      </c>
      <c r="C232">
        <v>2025</v>
      </c>
      <c r="D232" s="1">
        <v>9677.7900000000009</v>
      </c>
      <c r="E232" t="str">
        <f>_xlfn.XLOOKUP(B232,tblAssets[AssetID],tblAssets[AssetName],"Unmapped")</f>
        <v>Computer Equipment 36</v>
      </c>
      <c r="F232" t="str">
        <f>_xlfn.XLOOKUP(B232,tblAssets[AssetID],tblAssets[Department],"Unmapped")</f>
        <v>IT</v>
      </c>
    </row>
    <row r="233" spans="1:6" x14ac:dyDescent="0.25">
      <c r="A233" t="s">
        <v>5469</v>
      </c>
      <c r="B233" t="s">
        <v>5170</v>
      </c>
      <c r="C233">
        <v>2025</v>
      </c>
      <c r="D233" s="1">
        <v>5350.76</v>
      </c>
      <c r="E233" t="str">
        <f>_xlfn.XLOOKUP(B233,tblAssets[AssetID],tblAssets[AssetName],"Unmapped")</f>
        <v>Production Machinery 37</v>
      </c>
      <c r="F233" t="str">
        <f>_xlfn.XLOOKUP(B233,tblAssets[AssetID],tblAssets[Department],"Unmapped")</f>
        <v>HR</v>
      </c>
    </row>
    <row r="234" spans="1:6" x14ac:dyDescent="0.25">
      <c r="A234" t="s">
        <v>5481</v>
      </c>
      <c r="B234" t="s">
        <v>5174</v>
      </c>
      <c r="C234">
        <v>2025</v>
      </c>
      <c r="D234" s="1">
        <v>5773.33</v>
      </c>
      <c r="E234" t="str">
        <f>_xlfn.XLOOKUP(B234,tblAssets[AssetID],tblAssets[AssetName],"Unmapped")</f>
        <v>Production Machinery 39</v>
      </c>
      <c r="F234" t="str">
        <f>_xlfn.XLOOKUP(B234,tblAssets[AssetID],tblAssets[Department],"Unmapped")</f>
        <v>Sales</v>
      </c>
    </row>
    <row r="235" spans="1:6" x14ac:dyDescent="0.25">
      <c r="A235" t="s">
        <v>5487</v>
      </c>
      <c r="B235" t="s">
        <v>5176</v>
      </c>
      <c r="C235">
        <v>2025</v>
      </c>
      <c r="D235" s="1">
        <v>2617.8000000000002</v>
      </c>
      <c r="E235" t="str">
        <f>_xlfn.XLOOKUP(B235,tblAssets[AssetID],tblAssets[AssetName],"Unmapped")</f>
        <v>Computer Equipment 40</v>
      </c>
      <c r="F235" t="str">
        <f>_xlfn.XLOOKUP(B235,tblAssets[AssetID],tblAssets[Department],"Unmapped")</f>
        <v>Production</v>
      </c>
    </row>
    <row r="236" spans="1:6" x14ac:dyDescent="0.25">
      <c r="A236" t="s">
        <v>5494</v>
      </c>
      <c r="B236" t="s">
        <v>5178</v>
      </c>
      <c r="C236">
        <v>2025</v>
      </c>
      <c r="D236" s="1">
        <v>4170.88</v>
      </c>
      <c r="E236" t="str">
        <f>_xlfn.XLOOKUP(B236,tblAssets[AssetID],tblAssets[AssetName],"Unmapped")</f>
        <v>Vehicles 41</v>
      </c>
      <c r="F236" t="str">
        <f>_xlfn.XLOOKUP(B236,tblAssets[AssetID],tblAssets[Department],"Unmapped")</f>
        <v>HR</v>
      </c>
    </row>
    <row r="237" spans="1:6" x14ac:dyDescent="0.25">
      <c r="A237" t="s">
        <v>5504</v>
      </c>
      <c r="B237" t="s">
        <v>5180</v>
      </c>
      <c r="C237">
        <v>2025</v>
      </c>
      <c r="D237" s="1">
        <v>874.44</v>
      </c>
      <c r="E237" t="str">
        <f>_xlfn.XLOOKUP(B237,tblAssets[AssetID],tblAssets[AssetName],"Unmapped")</f>
        <v>Vehicles 42</v>
      </c>
      <c r="F237" t="str">
        <f>_xlfn.XLOOKUP(B237,tblAssets[AssetID],tblAssets[Department],"Unmapped")</f>
        <v>IT</v>
      </c>
    </row>
    <row r="238" spans="1:6" x14ac:dyDescent="0.25">
      <c r="A238" t="s">
        <v>5515</v>
      </c>
      <c r="B238" t="s">
        <v>5182</v>
      </c>
      <c r="C238">
        <v>2025</v>
      </c>
      <c r="D238" s="1">
        <v>4856.75</v>
      </c>
      <c r="E238" t="str">
        <f>_xlfn.XLOOKUP(B238,tblAssets[AssetID],tblAssets[AssetName],"Unmapped")</f>
        <v>Computer Equipment 43</v>
      </c>
      <c r="F238" t="str">
        <f>_xlfn.XLOOKUP(B238,tblAssets[AssetID],tblAssets[Department],"Unmapped")</f>
        <v>Marketing</v>
      </c>
    </row>
    <row r="239" spans="1:6" x14ac:dyDescent="0.25">
      <c r="A239" t="s">
        <v>5526</v>
      </c>
      <c r="B239" t="s">
        <v>5184</v>
      </c>
      <c r="C239">
        <v>2025</v>
      </c>
      <c r="D239" s="1">
        <v>5356.79</v>
      </c>
      <c r="E239" t="str">
        <f>_xlfn.XLOOKUP(B239,tblAssets[AssetID],tblAssets[AssetName],"Unmapped")</f>
        <v>Vehicles 44</v>
      </c>
      <c r="F239" t="str">
        <f>_xlfn.XLOOKUP(B239,tblAssets[AssetID],tblAssets[Department],"Unmapped")</f>
        <v>IT</v>
      </c>
    </row>
    <row r="240" spans="1:6" x14ac:dyDescent="0.25">
      <c r="A240" t="s">
        <v>5531</v>
      </c>
      <c r="B240" t="s">
        <v>5186</v>
      </c>
      <c r="C240">
        <v>2025</v>
      </c>
      <c r="D240" s="1">
        <v>1986.7</v>
      </c>
      <c r="E240" t="str">
        <f>_xlfn.XLOOKUP(B240,tblAssets[AssetID],tblAssets[AssetName],"Unmapped")</f>
        <v>Computer Equipment 45</v>
      </c>
      <c r="F240" t="str">
        <f>_xlfn.XLOOKUP(B240,tblAssets[AssetID],tblAssets[Department],"Unmapped")</f>
        <v>IT</v>
      </c>
    </row>
    <row r="241" spans="1:6" x14ac:dyDescent="0.25">
      <c r="A241" t="s">
        <v>5546</v>
      </c>
      <c r="B241" t="s">
        <v>5190</v>
      </c>
      <c r="C241">
        <v>2025</v>
      </c>
      <c r="D241" s="1">
        <v>1428.05</v>
      </c>
      <c r="E241" t="str">
        <f>_xlfn.XLOOKUP(B241,tblAssets[AssetID],tblAssets[AssetName],"Unmapped")</f>
        <v>Production Machinery 47</v>
      </c>
      <c r="F241" t="str">
        <f>_xlfn.XLOOKUP(B241,tblAssets[AssetID],tblAssets[Department],"Unmapped")</f>
        <v>HR</v>
      </c>
    </row>
    <row r="242" spans="1:6" x14ac:dyDescent="0.25">
      <c r="A242" t="s">
        <v>5558</v>
      </c>
      <c r="B242" t="s">
        <v>5192</v>
      </c>
      <c r="C242">
        <v>2025</v>
      </c>
      <c r="D242" s="1">
        <v>6219.94</v>
      </c>
      <c r="E242" t="str">
        <f>_xlfn.XLOOKUP(B242,tblAssets[AssetID],tblAssets[AssetName],"Unmapped")</f>
        <v>Vehicles 48</v>
      </c>
      <c r="F242" t="str">
        <f>_xlfn.XLOOKUP(B242,tblAssets[AssetID],tblAssets[Department],"Unmapped")</f>
        <v>Sales</v>
      </c>
    </row>
    <row r="243" spans="1:6" x14ac:dyDescent="0.25">
      <c r="A243" t="s">
        <v>5566</v>
      </c>
      <c r="B243" t="s">
        <v>5194</v>
      </c>
      <c r="C243">
        <v>2025</v>
      </c>
      <c r="D243" s="1">
        <v>13043.82</v>
      </c>
      <c r="E243" t="str">
        <f>_xlfn.XLOOKUP(B243,tblAssets[AssetID],tblAssets[AssetName],"Unmapped")</f>
        <v>Office Furniture 49</v>
      </c>
      <c r="F243" t="str">
        <f>_xlfn.XLOOKUP(B243,tblAssets[AssetID],tblAssets[Department],"Unmapped")</f>
        <v>Production</v>
      </c>
    </row>
    <row r="244" spans="1:6" x14ac:dyDescent="0.25">
      <c r="A244" t="s">
        <v>5207</v>
      </c>
      <c r="B244" t="s">
        <v>5098</v>
      </c>
      <c r="C244">
        <v>2026</v>
      </c>
      <c r="D244" s="1">
        <v>9416.24</v>
      </c>
      <c r="E244" t="str">
        <f>_xlfn.XLOOKUP(B244,tblAssets[AssetID],tblAssets[AssetName],"Unmapped")</f>
        <v>Office Furniture 1</v>
      </c>
      <c r="F244" t="str">
        <f>_xlfn.XLOOKUP(B244,tblAssets[AssetID],tblAssets[Department],"Unmapped")</f>
        <v>Marketing</v>
      </c>
    </row>
    <row r="245" spans="1:6" x14ac:dyDescent="0.25">
      <c r="A245" t="s">
        <v>5213</v>
      </c>
      <c r="B245" t="s">
        <v>5100</v>
      </c>
      <c r="C245">
        <v>2026</v>
      </c>
      <c r="D245" s="1">
        <v>4066.3</v>
      </c>
      <c r="E245" t="str">
        <f>_xlfn.XLOOKUP(B245,tblAssets[AssetID],tblAssets[AssetName],"Unmapped")</f>
        <v>Computer Equipment 2</v>
      </c>
      <c r="F245" t="str">
        <f>_xlfn.XLOOKUP(B245,tblAssets[AssetID],tblAssets[Department],"Unmapped")</f>
        <v>HR</v>
      </c>
    </row>
    <row r="246" spans="1:6" x14ac:dyDescent="0.25">
      <c r="A246" t="s">
        <v>5219</v>
      </c>
      <c r="B246" t="s">
        <v>5102</v>
      </c>
      <c r="C246">
        <v>2026</v>
      </c>
      <c r="D246" s="1">
        <v>7936.54</v>
      </c>
      <c r="E246" t="str">
        <f>_xlfn.XLOOKUP(B246,tblAssets[AssetID],tblAssets[AssetName],"Unmapped")</f>
        <v>Computer Equipment 3</v>
      </c>
      <c r="F246" t="str">
        <f>_xlfn.XLOOKUP(B246,tblAssets[AssetID],tblAssets[Department],"Unmapped")</f>
        <v>IT</v>
      </c>
    </row>
    <row r="247" spans="1:6" x14ac:dyDescent="0.25">
      <c r="A247" t="s">
        <v>5224</v>
      </c>
      <c r="B247" t="s">
        <v>5104</v>
      </c>
      <c r="C247">
        <v>2026</v>
      </c>
      <c r="D247" s="1">
        <v>1861.96</v>
      </c>
      <c r="E247" t="str">
        <f>_xlfn.XLOOKUP(B247,tblAssets[AssetID],tblAssets[AssetName],"Unmapped")</f>
        <v>Vehicles 4</v>
      </c>
      <c r="F247" t="str">
        <f>_xlfn.XLOOKUP(B247,tblAssets[AssetID],tblAssets[Department],"Unmapped")</f>
        <v>Production</v>
      </c>
    </row>
    <row r="248" spans="1:6" x14ac:dyDescent="0.25">
      <c r="A248" t="s">
        <v>5242</v>
      </c>
      <c r="B248" t="s">
        <v>5110</v>
      </c>
      <c r="C248">
        <v>2026</v>
      </c>
      <c r="D248" s="1">
        <v>7198.51</v>
      </c>
      <c r="E248" t="str">
        <f>_xlfn.XLOOKUP(B248,tblAssets[AssetID],tblAssets[AssetName],"Unmapped")</f>
        <v>Vehicles 7</v>
      </c>
      <c r="F248" t="str">
        <f>_xlfn.XLOOKUP(B248,tblAssets[AssetID],tblAssets[Department],"Unmapped")</f>
        <v>HR</v>
      </c>
    </row>
    <row r="249" spans="1:6" x14ac:dyDescent="0.25">
      <c r="A249" t="s">
        <v>5251</v>
      </c>
      <c r="B249" t="s">
        <v>5112</v>
      </c>
      <c r="C249">
        <v>2026</v>
      </c>
      <c r="D249" s="1">
        <v>1798.04</v>
      </c>
      <c r="E249" t="str">
        <f>_xlfn.XLOOKUP(B249,tblAssets[AssetID],tblAssets[AssetName],"Unmapped")</f>
        <v>Production Machinery 8</v>
      </c>
      <c r="F249" t="str">
        <f>_xlfn.XLOOKUP(B249,tblAssets[AssetID],tblAssets[Department],"Unmapped")</f>
        <v>Sales</v>
      </c>
    </row>
    <row r="250" spans="1:6" x14ac:dyDescent="0.25">
      <c r="A250" t="s">
        <v>5256</v>
      </c>
      <c r="B250" t="s">
        <v>5114</v>
      </c>
      <c r="C250">
        <v>2026</v>
      </c>
      <c r="D250" s="1">
        <v>7632</v>
      </c>
      <c r="E250" t="str">
        <f>_xlfn.XLOOKUP(B250,tblAssets[AssetID],tblAssets[AssetName],"Unmapped")</f>
        <v>Vehicles 9</v>
      </c>
      <c r="F250" t="str">
        <f>_xlfn.XLOOKUP(B250,tblAssets[AssetID],tblAssets[Department],"Unmapped")</f>
        <v>Marketing</v>
      </c>
    </row>
    <row r="251" spans="1:6" x14ac:dyDescent="0.25">
      <c r="A251" t="s">
        <v>5264</v>
      </c>
      <c r="B251" t="s">
        <v>5116</v>
      </c>
      <c r="C251">
        <v>2026</v>
      </c>
      <c r="D251" s="1">
        <v>2489.52</v>
      </c>
      <c r="E251" t="str">
        <f>_xlfn.XLOOKUP(B251,tblAssets[AssetID],tblAssets[AssetName],"Unmapped")</f>
        <v>Vehicles 10</v>
      </c>
      <c r="F251" t="str">
        <f>_xlfn.XLOOKUP(B251,tblAssets[AssetID],tblAssets[Department],"Unmapped")</f>
        <v>Production</v>
      </c>
    </row>
    <row r="252" spans="1:6" x14ac:dyDescent="0.25">
      <c r="A252" t="s">
        <v>5276</v>
      </c>
      <c r="B252" t="s">
        <v>5120</v>
      </c>
      <c r="C252">
        <v>2026</v>
      </c>
      <c r="D252" s="1">
        <v>3498.99</v>
      </c>
      <c r="E252" t="str">
        <f>_xlfn.XLOOKUP(B252,tblAssets[AssetID],tblAssets[AssetName],"Unmapped")</f>
        <v>Computer Equipment 12</v>
      </c>
      <c r="F252" t="str">
        <f>_xlfn.XLOOKUP(B252,tblAssets[AssetID],tblAssets[Department],"Unmapped")</f>
        <v>Sales</v>
      </c>
    </row>
    <row r="253" spans="1:6" x14ac:dyDescent="0.25">
      <c r="A253" t="s">
        <v>5287</v>
      </c>
      <c r="B253" t="s">
        <v>5122</v>
      </c>
      <c r="C253">
        <v>2026</v>
      </c>
      <c r="D253" s="1">
        <v>5087.33</v>
      </c>
      <c r="E253" t="str">
        <f>_xlfn.XLOOKUP(B253,tblAssets[AssetID],tblAssets[AssetName],"Unmapped")</f>
        <v>Computer Equipment 13</v>
      </c>
      <c r="F253" t="str">
        <f>_xlfn.XLOOKUP(B253,tblAssets[AssetID],tblAssets[Department],"Unmapped")</f>
        <v>Production</v>
      </c>
    </row>
    <row r="254" spans="1:6" x14ac:dyDescent="0.25">
      <c r="A254" t="s">
        <v>5297</v>
      </c>
      <c r="B254" t="s">
        <v>5126</v>
      </c>
      <c r="C254">
        <v>2026</v>
      </c>
      <c r="D254" s="1">
        <v>1841.23</v>
      </c>
      <c r="E254" t="str">
        <f>_xlfn.XLOOKUP(B254,tblAssets[AssetID],tblAssets[AssetName],"Unmapped")</f>
        <v>Computer Equipment 15</v>
      </c>
      <c r="F254" t="str">
        <f>_xlfn.XLOOKUP(B254,tblAssets[AssetID],tblAssets[Department],"Unmapped")</f>
        <v>Finance</v>
      </c>
    </row>
    <row r="255" spans="1:6" x14ac:dyDescent="0.25">
      <c r="A255" t="s">
        <v>5309</v>
      </c>
      <c r="B255" t="s">
        <v>5128</v>
      </c>
      <c r="C255">
        <v>2026</v>
      </c>
      <c r="D255" s="1">
        <v>1273.0899999999999</v>
      </c>
      <c r="E255" t="str">
        <f>_xlfn.XLOOKUP(B255,tblAssets[AssetID],tblAssets[AssetName],"Unmapped")</f>
        <v>Office Furniture 16</v>
      </c>
      <c r="F255" t="str">
        <f>_xlfn.XLOOKUP(B255,tblAssets[AssetID],tblAssets[Department],"Unmapped")</f>
        <v>HR</v>
      </c>
    </row>
    <row r="256" spans="1:6" x14ac:dyDescent="0.25">
      <c r="A256" t="s">
        <v>5317</v>
      </c>
      <c r="B256" t="s">
        <v>5130</v>
      </c>
      <c r="C256">
        <v>2026</v>
      </c>
      <c r="D256" s="1">
        <v>6346.8</v>
      </c>
      <c r="E256" t="str">
        <f>_xlfn.XLOOKUP(B256,tblAssets[AssetID],tblAssets[AssetName],"Unmapped")</f>
        <v>Office Furniture 17</v>
      </c>
      <c r="F256" t="str">
        <f>_xlfn.XLOOKUP(B256,tblAssets[AssetID],tblAssets[Department],"Unmapped")</f>
        <v>IT</v>
      </c>
    </row>
    <row r="257" spans="1:6" x14ac:dyDescent="0.25">
      <c r="A257" t="s">
        <v>5329</v>
      </c>
      <c r="B257" t="s">
        <v>5132</v>
      </c>
      <c r="C257">
        <v>2026</v>
      </c>
      <c r="D257" s="1">
        <v>6355.56</v>
      </c>
      <c r="E257" t="str">
        <f>_xlfn.XLOOKUP(B257,tblAssets[AssetID],tblAssets[AssetName],"Unmapped")</f>
        <v>Office Furniture 18</v>
      </c>
      <c r="F257" t="str">
        <f>_xlfn.XLOOKUP(B257,tblAssets[AssetID],tblAssets[Department],"Unmapped")</f>
        <v>Production</v>
      </c>
    </row>
    <row r="258" spans="1:6" x14ac:dyDescent="0.25">
      <c r="A258" t="s">
        <v>5348</v>
      </c>
      <c r="B258" t="s">
        <v>5138</v>
      </c>
      <c r="C258">
        <v>2026</v>
      </c>
      <c r="D258" s="1">
        <v>6435.33</v>
      </c>
      <c r="E258" t="str">
        <f>_xlfn.XLOOKUP(B258,tblAssets[AssetID],tblAssets[AssetName],"Unmapped")</f>
        <v>Computer Equipment 21</v>
      </c>
      <c r="F258" t="str">
        <f>_xlfn.XLOOKUP(B258,tblAssets[AssetID],tblAssets[Department],"Unmapped")</f>
        <v>IT</v>
      </c>
    </row>
    <row r="259" spans="1:6" x14ac:dyDescent="0.25">
      <c r="A259" t="s">
        <v>5362</v>
      </c>
      <c r="B259" t="s">
        <v>5142</v>
      </c>
      <c r="C259">
        <v>2026</v>
      </c>
      <c r="D259" s="1">
        <v>6882.27</v>
      </c>
      <c r="E259" t="str">
        <f>_xlfn.XLOOKUP(B259,tblAssets[AssetID],tblAssets[AssetName],"Unmapped")</f>
        <v>Computer Equipment 23</v>
      </c>
      <c r="F259" t="str">
        <f>_xlfn.XLOOKUP(B259,tblAssets[AssetID],tblAssets[Department],"Unmapped")</f>
        <v>Production</v>
      </c>
    </row>
    <row r="260" spans="1:6" x14ac:dyDescent="0.25">
      <c r="A260" t="s">
        <v>5372</v>
      </c>
      <c r="B260" t="s">
        <v>5146</v>
      </c>
      <c r="C260">
        <v>2026</v>
      </c>
      <c r="D260" s="1">
        <v>5388.28</v>
      </c>
      <c r="E260" t="str">
        <f>_xlfn.XLOOKUP(B260,tblAssets[AssetID],tblAssets[AssetName],"Unmapped")</f>
        <v>Vehicles 25</v>
      </c>
      <c r="F260" t="str">
        <f>_xlfn.XLOOKUP(B260,tblAssets[AssetID],tblAssets[Department],"Unmapped")</f>
        <v>Production</v>
      </c>
    </row>
    <row r="261" spans="1:6" x14ac:dyDescent="0.25">
      <c r="A261" t="s">
        <v>5382</v>
      </c>
      <c r="B261" t="s">
        <v>5148</v>
      </c>
      <c r="C261">
        <v>2026</v>
      </c>
      <c r="D261" s="1">
        <v>5348.91</v>
      </c>
      <c r="E261" t="str">
        <f>_xlfn.XLOOKUP(B261,tblAssets[AssetID],tblAssets[AssetName],"Unmapped")</f>
        <v>Vehicles 26</v>
      </c>
      <c r="F261" t="str">
        <f>_xlfn.XLOOKUP(B261,tblAssets[AssetID],tblAssets[Department],"Unmapped")</f>
        <v>Production</v>
      </c>
    </row>
    <row r="262" spans="1:6" x14ac:dyDescent="0.25">
      <c r="A262" t="s">
        <v>5396</v>
      </c>
      <c r="B262" t="s">
        <v>5152</v>
      </c>
      <c r="C262">
        <v>2026</v>
      </c>
      <c r="D262" s="1">
        <v>3713.23</v>
      </c>
      <c r="E262" t="str">
        <f>_xlfn.XLOOKUP(B262,tblAssets[AssetID],tblAssets[AssetName],"Unmapped")</f>
        <v>Vehicles 28</v>
      </c>
      <c r="F262" t="str">
        <f>_xlfn.XLOOKUP(B262,tblAssets[AssetID],tblAssets[Department],"Unmapped")</f>
        <v>Finance</v>
      </c>
    </row>
    <row r="263" spans="1:6" x14ac:dyDescent="0.25">
      <c r="A263" t="s">
        <v>5403</v>
      </c>
      <c r="B263" t="s">
        <v>5154</v>
      </c>
      <c r="C263">
        <v>2026</v>
      </c>
      <c r="D263" s="1">
        <v>7398.9</v>
      </c>
      <c r="E263" t="str">
        <f>_xlfn.XLOOKUP(B263,tblAssets[AssetID],tblAssets[AssetName],"Unmapped")</f>
        <v>Office Furniture 29</v>
      </c>
      <c r="F263" t="str">
        <f>_xlfn.XLOOKUP(B263,tblAssets[AssetID],tblAssets[Department],"Unmapped")</f>
        <v>Production</v>
      </c>
    </row>
    <row r="264" spans="1:6" x14ac:dyDescent="0.25">
      <c r="A264" t="s">
        <v>5411</v>
      </c>
      <c r="B264" t="s">
        <v>5156</v>
      </c>
      <c r="C264">
        <v>2026</v>
      </c>
      <c r="D264" s="1">
        <v>8388.6</v>
      </c>
      <c r="E264" t="str">
        <f>_xlfn.XLOOKUP(B264,tblAssets[AssetID],tblAssets[AssetName],"Unmapped")</f>
        <v>Production Machinery 30</v>
      </c>
      <c r="F264" t="str">
        <f>_xlfn.XLOOKUP(B264,tblAssets[AssetID],tblAssets[Department],"Unmapped")</f>
        <v>Finance</v>
      </c>
    </row>
    <row r="265" spans="1:6" x14ac:dyDescent="0.25">
      <c r="A265" t="s">
        <v>5420</v>
      </c>
      <c r="B265" t="s">
        <v>5158</v>
      </c>
      <c r="C265">
        <v>2026</v>
      </c>
      <c r="D265" s="1">
        <v>10204.549999999999</v>
      </c>
      <c r="E265" t="str">
        <f>_xlfn.XLOOKUP(B265,tblAssets[AssetID],tblAssets[AssetName],"Unmapped")</f>
        <v>Vehicles 31</v>
      </c>
      <c r="F265" t="str">
        <f>_xlfn.XLOOKUP(B265,tblAssets[AssetID],tblAssets[Department],"Unmapped")</f>
        <v>Production</v>
      </c>
    </row>
    <row r="266" spans="1:6" x14ac:dyDescent="0.25">
      <c r="A266" t="s">
        <v>5427</v>
      </c>
      <c r="B266" t="s">
        <v>5160</v>
      </c>
      <c r="C266">
        <v>2026</v>
      </c>
      <c r="D266" s="1">
        <v>6444.51</v>
      </c>
      <c r="E266" t="str">
        <f>_xlfn.XLOOKUP(B266,tblAssets[AssetID],tblAssets[AssetName],"Unmapped")</f>
        <v>Production Machinery 32</v>
      </c>
      <c r="F266" t="str">
        <f>_xlfn.XLOOKUP(B266,tblAssets[AssetID],tblAssets[Department],"Unmapped")</f>
        <v>HR</v>
      </c>
    </row>
    <row r="267" spans="1:6" x14ac:dyDescent="0.25">
      <c r="A267" t="s">
        <v>5435</v>
      </c>
      <c r="B267" t="s">
        <v>5162</v>
      </c>
      <c r="C267">
        <v>2026</v>
      </c>
      <c r="D267" s="1">
        <v>2984.72</v>
      </c>
      <c r="E267" t="str">
        <f>_xlfn.XLOOKUP(B267,tblAssets[AssetID],tblAssets[AssetName],"Unmapped")</f>
        <v>Production Machinery 33</v>
      </c>
      <c r="F267" t="str">
        <f>_xlfn.XLOOKUP(B267,tblAssets[AssetID],tblAssets[Department],"Unmapped")</f>
        <v>IT</v>
      </c>
    </row>
    <row r="268" spans="1:6" x14ac:dyDescent="0.25">
      <c r="A268" t="s">
        <v>5445</v>
      </c>
      <c r="B268" t="s">
        <v>5164</v>
      </c>
      <c r="C268">
        <v>2026</v>
      </c>
      <c r="D268" s="1">
        <v>7296.53</v>
      </c>
      <c r="E268" t="str">
        <f>_xlfn.XLOOKUP(B268,tblAssets[AssetID],tblAssets[AssetName],"Unmapped")</f>
        <v>Production Machinery 34</v>
      </c>
      <c r="F268" t="str">
        <f>_xlfn.XLOOKUP(B268,tblAssets[AssetID],tblAssets[Department],"Unmapped")</f>
        <v>Finance</v>
      </c>
    </row>
    <row r="269" spans="1:6" x14ac:dyDescent="0.25">
      <c r="A269" t="s">
        <v>5457</v>
      </c>
      <c r="B269" t="s">
        <v>5166</v>
      </c>
      <c r="C269">
        <v>2026</v>
      </c>
      <c r="D269" s="1">
        <v>3250.63</v>
      </c>
      <c r="E269" t="str">
        <f>_xlfn.XLOOKUP(B269,tblAssets[AssetID],tblAssets[AssetName],"Unmapped")</f>
        <v>Office Furniture 35</v>
      </c>
      <c r="F269" t="str">
        <f>_xlfn.XLOOKUP(B269,tblAssets[AssetID],tblAssets[Department],"Unmapped")</f>
        <v>Sales</v>
      </c>
    </row>
    <row r="270" spans="1:6" x14ac:dyDescent="0.25">
      <c r="A270" t="s">
        <v>5462</v>
      </c>
      <c r="B270" t="s">
        <v>5168</v>
      </c>
      <c r="C270">
        <v>2026</v>
      </c>
      <c r="D270" s="1">
        <v>9677.7900000000009</v>
      </c>
      <c r="E270" t="str">
        <f>_xlfn.XLOOKUP(B270,tblAssets[AssetID],tblAssets[AssetName],"Unmapped")</f>
        <v>Computer Equipment 36</v>
      </c>
      <c r="F270" t="str">
        <f>_xlfn.XLOOKUP(B270,tblAssets[AssetID],tblAssets[Department],"Unmapped")</f>
        <v>IT</v>
      </c>
    </row>
    <row r="271" spans="1:6" x14ac:dyDescent="0.25">
      <c r="A271" t="s">
        <v>5470</v>
      </c>
      <c r="B271" t="s">
        <v>5170</v>
      </c>
      <c r="C271">
        <v>2026</v>
      </c>
      <c r="D271" s="1">
        <v>5350.76</v>
      </c>
      <c r="E271" t="str">
        <f>_xlfn.XLOOKUP(B271,tblAssets[AssetID],tblAssets[AssetName],"Unmapped")</f>
        <v>Production Machinery 37</v>
      </c>
      <c r="F271" t="str">
        <f>_xlfn.XLOOKUP(B271,tblAssets[AssetID],tblAssets[Department],"Unmapped")</f>
        <v>HR</v>
      </c>
    </row>
    <row r="272" spans="1:6" x14ac:dyDescent="0.25">
      <c r="A272" t="s">
        <v>5482</v>
      </c>
      <c r="B272" t="s">
        <v>5174</v>
      </c>
      <c r="C272">
        <v>2026</v>
      </c>
      <c r="D272" s="1">
        <v>5773.33</v>
      </c>
      <c r="E272" t="str">
        <f>_xlfn.XLOOKUP(B272,tblAssets[AssetID],tblAssets[AssetName],"Unmapped")</f>
        <v>Production Machinery 39</v>
      </c>
      <c r="F272" t="str">
        <f>_xlfn.XLOOKUP(B272,tblAssets[AssetID],tblAssets[Department],"Unmapped")</f>
        <v>Sales</v>
      </c>
    </row>
    <row r="273" spans="1:6" x14ac:dyDescent="0.25">
      <c r="A273" t="s">
        <v>5488</v>
      </c>
      <c r="B273" t="s">
        <v>5176</v>
      </c>
      <c r="C273">
        <v>2026</v>
      </c>
      <c r="D273" s="1">
        <v>2617.8000000000002</v>
      </c>
      <c r="E273" t="str">
        <f>_xlfn.XLOOKUP(B273,tblAssets[AssetID],tblAssets[AssetName],"Unmapped")</f>
        <v>Computer Equipment 40</v>
      </c>
      <c r="F273" t="str">
        <f>_xlfn.XLOOKUP(B273,tblAssets[AssetID],tblAssets[Department],"Unmapped")</f>
        <v>Production</v>
      </c>
    </row>
    <row r="274" spans="1:6" x14ac:dyDescent="0.25">
      <c r="A274" t="s">
        <v>5495</v>
      </c>
      <c r="B274" t="s">
        <v>5178</v>
      </c>
      <c r="C274">
        <v>2026</v>
      </c>
      <c r="D274" s="1">
        <v>4170.88</v>
      </c>
      <c r="E274" t="str">
        <f>_xlfn.XLOOKUP(B274,tblAssets[AssetID],tblAssets[AssetName],"Unmapped")</f>
        <v>Vehicles 41</v>
      </c>
      <c r="F274" t="str">
        <f>_xlfn.XLOOKUP(B274,tblAssets[AssetID],tblAssets[Department],"Unmapped")</f>
        <v>HR</v>
      </c>
    </row>
    <row r="275" spans="1:6" x14ac:dyDescent="0.25">
      <c r="A275" t="s">
        <v>5505</v>
      </c>
      <c r="B275" t="s">
        <v>5180</v>
      </c>
      <c r="C275">
        <v>2026</v>
      </c>
      <c r="D275" s="1">
        <v>874.44</v>
      </c>
      <c r="E275" t="str">
        <f>_xlfn.XLOOKUP(B275,tblAssets[AssetID],tblAssets[AssetName],"Unmapped")</f>
        <v>Vehicles 42</v>
      </c>
      <c r="F275" t="str">
        <f>_xlfn.XLOOKUP(B275,tblAssets[AssetID],tblAssets[Department],"Unmapped")</f>
        <v>IT</v>
      </c>
    </row>
    <row r="276" spans="1:6" x14ac:dyDescent="0.25">
      <c r="A276" t="s">
        <v>5516</v>
      </c>
      <c r="B276" t="s">
        <v>5182</v>
      </c>
      <c r="C276">
        <v>2026</v>
      </c>
      <c r="D276" s="1">
        <v>4856.75</v>
      </c>
      <c r="E276" t="str">
        <f>_xlfn.XLOOKUP(B276,tblAssets[AssetID],tblAssets[AssetName],"Unmapped")</f>
        <v>Computer Equipment 43</v>
      </c>
      <c r="F276" t="str">
        <f>_xlfn.XLOOKUP(B276,tblAssets[AssetID],tblAssets[Department],"Unmapped")</f>
        <v>Marketing</v>
      </c>
    </row>
    <row r="277" spans="1:6" x14ac:dyDescent="0.25">
      <c r="A277" t="s">
        <v>5527</v>
      </c>
      <c r="B277" t="s">
        <v>5184</v>
      </c>
      <c r="C277">
        <v>2026</v>
      </c>
      <c r="D277" s="1">
        <v>5356.79</v>
      </c>
      <c r="E277" t="str">
        <f>_xlfn.XLOOKUP(B277,tblAssets[AssetID],tblAssets[AssetName],"Unmapped")</f>
        <v>Vehicles 44</v>
      </c>
      <c r="F277" t="str">
        <f>_xlfn.XLOOKUP(B277,tblAssets[AssetID],tblAssets[Department],"Unmapped")</f>
        <v>IT</v>
      </c>
    </row>
    <row r="278" spans="1:6" x14ac:dyDescent="0.25">
      <c r="A278" t="s">
        <v>5532</v>
      </c>
      <c r="B278" t="s">
        <v>5186</v>
      </c>
      <c r="C278">
        <v>2026</v>
      </c>
      <c r="D278" s="1">
        <v>1986.7</v>
      </c>
      <c r="E278" t="str">
        <f>_xlfn.XLOOKUP(B278,tblAssets[AssetID],tblAssets[AssetName],"Unmapped")</f>
        <v>Computer Equipment 45</v>
      </c>
      <c r="F278" t="str">
        <f>_xlfn.XLOOKUP(B278,tblAssets[AssetID],tblAssets[Department],"Unmapped")</f>
        <v>IT</v>
      </c>
    </row>
    <row r="279" spans="1:6" x14ac:dyDescent="0.25">
      <c r="A279" t="s">
        <v>5547</v>
      </c>
      <c r="B279" t="s">
        <v>5190</v>
      </c>
      <c r="C279">
        <v>2026</v>
      </c>
      <c r="D279" s="1">
        <v>1428.05</v>
      </c>
      <c r="E279" t="str">
        <f>_xlfn.XLOOKUP(B279,tblAssets[AssetID],tblAssets[AssetName],"Unmapped")</f>
        <v>Production Machinery 47</v>
      </c>
      <c r="F279" t="str">
        <f>_xlfn.XLOOKUP(B279,tblAssets[AssetID],tblAssets[Department],"Unmapped")</f>
        <v>HR</v>
      </c>
    </row>
    <row r="280" spans="1:6" x14ac:dyDescent="0.25">
      <c r="A280" t="s">
        <v>5559</v>
      </c>
      <c r="B280" t="s">
        <v>5192</v>
      </c>
      <c r="C280">
        <v>2026</v>
      </c>
      <c r="D280" s="1">
        <v>6219.94</v>
      </c>
      <c r="E280" t="str">
        <f>_xlfn.XLOOKUP(B280,tblAssets[AssetID],tblAssets[AssetName],"Unmapped")</f>
        <v>Vehicles 48</v>
      </c>
      <c r="F280" t="str">
        <f>_xlfn.XLOOKUP(B280,tblAssets[AssetID],tblAssets[Department],"Unmapped")</f>
        <v>Sales</v>
      </c>
    </row>
    <row r="281" spans="1:6" x14ac:dyDescent="0.25">
      <c r="A281" t="s">
        <v>5567</v>
      </c>
      <c r="B281" t="s">
        <v>5194</v>
      </c>
      <c r="C281">
        <v>2026</v>
      </c>
      <c r="D281" s="1">
        <v>13043.82</v>
      </c>
      <c r="E281" t="str">
        <f>_xlfn.XLOOKUP(B281,tblAssets[AssetID],tblAssets[AssetName],"Unmapped")</f>
        <v>Office Furniture 49</v>
      </c>
      <c r="F281" t="str">
        <f>_xlfn.XLOOKUP(B281,tblAssets[AssetID],tblAssets[Department],"Unmapped")</f>
        <v>Production</v>
      </c>
    </row>
    <row r="282" spans="1:6" x14ac:dyDescent="0.25">
      <c r="A282" t="s">
        <v>5214</v>
      </c>
      <c r="B282" t="s">
        <v>5100</v>
      </c>
      <c r="C282">
        <v>2027</v>
      </c>
      <c r="D282" s="1">
        <v>4066.3</v>
      </c>
      <c r="E282" t="str">
        <f>_xlfn.XLOOKUP(B282,tblAssets[AssetID],tblAssets[AssetName],"Unmapped")</f>
        <v>Computer Equipment 2</v>
      </c>
      <c r="F282" t="str">
        <f>_xlfn.XLOOKUP(B282,tblAssets[AssetID],tblAssets[Department],"Unmapped")</f>
        <v>HR</v>
      </c>
    </row>
    <row r="283" spans="1:6" x14ac:dyDescent="0.25">
      <c r="A283" t="s">
        <v>5225</v>
      </c>
      <c r="B283" t="s">
        <v>5104</v>
      </c>
      <c r="C283">
        <v>2027</v>
      </c>
      <c r="D283" s="1">
        <v>1861.96</v>
      </c>
      <c r="E283" t="str">
        <f>_xlfn.XLOOKUP(B283,tblAssets[AssetID],tblAssets[AssetName],"Unmapped")</f>
        <v>Vehicles 4</v>
      </c>
      <c r="F283" t="str">
        <f>_xlfn.XLOOKUP(B283,tblAssets[AssetID],tblAssets[Department],"Unmapped")</f>
        <v>Production</v>
      </c>
    </row>
    <row r="284" spans="1:6" x14ac:dyDescent="0.25">
      <c r="A284" t="s">
        <v>5243</v>
      </c>
      <c r="B284" t="s">
        <v>5110</v>
      </c>
      <c r="C284">
        <v>2027</v>
      </c>
      <c r="D284" s="1">
        <v>7198.51</v>
      </c>
      <c r="E284" t="str">
        <f>_xlfn.XLOOKUP(B284,tblAssets[AssetID],tblAssets[AssetName],"Unmapped")</f>
        <v>Vehicles 7</v>
      </c>
      <c r="F284" t="str">
        <f>_xlfn.XLOOKUP(B284,tblAssets[AssetID],tblAssets[Department],"Unmapped")</f>
        <v>HR</v>
      </c>
    </row>
    <row r="285" spans="1:6" x14ac:dyDescent="0.25">
      <c r="A285" t="s">
        <v>5257</v>
      </c>
      <c r="B285" t="s">
        <v>5114</v>
      </c>
      <c r="C285">
        <v>2027</v>
      </c>
      <c r="D285" s="1">
        <v>7632</v>
      </c>
      <c r="E285" t="str">
        <f>_xlfn.XLOOKUP(B285,tblAssets[AssetID],tblAssets[AssetName],"Unmapped")</f>
        <v>Vehicles 9</v>
      </c>
      <c r="F285" t="str">
        <f>_xlfn.XLOOKUP(B285,tblAssets[AssetID],tblAssets[Department],"Unmapped")</f>
        <v>Marketing</v>
      </c>
    </row>
    <row r="286" spans="1:6" x14ac:dyDescent="0.25">
      <c r="A286" t="s">
        <v>5265</v>
      </c>
      <c r="B286" t="s">
        <v>5116</v>
      </c>
      <c r="C286">
        <v>2027</v>
      </c>
      <c r="D286" s="1">
        <v>2489.52</v>
      </c>
      <c r="E286" t="str">
        <f>_xlfn.XLOOKUP(B286,tblAssets[AssetID],tblAssets[AssetName],"Unmapped")</f>
        <v>Vehicles 10</v>
      </c>
      <c r="F286" t="str">
        <f>_xlfn.XLOOKUP(B286,tblAssets[AssetID],tblAssets[Department],"Unmapped")</f>
        <v>Production</v>
      </c>
    </row>
    <row r="287" spans="1:6" x14ac:dyDescent="0.25">
      <c r="A287" t="s">
        <v>5277</v>
      </c>
      <c r="B287" t="s">
        <v>5120</v>
      </c>
      <c r="C287">
        <v>2027</v>
      </c>
      <c r="D287" s="1">
        <v>3498.99</v>
      </c>
      <c r="E287" t="str">
        <f>_xlfn.XLOOKUP(B287,tblAssets[AssetID],tblAssets[AssetName],"Unmapped")</f>
        <v>Computer Equipment 12</v>
      </c>
      <c r="F287" t="str">
        <f>_xlfn.XLOOKUP(B287,tblAssets[AssetID],tblAssets[Department],"Unmapped")</f>
        <v>Sales</v>
      </c>
    </row>
    <row r="288" spans="1:6" x14ac:dyDescent="0.25">
      <c r="A288" t="s">
        <v>5298</v>
      </c>
      <c r="B288" t="s">
        <v>5126</v>
      </c>
      <c r="C288">
        <v>2027</v>
      </c>
      <c r="D288" s="1">
        <v>1841.23</v>
      </c>
      <c r="E288" t="str">
        <f>_xlfn.XLOOKUP(B288,tblAssets[AssetID],tblAssets[AssetName],"Unmapped")</f>
        <v>Computer Equipment 15</v>
      </c>
      <c r="F288" t="str">
        <f>_xlfn.XLOOKUP(B288,tblAssets[AssetID],tblAssets[Department],"Unmapped")</f>
        <v>Finance</v>
      </c>
    </row>
    <row r="289" spans="1:6" x14ac:dyDescent="0.25">
      <c r="A289" t="s">
        <v>5310</v>
      </c>
      <c r="B289" t="s">
        <v>5128</v>
      </c>
      <c r="C289">
        <v>2027</v>
      </c>
      <c r="D289" s="1">
        <v>1273.0899999999999</v>
      </c>
      <c r="E289" t="str">
        <f>_xlfn.XLOOKUP(B289,tblAssets[AssetID],tblAssets[AssetName],"Unmapped")</f>
        <v>Office Furniture 16</v>
      </c>
      <c r="F289" t="str">
        <f>_xlfn.XLOOKUP(B289,tblAssets[AssetID],tblAssets[Department],"Unmapped")</f>
        <v>HR</v>
      </c>
    </row>
    <row r="290" spans="1:6" x14ac:dyDescent="0.25">
      <c r="A290" t="s">
        <v>5318</v>
      </c>
      <c r="B290" t="s">
        <v>5130</v>
      </c>
      <c r="C290">
        <v>2027</v>
      </c>
      <c r="D290" s="1">
        <v>6346.8</v>
      </c>
      <c r="E290" t="str">
        <f>_xlfn.XLOOKUP(B290,tblAssets[AssetID],tblAssets[AssetName],"Unmapped")</f>
        <v>Office Furniture 17</v>
      </c>
      <c r="F290" t="str">
        <f>_xlfn.XLOOKUP(B290,tblAssets[AssetID],tblAssets[Department],"Unmapped")</f>
        <v>IT</v>
      </c>
    </row>
    <row r="291" spans="1:6" x14ac:dyDescent="0.25">
      <c r="A291" t="s">
        <v>5330</v>
      </c>
      <c r="B291" t="s">
        <v>5132</v>
      </c>
      <c r="C291">
        <v>2027</v>
      </c>
      <c r="D291" s="1">
        <v>6355.56</v>
      </c>
      <c r="E291" t="str">
        <f>_xlfn.XLOOKUP(B291,tblAssets[AssetID],tblAssets[AssetName],"Unmapped")</f>
        <v>Office Furniture 18</v>
      </c>
      <c r="F291" t="str">
        <f>_xlfn.XLOOKUP(B291,tblAssets[AssetID],tblAssets[Department],"Unmapped")</f>
        <v>Production</v>
      </c>
    </row>
    <row r="292" spans="1:6" x14ac:dyDescent="0.25">
      <c r="A292" t="s">
        <v>5349</v>
      </c>
      <c r="B292" t="s">
        <v>5138</v>
      </c>
      <c r="C292">
        <v>2027</v>
      </c>
      <c r="D292" s="1">
        <v>6435.33</v>
      </c>
      <c r="E292" t="str">
        <f>_xlfn.XLOOKUP(B292,tblAssets[AssetID],tblAssets[AssetName],"Unmapped")</f>
        <v>Computer Equipment 21</v>
      </c>
      <c r="F292" t="str">
        <f>_xlfn.XLOOKUP(B292,tblAssets[AssetID],tblAssets[Department],"Unmapped")</f>
        <v>IT</v>
      </c>
    </row>
    <row r="293" spans="1:6" x14ac:dyDescent="0.25">
      <c r="A293" t="s">
        <v>5373</v>
      </c>
      <c r="B293" t="s">
        <v>5146</v>
      </c>
      <c r="C293">
        <v>2027</v>
      </c>
      <c r="D293" s="1">
        <v>5388.28</v>
      </c>
      <c r="E293" t="str">
        <f>_xlfn.XLOOKUP(B293,tblAssets[AssetID],tblAssets[AssetName],"Unmapped")</f>
        <v>Vehicles 25</v>
      </c>
      <c r="F293" t="str">
        <f>_xlfn.XLOOKUP(B293,tblAssets[AssetID],tblAssets[Department],"Unmapped")</f>
        <v>Production</v>
      </c>
    </row>
    <row r="294" spans="1:6" x14ac:dyDescent="0.25">
      <c r="A294" t="s">
        <v>5383</v>
      </c>
      <c r="B294" t="s">
        <v>5148</v>
      </c>
      <c r="C294">
        <v>2027</v>
      </c>
      <c r="D294" s="1">
        <v>5348.91</v>
      </c>
      <c r="E294" t="str">
        <f>_xlfn.XLOOKUP(B294,tblAssets[AssetID],tblAssets[AssetName],"Unmapped")</f>
        <v>Vehicles 26</v>
      </c>
      <c r="F294" t="str">
        <f>_xlfn.XLOOKUP(B294,tblAssets[AssetID],tblAssets[Department],"Unmapped")</f>
        <v>Production</v>
      </c>
    </row>
    <row r="295" spans="1:6" x14ac:dyDescent="0.25">
      <c r="A295" t="s">
        <v>5404</v>
      </c>
      <c r="B295" t="s">
        <v>5154</v>
      </c>
      <c r="C295">
        <v>2027</v>
      </c>
      <c r="D295" s="1">
        <v>7398.9</v>
      </c>
      <c r="E295" t="str">
        <f>_xlfn.XLOOKUP(B295,tblAssets[AssetID],tblAssets[AssetName],"Unmapped")</f>
        <v>Office Furniture 29</v>
      </c>
      <c r="F295" t="str">
        <f>_xlfn.XLOOKUP(B295,tblAssets[AssetID],tblAssets[Department],"Unmapped")</f>
        <v>Production</v>
      </c>
    </row>
    <row r="296" spans="1:6" x14ac:dyDescent="0.25">
      <c r="A296" t="s">
        <v>5412</v>
      </c>
      <c r="B296" t="s">
        <v>5156</v>
      </c>
      <c r="C296">
        <v>2027</v>
      </c>
      <c r="D296" s="1">
        <v>8388.6</v>
      </c>
      <c r="E296" t="str">
        <f>_xlfn.XLOOKUP(B296,tblAssets[AssetID],tblAssets[AssetName],"Unmapped")</f>
        <v>Production Machinery 30</v>
      </c>
      <c r="F296" t="str">
        <f>_xlfn.XLOOKUP(B296,tblAssets[AssetID],tblAssets[Department],"Unmapped")</f>
        <v>Finance</v>
      </c>
    </row>
    <row r="297" spans="1:6" x14ac:dyDescent="0.25">
      <c r="A297" t="s">
        <v>5428</v>
      </c>
      <c r="B297" t="s">
        <v>5160</v>
      </c>
      <c r="C297">
        <v>2027</v>
      </c>
      <c r="D297" s="1">
        <v>6444.51</v>
      </c>
      <c r="E297" t="str">
        <f>_xlfn.XLOOKUP(B297,tblAssets[AssetID],tblAssets[AssetName],"Unmapped")</f>
        <v>Production Machinery 32</v>
      </c>
      <c r="F297" t="str">
        <f>_xlfn.XLOOKUP(B297,tblAssets[AssetID],tblAssets[Department],"Unmapped")</f>
        <v>HR</v>
      </c>
    </row>
    <row r="298" spans="1:6" x14ac:dyDescent="0.25">
      <c r="A298" t="s">
        <v>5436</v>
      </c>
      <c r="B298" t="s">
        <v>5162</v>
      </c>
      <c r="C298">
        <v>2027</v>
      </c>
      <c r="D298" s="1">
        <v>2984.72</v>
      </c>
      <c r="E298" t="str">
        <f>_xlfn.XLOOKUP(B298,tblAssets[AssetID],tblAssets[AssetName],"Unmapped")</f>
        <v>Production Machinery 33</v>
      </c>
      <c r="F298" t="str">
        <f>_xlfn.XLOOKUP(B298,tblAssets[AssetID],tblAssets[Department],"Unmapped")</f>
        <v>IT</v>
      </c>
    </row>
    <row r="299" spans="1:6" x14ac:dyDescent="0.25">
      <c r="A299" t="s">
        <v>5446</v>
      </c>
      <c r="B299" t="s">
        <v>5164</v>
      </c>
      <c r="C299">
        <v>2027</v>
      </c>
      <c r="D299" s="1">
        <v>7296.53</v>
      </c>
      <c r="E299" t="str">
        <f>_xlfn.XLOOKUP(B299,tblAssets[AssetID],tblAssets[AssetName],"Unmapped")</f>
        <v>Production Machinery 34</v>
      </c>
      <c r="F299" t="str">
        <f>_xlfn.XLOOKUP(B299,tblAssets[AssetID],tblAssets[Department],"Unmapped")</f>
        <v>Finance</v>
      </c>
    </row>
    <row r="300" spans="1:6" x14ac:dyDescent="0.25">
      <c r="A300" t="s">
        <v>5463</v>
      </c>
      <c r="B300" t="s">
        <v>5168</v>
      </c>
      <c r="C300">
        <v>2027</v>
      </c>
      <c r="D300" s="1">
        <v>9677.7900000000009</v>
      </c>
      <c r="E300" t="str">
        <f>_xlfn.XLOOKUP(B300,tblAssets[AssetID],tblAssets[AssetName],"Unmapped")</f>
        <v>Computer Equipment 36</v>
      </c>
      <c r="F300" t="str">
        <f>_xlfn.XLOOKUP(B300,tblAssets[AssetID],tblAssets[Department],"Unmapped")</f>
        <v>IT</v>
      </c>
    </row>
    <row r="301" spans="1:6" x14ac:dyDescent="0.25">
      <c r="A301" t="s">
        <v>5471</v>
      </c>
      <c r="B301" t="s">
        <v>5170</v>
      </c>
      <c r="C301">
        <v>2027</v>
      </c>
      <c r="D301" s="1">
        <v>5350.76</v>
      </c>
      <c r="E301" t="str">
        <f>_xlfn.XLOOKUP(B301,tblAssets[AssetID],tblAssets[AssetName],"Unmapped")</f>
        <v>Production Machinery 37</v>
      </c>
      <c r="F301" t="str">
        <f>_xlfn.XLOOKUP(B301,tblAssets[AssetID],tblAssets[Department],"Unmapped")</f>
        <v>HR</v>
      </c>
    </row>
    <row r="302" spans="1:6" x14ac:dyDescent="0.25">
      <c r="A302" t="s">
        <v>5483</v>
      </c>
      <c r="B302" t="s">
        <v>5174</v>
      </c>
      <c r="C302">
        <v>2027</v>
      </c>
      <c r="D302" s="1">
        <v>5773.33</v>
      </c>
      <c r="E302" t="str">
        <f>_xlfn.XLOOKUP(B302,tblAssets[AssetID],tblAssets[AssetName],"Unmapped")</f>
        <v>Production Machinery 39</v>
      </c>
      <c r="F302" t="str">
        <f>_xlfn.XLOOKUP(B302,tblAssets[AssetID],tblAssets[Department],"Unmapped")</f>
        <v>Sales</v>
      </c>
    </row>
    <row r="303" spans="1:6" x14ac:dyDescent="0.25">
      <c r="A303" t="s">
        <v>5489</v>
      </c>
      <c r="B303" t="s">
        <v>5176</v>
      </c>
      <c r="C303">
        <v>2027</v>
      </c>
      <c r="D303" s="1">
        <v>2617.8000000000002</v>
      </c>
      <c r="E303" t="str">
        <f>_xlfn.XLOOKUP(B303,tblAssets[AssetID],tblAssets[AssetName],"Unmapped")</f>
        <v>Computer Equipment 40</v>
      </c>
      <c r="F303" t="str">
        <f>_xlfn.XLOOKUP(B303,tblAssets[AssetID],tblAssets[Department],"Unmapped")</f>
        <v>Production</v>
      </c>
    </row>
    <row r="304" spans="1:6" x14ac:dyDescent="0.25">
      <c r="A304" t="s">
        <v>5496</v>
      </c>
      <c r="B304" t="s">
        <v>5178</v>
      </c>
      <c r="C304">
        <v>2027</v>
      </c>
      <c r="D304" s="1">
        <v>4170.88</v>
      </c>
      <c r="E304" t="str">
        <f>_xlfn.XLOOKUP(B304,tblAssets[AssetID],tblAssets[AssetName],"Unmapped")</f>
        <v>Vehicles 41</v>
      </c>
      <c r="F304" t="str">
        <f>_xlfn.XLOOKUP(B304,tblAssets[AssetID],tblAssets[Department],"Unmapped")</f>
        <v>HR</v>
      </c>
    </row>
    <row r="305" spans="1:6" x14ac:dyDescent="0.25">
      <c r="A305" t="s">
        <v>5506</v>
      </c>
      <c r="B305" t="s">
        <v>5180</v>
      </c>
      <c r="C305">
        <v>2027</v>
      </c>
      <c r="D305" s="1">
        <v>874.44</v>
      </c>
      <c r="E305" t="str">
        <f>_xlfn.XLOOKUP(B305,tblAssets[AssetID],tblAssets[AssetName],"Unmapped")</f>
        <v>Vehicles 42</v>
      </c>
      <c r="F305" t="str">
        <f>_xlfn.XLOOKUP(B305,tblAssets[AssetID],tblAssets[Department],"Unmapped")</f>
        <v>IT</v>
      </c>
    </row>
    <row r="306" spans="1:6" x14ac:dyDescent="0.25">
      <c r="A306" t="s">
        <v>5517</v>
      </c>
      <c r="B306" t="s">
        <v>5182</v>
      </c>
      <c r="C306">
        <v>2027</v>
      </c>
      <c r="D306" s="1">
        <v>4856.75</v>
      </c>
      <c r="E306" t="str">
        <f>_xlfn.XLOOKUP(B306,tblAssets[AssetID],tblAssets[AssetName],"Unmapped")</f>
        <v>Computer Equipment 43</v>
      </c>
      <c r="F306" t="str">
        <f>_xlfn.XLOOKUP(B306,tblAssets[AssetID],tblAssets[Department],"Unmapped")</f>
        <v>Marketing</v>
      </c>
    </row>
    <row r="307" spans="1:6" x14ac:dyDescent="0.25">
      <c r="A307" t="s">
        <v>5533</v>
      </c>
      <c r="B307" t="s">
        <v>5186</v>
      </c>
      <c r="C307">
        <v>2027</v>
      </c>
      <c r="D307" s="1">
        <v>1986.7</v>
      </c>
      <c r="E307" t="str">
        <f>_xlfn.XLOOKUP(B307,tblAssets[AssetID],tblAssets[AssetName],"Unmapped")</f>
        <v>Computer Equipment 45</v>
      </c>
      <c r="F307" t="str">
        <f>_xlfn.XLOOKUP(B307,tblAssets[AssetID],tblAssets[Department],"Unmapped")</f>
        <v>IT</v>
      </c>
    </row>
    <row r="308" spans="1:6" x14ac:dyDescent="0.25">
      <c r="A308" t="s">
        <v>5548</v>
      </c>
      <c r="B308" t="s">
        <v>5190</v>
      </c>
      <c r="C308">
        <v>2027</v>
      </c>
      <c r="D308" s="1">
        <v>1428.05</v>
      </c>
      <c r="E308" t="str">
        <f>_xlfn.XLOOKUP(B308,tblAssets[AssetID],tblAssets[AssetName],"Unmapped")</f>
        <v>Production Machinery 47</v>
      </c>
      <c r="F308" t="str">
        <f>_xlfn.XLOOKUP(B308,tblAssets[AssetID],tblAssets[Department],"Unmapped")</f>
        <v>HR</v>
      </c>
    </row>
    <row r="309" spans="1:6" x14ac:dyDescent="0.25">
      <c r="A309" t="s">
        <v>5560</v>
      </c>
      <c r="B309" t="s">
        <v>5192</v>
      </c>
      <c r="C309">
        <v>2027</v>
      </c>
      <c r="D309" s="1">
        <v>6219.94</v>
      </c>
      <c r="E309" t="str">
        <f>_xlfn.XLOOKUP(B309,tblAssets[AssetID],tblAssets[AssetName],"Unmapped")</f>
        <v>Vehicles 48</v>
      </c>
      <c r="F309" t="str">
        <f>_xlfn.XLOOKUP(B309,tblAssets[AssetID],tblAssets[Department],"Unmapped")</f>
        <v>Sales</v>
      </c>
    </row>
    <row r="310" spans="1:6" x14ac:dyDescent="0.25">
      <c r="A310" t="s">
        <v>5226</v>
      </c>
      <c r="B310" t="s">
        <v>5104</v>
      </c>
      <c r="C310">
        <v>2028</v>
      </c>
      <c r="D310" s="1">
        <v>1861.96</v>
      </c>
      <c r="E310" t="str">
        <f>_xlfn.XLOOKUP(B310,tblAssets[AssetID],tblAssets[AssetName],"Unmapped")</f>
        <v>Vehicles 4</v>
      </c>
      <c r="F310" t="str">
        <f>_xlfn.XLOOKUP(B310,tblAssets[AssetID],tblAssets[Department],"Unmapped")</f>
        <v>Production</v>
      </c>
    </row>
    <row r="311" spans="1:6" x14ac:dyDescent="0.25">
      <c r="A311" t="s">
        <v>5244</v>
      </c>
      <c r="B311" t="s">
        <v>5110</v>
      </c>
      <c r="C311">
        <v>2028</v>
      </c>
      <c r="D311" s="1">
        <v>7198.51</v>
      </c>
      <c r="E311" t="str">
        <f>_xlfn.XLOOKUP(B311,tblAssets[AssetID],tblAssets[AssetName],"Unmapped")</f>
        <v>Vehicles 7</v>
      </c>
      <c r="F311" t="str">
        <f>_xlfn.XLOOKUP(B311,tblAssets[AssetID],tblAssets[Department],"Unmapped")</f>
        <v>HR</v>
      </c>
    </row>
    <row r="312" spans="1:6" x14ac:dyDescent="0.25">
      <c r="A312" t="s">
        <v>5258</v>
      </c>
      <c r="B312" t="s">
        <v>5114</v>
      </c>
      <c r="C312">
        <v>2028</v>
      </c>
      <c r="D312" s="1">
        <v>7632</v>
      </c>
      <c r="E312" t="str">
        <f>_xlfn.XLOOKUP(B312,tblAssets[AssetID],tblAssets[AssetName],"Unmapped")</f>
        <v>Vehicles 9</v>
      </c>
      <c r="F312" t="str">
        <f>_xlfn.XLOOKUP(B312,tblAssets[AssetID],tblAssets[Department],"Unmapped")</f>
        <v>Marketing</v>
      </c>
    </row>
    <row r="313" spans="1:6" x14ac:dyDescent="0.25">
      <c r="A313" t="s">
        <v>5278</v>
      </c>
      <c r="B313" t="s">
        <v>5120</v>
      </c>
      <c r="C313">
        <v>2028</v>
      </c>
      <c r="D313" s="1">
        <v>3498.99</v>
      </c>
      <c r="E313" t="str">
        <f>_xlfn.XLOOKUP(B313,tblAssets[AssetID],tblAssets[AssetName],"Unmapped")</f>
        <v>Computer Equipment 12</v>
      </c>
      <c r="F313" t="str">
        <f>_xlfn.XLOOKUP(B313,tblAssets[AssetID],tblAssets[Department],"Unmapped")</f>
        <v>Sales</v>
      </c>
    </row>
    <row r="314" spans="1:6" x14ac:dyDescent="0.25">
      <c r="A314" t="s">
        <v>5299</v>
      </c>
      <c r="B314" t="s">
        <v>5126</v>
      </c>
      <c r="C314">
        <v>2028</v>
      </c>
      <c r="D314" s="1">
        <v>1841.23</v>
      </c>
      <c r="E314" t="str">
        <f>_xlfn.XLOOKUP(B314,tblAssets[AssetID],tblAssets[AssetName],"Unmapped")</f>
        <v>Computer Equipment 15</v>
      </c>
      <c r="F314" t="str">
        <f>_xlfn.XLOOKUP(B314,tblAssets[AssetID],tblAssets[Department],"Unmapped")</f>
        <v>Finance</v>
      </c>
    </row>
    <row r="315" spans="1:6" x14ac:dyDescent="0.25">
      <c r="A315" t="s">
        <v>5311</v>
      </c>
      <c r="B315" t="s">
        <v>5128</v>
      </c>
      <c r="C315">
        <v>2028</v>
      </c>
      <c r="D315" s="1">
        <v>1273.0899999999999</v>
      </c>
      <c r="E315" t="str">
        <f>_xlfn.XLOOKUP(B315,tblAssets[AssetID],tblAssets[AssetName],"Unmapped")</f>
        <v>Office Furniture 16</v>
      </c>
      <c r="F315" t="str">
        <f>_xlfn.XLOOKUP(B315,tblAssets[AssetID],tblAssets[Department],"Unmapped")</f>
        <v>HR</v>
      </c>
    </row>
    <row r="316" spans="1:6" x14ac:dyDescent="0.25">
      <c r="A316" t="s">
        <v>5319</v>
      </c>
      <c r="B316" t="s">
        <v>5130</v>
      </c>
      <c r="C316">
        <v>2028</v>
      </c>
      <c r="D316" s="1">
        <v>6346.8</v>
      </c>
      <c r="E316" t="str">
        <f>_xlfn.XLOOKUP(B316,tblAssets[AssetID],tblAssets[AssetName],"Unmapped")</f>
        <v>Office Furniture 17</v>
      </c>
      <c r="F316" t="str">
        <f>_xlfn.XLOOKUP(B316,tblAssets[AssetID],tblAssets[Department],"Unmapped")</f>
        <v>IT</v>
      </c>
    </row>
    <row r="317" spans="1:6" x14ac:dyDescent="0.25">
      <c r="A317" t="s">
        <v>5331</v>
      </c>
      <c r="B317" t="s">
        <v>5132</v>
      </c>
      <c r="C317">
        <v>2028</v>
      </c>
      <c r="D317" s="1">
        <v>6355.56</v>
      </c>
      <c r="E317" t="str">
        <f>_xlfn.XLOOKUP(B317,tblAssets[AssetID],tblAssets[AssetName],"Unmapped")</f>
        <v>Office Furniture 18</v>
      </c>
      <c r="F317" t="str">
        <f>_xlfn.XLOOKUP(B317,tblAssets[AssetID],tblAssets[Department],"Unmapped")</f>
        <v>Production</v>
      </c>
    </row>
    <row r="318" spans="1:6" x14ac:dyDescent="0.25">
      <c r="A318" t="s">
        <v>5350</v>
      </c>
      <c r="B318" t="s">
        <v>5138</v>
      </c>
      <c r="C318">
        <v>2028</v>
      </c>
      <c r="D318" s="1">
        <v>6435.33</v>
      </c>
      <c r="E318" t="str">
        <f>_xlfn.XLOOKUP(B318,tblAssets[AssetID],tblAssets[AssetName],"Unmapped")</f>
        <v>Computer Equipment 21</v>
      </c>
      <c r="F318" t="str">
        <f>_xlfn.XLOOKUP(B318,tblAssets[AssetID],tblAssets[Department],"Unmapped")</f>
        <v>IT</v>
      </c>
    </row>
    <row r="319" spans="1:6" x14ac:dyDescent="0.25">
      <c r="A319" t="s">
        <v>5374</v>
      </c>
      <c r="B319" t="s">
        <v>5146</v>
      </c>
      <c r="C319">
        <v>2028</v>
      </c>
      <c r="D319" s="1">
        <v>5388.28</v>
      </c>
      <c r="E319" t="str">
        <f>_xlfn.XLOOKUP(B319,tblAssets[AssetID],tblAssets[AssetName],"Unmapped")</f>
        <v>Vehicles 25</v>
      </c>
      <c r="F319" t="str">
        <f>_xlfn.XLOOKUP(B319,tblAssets[AssetID],tblAssets[Department],"Unmapped")</f>
        <v>Production</v>
      </c>
    </row>
    <row r="320" spans="1:6" x14ac:dyDescent="0.25">
      <c r="A320" t="s">
        <v>5384</v>
      </c>
      <c r="B320" t="s">
        <v>5148</v>
      </c>
      <c r="C320">
        <v>2028</v>
      </c>
      <c r="D320" s="1">
        <v>5348.91</v>
      </c>
      <c r="E320" t="str">
        <f>_xlfn.XLOOKUP(B320,tblAssets[AssetID],tblAssets[AssetName],"Unmapped")</f>
        <v>Vehicles 26</v>
      </c>
      <c r="F320" t="str">
        <f>_xlfn.XLOOKUP(B320,tblAssets[AssetID],tblAssets[Department],"Unmapped")</f>
        <v>Production</v>
      </c>
    </row>
    <row r="321" spans="1:6" x14ac:dyDescent="0.25">
      <c r="A321" t="s">
        <v>5405</v>
      </c>
      <c r="B321" t="s">
        <v>5154</v>
      </c>
      <c r="C321">
        <v>2028</v>
      </c>
      <c r="D321" s="1">
        <v>7398.9</v>
      </c>
      <c r="E321" t="str">
        <f>_xlfn.XLOOKUP(B321,tblAssets[AssetID],tblAssets[AssetName],"Unmapped")</f>
        <v>Office Furniture 29</v>
      </c>
      <c r="F321" t="str">
        <f>_xlfn.XLOOKUP(B321,tblAssets[AssetID],tblAssets[Department],"Unmapped")</f>
        <v>Production</v>
      </c>
    </row>
    <row r="322" spans="1:6" x14ac:dyDescent="0.25">
      <c r="A322" t="s">
        <v>5413</v>
      </c>
      <c r="B322" t="s">
        <v>5156</v>
      </c>
      <c r="C322">
        <v>2028</v>
      </c>
      <c r="D322" s="1">
        <v>8388.6</v>
      </c>
      <c r="E322" t="str">
        <f>_xlfn.XLOOKUP(B322,tblAssets[AssetID],tblAssets[AssetName],"Unmapped")</f>
        <v>Production Machinery 30</v>
      </c>
      <c r="F322" t="str">
        <f>_xlfn.XLOOKUP(B322,tblAssets[AssetID],tblAssets[Department],"Unmapped")</f>
        <v>Finance</v>
      </c>
    </row>
    <row r="323" spans="1:6" x14ac:dyDescent="0.25">
      <c r="A323" t="s">
        <v>5429</v>
      </c>
      <c r="B323" t="s">
        <v>5160</v>
      </c>
      <c r="C323">
        <v>2028</v>
      </c>
      <c r="D323" s="1">
        <v>6444.51</v>
      </c>
      <c r="E323" t="str">
        <f>_xlfn.XLOOKUP(B323,tblAssets[AssetID],tblAssets[AssetName],"Unmapped")</f>
        <v>Production Machinery 32</v>
      </c>
      <c r="F323" t="str">
        <f>_xlfn.XLOOKUP(B323,tblAssets[AssetID],tblAssets[Department],"Unmapped")</f>
        <v>HR</v>
      </c>
    </row>
    <row r="324" spans="1:6" x14ac:dyDescent="0.25">
      <c r="A324" t="s">
        <v>5437</v>
      </c>
      <c r="B324" t="s">
        <v>5162</v>
      </c>
      <c r="C324">
        <v>2028</v>
      </c>
      <c r="D324" s="1">
        <v>2984.72</v>
      </c>
      <c r="E324" t="str">
        <f>_xlfn.XLOOKUP(B324,tblAssets[AssetID],tblAssets[AssetName],"Unmapped")</f>
        <v>Production Machinery 33</v>
      </c>
      <c r="F324" t="str">
        <f>_xlfn.XLOOKUP(B324,tblAssets[AssetID],tblAssets[Department],"Unmapped")</f>
        <v>IT</v>
      </c>
    </row>
    <row r="325" spans="1:6" x14ac:dyDescent="0.25">
      <c r="A325" t="s">
        <v>5447</v>
      </c>
      <c r="B325" t="s">
        <v>5164</v>
      </c>
      <c r="C325">
        <v>2028</v>
      </c>
      <c r="D325" s="1">
        <v>7296.53</v>
      </c>
      <c r="E325" t="str">
        <f>_xlfn.XLOOKUP(B325,tblAssets[AssetID],tblAssets[AssetName],"Unmapped")</f>
        <v>Production Machinery 34</v>
      </c>
      <c r="F325" t="str">
        <f>_xlfn.XLOOKUP(B325,tblAssets[AssetID],tblAssets[Department],"Unmapped")</f>
        <v>Finance</v>
      </c>
    </row>
    <row r="326" spans="1:6" x14ac:dyDescent="0.25">
      <c r="A326" t="s">
        <v>5464</v>
      </c>
      <c r="B326" t="s">
        <v>5168</v>
      </c>
      <c r="C326">
        <v>2028</v>
      </c>
      <c r="D326" s="1">
        <v>9677.7900000000009</v>
      </c>
      <c r="E326" t="str">
        <f>_xlfn.XLOOKUP(B326,tblAssets[AssetID],tblAssets[AssetName],"Unmapped")</f>
        <v>Computer Equipment 36</v>
      </c>
      <c r="F326" t="str">
        <f>_xlfn.XLOOKUP(B326,tblAssets[AssetID],tblAssets[Department],"Unmapped")</f>
        <v>IT</v>
      </c>
    </row>
    <row r="327" spans="1:6" x14ac:dyDescent="0.25">
      <c r="A327" t="s">
        <v>5490</v>
      </c>
      <c r="B327" t="s">
        <v>5176</v>
      </c>
      <c r="C327">
        <v>2028</v>
      </c>
      <c r="D327" s="1">
        <v>2617.8000000000002</v>
      </c>
      <c r="E327" t="str">
        <f>_xlfn.XLOOKUP(B327,tblAssets[AssetID],tblAssets[AssetName],"Unmapped")</f>
        <v>Computer Equipment 40</v>
      </c>
      <c r="F327" t="str">
        <f>_xlfn.XLOOKUP(B327,tblAssets[AssetID],tblAssets[Department],"Unmapped")</f>
        <v>Production</v>
      </c>
    </row>
    <row r="328" spans="1:6" x14ac:dyDescent="0.25">
      <c r="A328" t="s">
        <v>5497</v>
      </c>
      <c r="B328" t="s">
        <v>5178</v>
      </c>
      <c r="C328">
        <v>2028</v>
      </c>
      <c r="D328" s="1">
        <v>4170.88</v>
      </c>
      <c r="E328" t="str">
        <f>_xlfn.XLOOKUP(B328,tblAssets[AssetID],tblAssets[AssetName],"Unmapped")</f>
        <v>Vehicles 41</v>
      </c>
      <c r="F328" t="str">
        <f>_xlfn.XLOOKUP(B328,tblAssets[AssetID],tblAssets[Department],"Unmapped")</f>
        <v>HR</v>
      </c>
    </row>
    <row r="329" spans="1:6" x14ac:dyDescent="0.25">
      <c r="A329" t="s">
        <v>5507</v>
      </c>
      <c r="B329" t="s">
        <v>5180</v>
      </c>
      <c r="C329">
        <v>2028</v>
      </c>
      <c r="D329" s="1">
        <v>874.44</v>
      </c>
      <c r="E329" t="str">
        <f>_xlfn.XLOOKUP(B329,tblAssets[AssetID],tblAssets[AssetName],"Unmapped")</f>
        <v>Vehicles 42</v>
      </c>
      <c r="F329" t="str">
        <f>_xlfn.XLOOKUP(B329,tblAssets[AssetID],tblAssets[Department],"Unmapped")</f>
        <v>IT</v>
      </c>
    </row>
    <row r="330" spans="1:6" x14ac:dyDescent="0.25">
      <c r="A330" t="s">
        <v>5518</v>
      </c>
      <c r="B330" t="s">
        <v>5182</v>
      </c>
      <c r="C330">
        <v>2028</v>
      </c>
      <c r="D330" s="1">
        <v>4856.75</v>
      </c>
      <c r="E330" t="str">
        <f>_xlfn.XLOOKUP(B330,tblAssets[AssetID],tblAssets[AssetName],"Unmapped")</f>
        <v>Computer Equipment 43</v>
      </c>
      <c r="F330" t="str">
        <f>_xlfn.XLOOKUP(B330,tblAssets[AssetID],tblAssets[Department],"Unmapped")</f>
        <v>Marketing</v>
      </c>
    </row>
    <row r="331" spans="1:6" x14ac:dyDescent="0.25">
      <c r="A331" t="s">
        <v>5534</v>
      </c>
      <c r="B331" t="s">
        <v>5186</v>
      </c>
      <c r="C331">
        <v>2028</v>
      </c>
      <c r="D331" s="1">
        <v>1986.7</v>
      </c>
      <c r="E331" t="str">
        <f>_xlfn.XLOOKUP(B331,tblAssets[AssetID],tblAssets[AssetName],"Unmapped")</f>
        <v>Computer Equipment 45</v>
      </c>
      <c r="F331" t="str">
        <f>_xlfn.XLOOKUP(B331,tblAssets[AssetID],tblAssets[Department],"Unmapped")</f>
        <v>IT</v>
      </c>
    </row>
    <row r="332" spans="1:6" x14ac:dyDescent="0.25">
      <c r="A332" t="s">
        <v>5549</v>
      </c>
      <c r="B332" t="s">
        <v>5190</v>
      </c>
      <c r="C332">
        <v>2028</v>
      </c>
      <c r="D332" s="1">
        <v>1428.05</v>
      </c>
      <c r="E332" t="str">
        <f>_xlfn.XLOOKUP(B332,tblAssets[AssetID],tblAssets[AssetName],"Unmapped")</f>
        <v>Production Machinery 47</v>
      </c>
      <c r="F332" t="str">
        <f>_xlfn.XLOOKUP(B332,tblAssets[AssetID],tblAssets[Department],"Unmapped")</f>
        <v>HR</v>
      </c>
    </row>
    <row r="333" spans="1:6" x14ac:dyDescent="0.25">
      <c r="A333" t="s">
        <v>5561</v>
      </c>
      <c r="B333" t="s">
        <v>5192</v>
      </c>
      <c r="C333">
        <v>2028</v>
      </c>
      <c r="D333" s="1">
        <v>6219.94</v>
      </c>
      <c r="E333" t="str">
        <f>_xlfn.XLOOKUP(B333,tblAssets[AssetID],tblAssets[AssetName],"Unmapped")</f>
        <v>Vehicles 48</v>
      </c>
      <c r="F333" t="str">
        <f>_xlfn.XLOOKUP(B333,tblAssets[AssetID],tblAssets[Department],"Unmapped")</f>
        <v>Sales</v>
      </c>
    </row>
    <row r="334" spans="1:6" x14ac:dyDescent="0.25">
      <c r="A334" t="s">
        <v>5245</v>
      </c>
      <c r="B334" t="s">
        <v>5110</v>
      </c>
      <c r="C334">
        <v>2029</v>
      </c>
      <c r="D334" s="1">
        <v>7198.51</v>
      </c>
      <c r="E334" t="str">
        <f>_xlfn.XLOOKUP(B334,tblAssets[AssetID],tblAssets[AssetName],"Unmapped")</f>
        <v>Vehicles 7</v>
      </c>
      <c r="F334" t="str">
        <f>_xlfn.XLOOKUP(B334,tblAssets[AssetID],tblAssets[Department],"Unmapped")</f>
        <v>HR</v>
      </c>
    </row>
    <row r="335" spans="1:6" x14ac:dyDescent="0.25">
      <c r="A335" t="s">
        <v>5279</v>
      </c>
      <c r="B335" t="s">
        <v>5120</v>
      </c>
      <c r="C335">
        <v>2029</v>
      </c>
      <c r="D335" s="1">
        <v>3498.99</v>
      </c>
      <c r="E335" t="str">
        <f>_xlfn.XLOOKUP(B335,tblAssets[AssetID],tblAssets[AssetName],"Unmapped")</f>
        <v>Computer Equipment 12</v>
      </c>
      <c r="F335" t="str">
        <f>_xlfn.XLOOKUP(B335,tblAssets[AssetID],tblAssets[Department],"Unmapped")</f>
        <v>Sales</v>
      </c>
    </row>
    <row r="336" spans="1:6" x14ac:dyDescent="0.25">
      <c r="A336" t="s">
        <v>5300</v>
      </c>
      <c r="B336" t="s">
        <v>5126</v>
      </c>
      <c r="C336">
        <v>2029</v>
      </c>
      <c r="D336" s="1">
        <v>1841.23</v>
      </c>
      <c r="E336" t="str">
        <f>_xlfn.XLOOKUP(B336,tblAssets[AssetID],tblAssets[AssetName],"Unmapped")</f>
        <v>Computer Equipment 15</v>
      </c>
      <c r="F336" t="str">
        <f>_xlfn.XLOOKUP(B336,tblAssets[AssetID],tblAssets[Department],"Unmapped")</f>
        <v>Finance</v>
      </c>
    </row>
    <row r="337" spans="1:6" x14ac:dyDescent="0.25">
      <c r="A337" t="s">
        <v>5312</v>
      </c>
      <c r="B337" t="s">
        <v>5128</v>
      </c>
      <c r="C337">
        <v>2029</v>
      </c>
      <c r="D337" s="1">
        <v>1273.0899999999999</v>
      </c>
      <c r="E337" t="str">
        <f>_xlfn.XLOOKUP(B337,tblAssets[AssetID],tblAssets[AssetName],"Unmapped")</f>
        <v>Office Furniture 16</v>
      </c>
      <c r="F337" t="str">
        <f>_xlfn.XLOOKUP(B337,tblAssets[AssetID],tblAssets[Department],"Unmapped")</f>
        <v>HR</v>
      </c>
    </row>
    <row r="338" spans="1:6" x14ac:dyDescent="0.25">
      <c r="A338" t="s">
        <v>5320</v>
      </c>
      <c r="B338" t="s">
        <v>5130</v>
      </c>
      <c r="C338">
        <v>2029</v>
      </c>
      <c r="D338" s="1">
        <v>6346.8</v>
      </c>
      <c r="E338" t="str">
        <f>_xlfn.XLOOKUP(B338,tblAssets[AssetID],tblAssets[AssetName],"Unmapped")</f>
        <v>Office Furniture 17</v>
      </c>
      <c r="F338" t="str">
        <f>_xlfn.XLOOKUP(B338,tblAssets[AssetID],tblAssets[Department],"Unmapped")</f>
        <v>IT</v>
      </c>
    </row>
    <row r="339" spans="1:6" x14ac:dyDescent="0.25">
      <c r="A339" t="s">
        <v>5332</v>
      </c>
      <c r="B339" t="s">
        <v>5132</v>
      </c>
      <c r="C339">
        <v>2029</v>
      </c>
      <c r="D339" s="1">
        <v>6355.56</v>
      </c>
      <c r="E339" t="str">
        <f>_xlfn.XLOOKUP(B339,tblAssets[AssetID],tblAssets[AssetName],"Unmapped")</f>
        <v>Office Furniture 18</v>
      </c>
      <c r="F339" t="str">
        <f>_xlfn.XLOOKUP(B339,tblAssets[AssetID],tblAssets[Department],"Unmapped")</f>
        <v>Production</v>
      </c>
    </row>
    <row r="340" spans="1:6" x14ac:dyDescent="0.25">
      <c r="A340" t="s">
        <v>5351</v>
      </c>
      <c r="B340" t="s">
        <v>5138</v>
      </c>
      <c r="C340">
        <v>2029</v>
      </c>
      <c r="D340" s="1">
        <v>6435.33</v>
      </c>
      <c r="E340" t="str">
        <f>_xlfn.XLOOKUP(B340,tblAssets[AssetID],tblAssets[AssetName],"Unmapped")</f>
        <v>Computer Equipment 21</v>
      </c>
      <c r="F340" t="str">
        <f>_xlfn.XLOOKUP(B340,tblAssets[AssetID],tblAssets[Department],"Unmapped")</f>
        <v>IT</v>
      </c>
    </row>
    <row r="341" spans="1:6" x14ac:dyDescent="0.25">
      <c r="A341" t="s">
        <v>5375</v>
      </c>
      <c r="B341" t="s">
        <v>5146</v>
      </c>
      <c r="C341">
        <v>2029</v>
      </c>
      <c r="D341" s="1">
        <v>5388.28</v>
      </c>
      <c r="E341" t="str">
        <f>_xlfn.XLOOKUP(B341,tblAssets[AssetID],tblAssets[AssetName],"Unmapped")</f>
        <v>Vehicles 25</v>
      </c>
      <c r="F341" t="str">
        <f>_xlfn.XLOOKUP(B341,tblAssets[AssetID],tblAssets[Department],"Unmapped")</f>
        <v>Production</v>
      </c>
    </row>
    <row r="342" spans="1:6" x14ac:dyDescent="0.25">
      <c r="A342" t="s">
        <v>5406</v>
      </c>
      <c r="B342" t="s">
        <v>5154</v>
      </c>
      <c r="C342">
        <v>2029</v>
      </c>
      <c r="D342" s="1">
        <v>7398.9</v>
      </c>
      <c r="E342" t="str">
        <f>_xlfn.XLOOKUP(B342,tblAssets[AssetID],tblAssets[AssetName],"Unmapped")</f>
        <v>Office Furniture 29</v>
      </c>
      <c r="F342" t="str">
        <f>_xlfn.XLOOKUP(B342,tblAssets[AssetID],tblAssets[Department],"Unmapped")</f>
        <v>Production</v>
      </c>
    </row>
    <row r="343" spans="1:6" x14ac:dyDescent="0.25">
      <c r="A343" t="s">
        <v>5430</v>
      </c>
      <c r="B343" t="s">
        <v>5160</v>
      </c>
      <c r="C343">
        <v>2029</v>
      </c>
      <c r="D343" s="1">
        <v>6444.51</v>
      </c>
      <c r="E343" t="str">
        <f>_xlfn.XLOOKUP(B343,tblAssets[AssetID],tblAssets[AssetName],"Unmapped")</f>
        <v>Production Machinery 32</v>
      </c>
      <c r="F343" t="str">
        <f>_xlfn.XLOOKUP(B343,tblAssets[AssetID],tblAssets[Department],"Unmapped")</f>
        <v>HR</v>
      </c>
    </row>
    <row r="344" spans="1:6" x14ac:dyDescent="0.25">
      <c r="A344" t="s">
        <v>5438</v>
      </c>
      <c r="B344" t="s">
        <v>5162</v>
      </c>
      <c r="C344">
        <v>2029</v>
      </c>
      <c r="D344" s="1">
        <v>2984.72</v>
      </c>
      <c r="E344" t="str">
        <f>_xlfn.XLOOKUP(B344,tblAssets[AssetID],tblAssets[AssetName],"Unmapped")</f>
        <v>Production Machinery 33</v>
      </c>
      <c r="F344" t="str">
        <f>_xlfn.XLOOKUP(B344,tblAssets[AssetID],tblAssets[Department],"Unmapped")</f>
        <v>IT</v>
      </c>
    </row>
    <row r="345" spans="1:6" x14ac:dyDescent="0.25">
      <c r="A345" t="s">
        <v>5448</v>
      </c>
      <c r="B345" t="s">
        <v>5164</v>
      </c>
      <c r="C345">
        <v>2029</v>
      </c>
      <c r="D345" s="1">
        <v>7296.53</v>
      </c>
      <c r="E345" t="str">
        <f>_xlfn.XLOOKUP(B345,tblAssets[AssetID],tblAssets[AssetName],"Unmapped")</f>
        <v>Production Machinery 34</v>
      </c>
      <c r="F345" t="str">
        <f>_xlfn.XLOOKUP(B345,tblAssets[AssetID],tblAssets[Department],"Unmapped")</f>
        <v>Finance</v>
      </c>
    </row>
    <row r="346" spans="1:6" x14ac:dyDescent="0.25">
      <c r="A346" t="s">
        <v>5498</v>
      </c>
      <c r="B346" t="s">
        <v>5178</v>
      </c>
      <c r="C346">
        <v>2029</v>
      </c>
      <c r="D346" s="1">
        <v>4170.88</v>
      </c>
      <c r="E346" t="str">
        <f>_xlfn.XLOOKUP(B346,tblAssets[AssetID],tblAssets[AssetName],"Unmapped")</f>
        <v>Vehicles 41</v>
      </c>
      <c r="F346" t="str">
        <f>_xlfn.XLOOKUP(B346,tblAssets[AssetID],tblAssets[Department],"Unmapped")</f>
        <v>HR</v>
      </c>
    </row>
    <row r="347" spans="1:6" x14ac:dyDescent="0.25">
      <c r="A347" t="s">
        <v>5508</v>
      </c>
      <c r="B347" t="s">
        <v>5180</v>
      </c>
      <c r="C347">
        <v>2029</v>
      </c>
      <c r="D347" s="1">
        <v>874.44</v>
      </c>
      <c r="E347" t="str">
        <f>_xlfn.XLOOKUP(B347,tblAssets[AssetID],tblAssets[AssetName],"Unmapped")</f>
        <v>Vehicles 42</v>
      </c>
      <c r="F347" t="str">
        <f>_xlfn.XLOOKUP(B347,tblAssets[AssetID],tblAssets[Department],"Unmapped")</f>
        <v>IT</v>
      </c>
    </row>
    <row r="348" spans="1:6" x14ac:dyDescent="0.25">
      <c r="A348" t="s">
        <v>5519</v>
      </c>
      <c r="B348" t="s">
        <v>5182</v>
      </c>
      <c r="C348">
        <v>2029</v>
      </c>
      <c r="D348" s="1">
        <v>4856.75</v>
      </c>
      <c r="E348" t="str">
        <f>_xlfn.XLOOKUP(B348,tblAssets[AssetID],tblAssets[AssetName],"Unmapped")</f>
        <v>Computer Equipment 43</v>
      </c>
      <c r="F348" t="str">
        <f>_xlfn.XLOOKUP(B348,tblAssets[AssetID],tblAssets[Department],"Unmapped")</f>
        <v>Marketing</v>
      </c>
    </row>
    <row r="349" spans="1:6" x14ac:dyDescent="0.25">
      <c r="A349" t="s">
        <v>5535</v>
      </c>
      <c r="B349" t="s">
        <v>5186</v>
      </c>
      <c r="C349">
        <v>2029</v>
      </c>
      <c r="D349" s="1">
        <v>1986.7</v>
      </c>
      <c r="E349" t="str">
        <f>_xlfn.XLOOKUP(B349,tblAssets[AssetID],tblAssets[AssetName],"Unmapped")</f>
        <v>Computer Equipment 45</v>
      </c>
      <c r="F349" t="str">
        <f>_xlfn.XLOOKUP(B349,tblAssets[AssetID],tblAssets[Department],"Unmapped")</f>
        <v>IT</v>
      </c>
    </row>
    <row r="350" spans="1:6" x14ac:dyDescent="0.25">
      <c r="A350" t="s">
        <v>5550</v>
      </c>
      <c r="B350" t="s">
        <v>5190</v>
      </c>
      <c r="C350">
        <v>2029</v>
      </c>
      <c r="D350" s="1">
        <v>1428.05</v>
      </c>
      <c r="E350" t="str">
        <f>_xlfn.XLOOKUP(B350,tblAssets[AssetID],tblAssets[AssetName],"Unmapped")</f>
        <v>Production Machinery 47</v>
      </c>
      <c r="F350" t="str">
        <f>_xlfn.XLOOKUP(B350,tblAssets[AssetID],tblAssets[Department],"Unmapped")</f>
        <v>HR</v>
      </c>
    </row>
    <row r="351" spans="1:6" x14ac:dyDescent="0.25">
      <c r="A351" t="s">
        <v>5562</v>
      </c>
      <c r="B351" t="s">
        <v>5192</v>
      </c>
      <c r="C351">
        <v>2029</v>
      </c>
      <c r="D351" s="1">
        <v>6219.94</v>
      </c>
      <c r="E351" t="str">
        <f>_xlfn.XLOOKUP(B351,tblAssets[AssetID],tblAssets[AssetName],"Unmapped")</f>
        <v>Vehicles 48</v>
      </c>
      <c r="F351" t="str">
        <f>_xlfn.XLOOKUP(B351,tblAssets[AssetID],tblAssets[Department],"Unmapped")</f>
        <v>Sales</v>
      </c>
    </row>
    <row r="352" spans="1:6" x14ac:dyDescent="0.25">
      <c r="A352" t="s">
        <v>5246</v>
      </c>
      <c r="B352" t="s">
        <v>5110</v>
      </c>
      <c r="C352">
        <v>2030</v>
      </c>
      <c r="D352" s="1">
        <v>7198.51</v>
      </c>
      <c r="E352" t="str">
        <f>_xlfn.XLOOKUP(B352,tblAssets[AssetID],tblAssets[AssetName],"Unmapped")</f>
        <v>Vehicles 7</v>
      </c>
      <c r="F352" t="str">
        <f>_xlfn.XLOOKUP(B352,tblAssets[AssetID],tblAssets[Department],"Unmapped")</f>
        <v>HR</v>
      </c>
    </row>
    <row r="353" spans="1:6" x14ac:dyDescent="0.25">
      <c r="A353" t="s">
        <v>5280</v>
      </c>
      <c r="B353" t="s">
        <v>5120</v>
      </c>
      <c r="C353">
        <v>2030</v>
      </c>
      <c r="D353" s="1">
        <v>3498.99</v>
      </c>
      <c r="E353" t="str">
        <f>_xlfn.XLOOKUP(B353,tblAssets[AssetID],tblAssets[AssetName],"Unmapped")</f>
        <v>Computer Equipment 12</v>
      </c>
      <c r="F353" t="str">
        <f>_xlfn.XLOOKUP(B353,tblAssets[AssetID],tblAssets[Department],"Unmapped")</f>
        <v>Sales</v>
      </c>
    </row>
    <row r="354" spans="1:6" x14ac:dyDescent="0.25">
      <c r="A354" t="s">
        <v>5301</v>
      </c>
      <c r="B354" t="s">
        <v>5126</v>
      </c>
      <c r="C354">
        <v>2030</v>
      </c>
      <c r="D354" s="1">
        <v>1841.23</v>
      </c>
      <c r="E354" t="str">
        <f>_xlfn.XLOOKUP(B354,tblAssets[AssetID],tblAssets[AssetName],"Unmapped")</f>
        <v>Computer Equipment 15</v>
      </c>
      <c r="F354" t="str">
        <f>_xlfn.XLOOKUP(B354,tblAssets[AssetID],tblAssets[Department],"Unmapped")</f>
        <v>Finance</v>
      </c>
    </row>
    <row r="355" spans="1:6" x14ac:dyDescent="0.25">
      <c r="A355" t="s">
        <v>5321</v>
      </c>
      <c r="B355" t="s">
        <v>5130</v>
      </c>
      <c r="C355">
        <v>2030</v>
      </c>
      <c r="D355" s="1">
        <v>6346.8</v>
      </c>
      <c r="E355" t="str">
        <f>_xlfn.XLOOKUP(B355,tblAssets[AssetID],tblAssets[AssetName],"Unmapped")</f>
        <v>Office Furniture 17</v>
      </c>
      <c r="F355" t="str">
        <f>_xlfn.XLOOKUP(B355,tblAssets[AssetID],tblAssets[Department],"Unmapped")</f>
        <v>IT</v>
      </c>
    </row>
    <row r="356" spans="1:6" x14ac:dyDescent="0.25">
      <c r="A356" t="s">
        <v>5352</v>
      </c>
      <c r="B356" t="s">
        <v>5138</v>
      </c>
      <c r="C356">
        <v>2030</v>
      </c>
      <c r="D356" s="1">
        <v>6435.33</v>
      </c>
      <c r="E356" t="str">
        <f>_xlfn.XLOOKUP(B356,tblAssets[AssetID],tblAssets[AssetName],"Unmapped")</f>
        <v>Computer Equipment 21</v>
      </c>
      <c r="F356" t="str">
        <f>_xlfn.XLOOKUP(B356,tblAssets[AssetID],tblAssets[Department],"Unmapped")</f>
        <v>IT</v>
      </c>
    </row>
    <row r="357" spans="1:6" x14ac:dyDescent="0.25">
      <c r="A357" t="s">
        <v>5376</v>
      </c>
      <c r="B357" t="s">
        <v>5146</v>
      </c>
      <c r="C357">
        <v>2030</v>
      </c>
      <c r="D357" s="1">
        <v>5388.28</v>
      </c>
      <c r="E357" t="str">
        <f>_xlfn.XLOOKUP(B357,tblAssets[AssetID],tblAssets[AssetName],"Unmapped")</f>
        <v>Vehicles 25</v>
      </c>
      <c r="F357" t="str">
        <f>_xlfn.XLOOKUP(B357,tblAssets[AssetID],tblAssets[Department],"Unmapped")</f>
        <v>Production</v>
      </c>
    </row>
    <row r="358" spans="1:6" x14ac:dyDescent="0.25">
      <c r="A358" t="s">
        <v>5439</v>
      </c>
      <c r="B358" t="s">
        <v>5162</v>
      </c>
      <c r="C358">
        <v>2030</v>
      </c>
      <c r="D358" s="1">
        <v>2984.72</v>
      </c>
      <c r="E358" t="str">
        <f>_xlfn.XLOOKUP(B358,tblAssets[AssetID],tblAssets[AssetName],"Unmapped")</f>
        <v>Production Machinery 33</v>
      </c>
      <c r="F358" t="str">
        <f>_xlfn.XLOOKUP(B358,tblAssets[AssetID],tblAssets[Department],"Unmapped")</f>
        <v>IT</v>
      </c>
    </row>
    <row r="359" spans="1:6" x14ac:dyDescent="0.25">
      <c r="A359" t="s">
        <v>5449</v>
      </c>
      <c r="B359" t="s">
        <v>5164</v>
      </c>
      <c r="C359">
        <v>2030</v>
      </c>
      <c r="D359" s="1">
        <v>7296.53</v>
      </c>
      <c r="E359" t="str">
        <f>_xlfn.XLOOKUP(B359,tblAssets[AssetID],tblAssets[AssetName],"Unmapped")</f>
        <v>Production Machinery 34</v>
      </c>
      <c r="F359" t="str">
        <f>_xlfn.XLOOKUP(B359,tblAssets[AssetID],tblAssets[Department],"Unmapped")</f>
        <v>Finance</v>
      </c>
    </row>
    <row r="360" spans="1:6" x14ac:dyDescent="0.25">
      <c r="A360" t="s">
        <v>5499</v>
      </c>
      <c r="B360" t="s">
        <v>5178</v>
      </c>
      <c r="C360">
        <v>2030</v>
      </c>
      <c r="D360" s="1">
        <v>4170.88</v>
      </c>
      <c r="E360" t="str">
        <f>_xlfn.XLOOKUP(B360,tblAssets[AssetID],tblAssets[AssetName],"Unmapped")</f>
        <v>Vehicles 41</v>
      </c>
      <c r="F360" t="str">
        <f>_xlfn.XLOOKUP(B360,tblAssets[AssetID],tblAssets[Department],"Unmapped")</f>
        <v>HR</v>
      </c>
    </row>
    <row r="361" spans="1:6" x14ac:dyDescent="0.25">
      <c r="A361" t="s">
        <v>5509</v>
      </c>
      <c r="B361" t="s">
        <v>5180</v>
      </c>
      <c r="C361">
        <v>2030</v>
      </c>
      <c r="D361" s="1">
        <v>874.44</v>
      </c>
      <c r="E361" t="str">
        <f>_xlfn.XLOOKUP(B361,tblAssets[AssetID],tblAssets[AssetName],"Unmapped")</f>
        <v>Vehicles 42</v>
      </c>
      <c r="F361" t="str">
        <f>_xlfn.XLOOKUP(B361,tblAssets[AssetID],tblAssets[Department],"Unmapped")</f>
        <v>IT</v>
      </c>
    </row>
    <row r="362" spans="1:6" x14ac:dyDescent="0.25">
      <c r="A362" t="s">
        <v>5520</v>
      </c>
      <c r="B362" t="s">
        <v>5182</v>
      </c>
      <c r="C362">
        <v>2030</v>
      </c>
      <c r="D362" s="1">
        <v>4856.75</v>
      </c>
      <c r="E362" t="str">
        <f>_xlfn.XLOOKUP(B362,tblAssets[AssetID],tblAssets[AssetName],"Unmapped")</f>
        <v>Computer Equipment 43</v>
      </c>
      <c r="F362" t="str">
        <f>_xlfn.XLOOKUP(B362,tblAssets[AssetID],tblAssets[Department],"Unmapped")</f>
        <v>Marketing</v>
      </c>
    </row>
    <row r="363" spans="1:6" x14ac:dyDescent="0.25">
      <c r="A363" t="s">
        <v>5536</v>
      </c>
      <c r="B363" t="s">
        <v>5186</v>
      </c>
      <c r="C363">
        <v>2030</v>
      </c>
      <c r="D363" s="1">
        <v>1986.7</v>
      </c>
      <c r="E363" t="str">
        <f>_xlfn.XLOOKUP(B363,tblAssets[AssetID],tblAssets[AssetName],"Unmapped")</f>
        <v>Computer Equipment 45</v>
      </c>
      <c r="F363" t="str">
        <f>_xlfn.XLOOKUP(B363,tblAssets[AssetID],tblAssets[Department],"Unmapped")</f>
        <v>IT</v>
      </c>
    </row>
    <row r="364" spans="1:6" x14ac:dyDescent="0.25">
      <c r="A364" t="s">
        <v>5551</v>
      </c>
      <c r="B364" t="s">
        <v>5190</v>
      </c>
      <c r="C364">
        <v>2030</v>
      </c>
      <c r="D364" s="1">
        <v>1428.05</v>
      </c>
      <c r="E364" t="str">
        <f>_xlfn.XLOOKUP(B364,tblAssets[AssetID],tblAssets[AssetName],"Unmapped")</f>
        <v>Production Machinery 47</v>
      </c>
      <c r="F364" t="str">
        <f>_xlfn.XLOOKUP(B364,tblAssets[AssetID],tblAssets[Department],"Unmapped")</f>
        <v>HR</v>
      </c>
    </row>
    <row r="365" spans="1:6" x14ac:dyDescent="0.25">
      <c r="A365" t="s">
        <v>5302</v>
      </c>
      <c r="B365" t="s">
        <v>5126</v>
      </c>
      <c r="C365">
        <v>2031</v>
      </c>
      <c r="D365" s="1">
        <v>1841.23</v>
      </c>
      <c r="E365" t="str">
        <f>_xlfn.XLOOKUP(B365,tblAssets[AssetID],tblAssets[AssetName],"Unmapped")</f>
        <v>Computer Equipment 15</v>
      </c>
      <c r="F365" t="str">
        <f>_xlfn.XLOOKUP(B365,tblAssets[AssetID],tblAssets[Department],"Unmapped")</f>
        <v>Finance</v>
      </c>
    </row>
    <row r="366" spans="1:6" x14ac:dyDescent="0.25">
      <c r="A366" t="s">
        <v>5322</v>
      </c>
      <c r="B366" t="s">
        <v>5130</v>
      </c>
      <c r="C366">
        <v>2031</v>
      </c>
      <c r="D366" s="1">
        <v>6346.8</v>
      </c>
      <c r="E366" t="str">
        <f>_xlfn.XLOOKUP(B366,tblAssets[AssetID],tblAssets[AssetName],"Unmapped")</f>
        <v>Office Furniture 17</v>
      </c>
      <c r="F366" t="str">
        <f>_xlfn.XLOOKUP(B366,tblAssets[AssetID],tblAssets[Department],"Unmapped")</f>
        <v>IT</v>
      </c>
    </row>
    <row r="367" spans="1:6" x14ac:dyDescent="0.25">
      <c r="A367" t="s">
        <v>5377</v>
      </c>
      <c r="B367" t="s">
        <v>5146</v>
      </c>
      <c r="C367">
        <v>2031</v>
      </c>
      <c r="D367" s="1">
        <v>5388.28</v>
      </c>
      <c r="E367" t="str">
        <f>_xlfn.XLOOKUP(B367,tblAssets[AssetID],tblAssets[AssetName],"Unmapped")</f>
        <v>Vehicles 25</v>
      </c>
      <c r="F367" t="str">
        <f>_xlfn.XLOOKUP(B367,tblAssets[AssetID],tblAssets[Department],"Unmapped")</f>
        <v>Production</v>
      </c>
    </row>
    <row r="368" spans="1:6" x14ac:dyDescent="0.25">
      <c r="A368" t="s">
        <v>5440</v>
      </c>
      <c r="B368" t="s">
        <v>5162</v>
      </c>
      <c r="C368">
        <v>2031</v>
      </c>
      <c r="D368" s="1">
        <v>2984.72</v>
      </c>
      <c r="E368" t="str">
        <f>_xlfn.XLOOKUP(B368,tblAssets[AssetID],tblAssets[AssetName],"Unmapped")</f>
        <v>Production Machinery 33</v>
      </c>
      <c r="F368" t="str">
        <f>_xlfn.XLOOKUP(B368,tblAssets[AssetID],tblAssets[Department],"Unmapped")</f>
        <v>IT</v>
      </c>
    </row>
    <row r="369" spans="1:6" x14ac:dyDescent="0.25">
      <c r="A369" t="s">
        <v>5450</v>
      </c>
      <c r="B369" t="s">
        <v>5164</v>
      </c>
      <c r="C369">
        <v>2031</v>
      </c>
      <c r="D369" s="1">
        <v>7296.53</v>
      </c>
      <c r="E369" t="str">
        <f>_xlfn.XLOOKUP(B369,tblAssets[AssetID],tblAssets[AssetName],"Unmapped")</f>
        <v>Production Machinery 34</v>
      </c>
      <c r="F369" t="str">
        <f>_xlfn.XLOOKUP(B369,tblAssets[AssetID],tblAssets[Department],"Unmapped")</f>
        <v>Finance</v>
      </c>
    </row>
    <row r="370" spans="1:6" x14ac:dyDescent="0.25">
      <c r="A370" t="s">
        <v>5500</v>
      </c>
      <c r="B370" t="s">
        <v>5178</v>
      </c>
      <c r="C370">
        <v>2031</v>
      </c>
      <c r="D370" s="1">
        <v>4170.88</v>
      </c>
      <c r="E370" t="str">
        <f>_xlfn.XLOOKUP(B370,tblAssets[AssetID],tblAssets[AssetName],"Unmapped")</f>
        <v>Vehicles 41</v>
      </c>
      <c r="F370" t="str">
        <f>_xlfn.XLOOKUP(B370,tblAssets[AssetID],tblAssets[Department],"Unmapped")</f>
        <v>HR</v>
      </c>
    </row>
    <row r="371" spans="1:6" x14ac:dyDescent="0.25">
      <c r="A371" t="s">
        <v>5510</v>
      </c>
      <c r="B371" t="s">
        <v>5180</v>
      </c>
      <c r="C371">
        <v>2031</v>
      </c>
      <c r="D371" s="1">
        <v>874.44</v>
      </c>
      <c r="E371" t="str">
        <f>_xlfn.XLOOKUP(B371,tblAssets[AssetID],tblAssets[AssetName],"Unmapped")</f>
        <v>Vehicles 42</v>
      </c>
      <c r="F371" t="str">
        <f>_xlfn.XLOOKUP(B371,tblAssets[AssetID],tblAssets[Department],"Unmapped")</f>
        <v>IT</v>
      </c>
    </row>
    <row r="372" spans="1:6" x14ac:dyDescent="0.25">
      <c r="A372" t="s">
        <v>5537</v>
      </c>
      <c r="B372" t="s">
        <v>5186</v>
      </c>
      <c r="C372">
        <v>2031</v>
      </c>
      <c r="D372" s="1">
        <v>1986.7</v>
      </c>
      <c r="E372" t="str">
        <f>_xlfn.XLOOKUP(B372,tblAssets[AssetID],tblAssets[AssetName],"Unmapped")</f>
        <v>Computer Equipment 45</v>
      </c>
      <c r="F372" t="str">
        <f>_xlfn.XLOOKUP(B372,tblAssets[AssetID],tblAssets[Department],"Unmapped")</f>
        <v>IT</v>
      </c>
    </row>
    <row r="373" spans="1:6" x14ac:dyDescent="0.25">
      <c r="A373" t="s">
        <v>5552</v>
      </c>
      <c r="B373" t="s">
        <v>5190</v>
      </c>
      <c r="C373">
        <v>2031</v>
      </c>
      <c r="D373" s="1">
        <v>1428.05</v>
      </c>
      <c r="E373" t="str">
        <f>_xlfn.XLOOKUP(B373,tblAssets[AssetID],tblAssets[AssetName],"Unmapped")</f>
        <v>Production Machinery 47</v>
      </c>
      <c r="F373" t="str">
        <f>_xlfn.XLOOKUP(B373,tblAssets[AssetID],tblAssets[Department],"Unmapped")</f>
        <v>HR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1"/>
  <sheetViews>
    <sheetView workbookViewId="0">
      <pane ySplit="1" topLeftCell="A2" activePane="bottomLeft" state="frozen"/>
      <selection pane="bottomLeft" sqref="A1:F101"/>
    </sheetView>
  </sheetViews>
  <sheetFormatPr defaultRowHeight="15.75" x14ac:dyDescent="0.25"/>
  <cols>
    <col min="1" max="1" width="12.875" bestFit="1" customWidth="1"/>
    <col min="2" max="2" width="10.125" bestFit="1" customWidth="1"/>
    <col min="3" max="3" width="10.625" bestFit="1" customWidth="1"/>
    <col min="4" max="4" width="7.875" bestFit="1" customWidth="1"/>
    <col min="5" max="5" width="8.875" bestFit="1" customWidth="1"/>
    <col min="6" max="6" width="16.75" bestFit="1" customWidth="1"/>
  </cols>
  <sheetData>
    <row r="1" spans="1:6" x14ac:dyDescent="0.25">
      <c r="A1" t="s">
        <v>5573</v>
      </c>
      <c r="B1" t="s">
        <v>5574</v>
      </c>
      <c r="C1" t="s">
        <v>5575</v>
      </c>
      <c r="D1" t="s">
        <v>5576</v>
      </c>
      <c r="E1" t="s">
        <v>5577</v>
      </c>
      <c r="F1" t="s">
        <v>5690</v>
      </c>
    </row>
    <row r="2" spans="1:6" x14ac:dyDescent="0.25">
      <c r="A2" t="s">
        <v>5578</v>
      </c>
      <c r="B2" s="3">
        <v>46303</v>
      </c>
      <c r="C2" s="1">
        <v>12394.28</v>
      </c>
      <c r="D2" s="1">
        <v>2726.74</v>
      </c>
      <c r="E2" s="1">
        <v>9667.5400000000009</v>
      </c>
      <c r="F2" s="2">
        <f t="shared" ref="F2:F33" si="0">IFERROR(D2/C2,0)</f>
        <v>0.21999987090819312</v>
      </c>
    </row>
    <row r="3" spans="1:6" x14ac:dyDescent="0.25">
      <c r="A3" t="s">
        <v>5579</v>
      </c>
      <c r="B3" s="3">
        <v>46303</v>
      </c>
      <c r="C3" s="1">
        <v>6627.84</v>
      </c>
      <c r="D3" s="1">
        <v>1458.12</v>
      </c>
      <c r="E3" s="1">
        <v>5169.72</v>
      </c>
      <c r="F3" s="2">
        <f t="shared" si="0"/>
        <v>0.21999927578215525</v>
      </c>
    </row>
    <row r="4" spans="1:6" x14ac:dyDescent="0.25">
      <c r="A4" t="s">
        <v>5580</v>
      </c>
      <c r="B4" s="3">
        <v>46303</v>
      </c>
      <c r="C4" s="1">
        <v>14279.99</v>
      </c>
      <c r="D4" s="1">
        <v>3141.6</v>
      </c>
      <c r="E4" s="1">
        <v>11138.39</v>
      </c>
      <c r="F4" s="2">
        <f t="shared" si="0"/>
        <v>0.22000015406173254</v>
      </c>
    </row>
    <row r="5" spans="1:6" x14ac:dyDescent="0.25">
      <c r="A5" t="s">
        <v>5581</v>
      </c>
      <c r="B5" s="3">
        <v>46303</v>
      </c>
      <c r="C5" s="1">
        <v>12710.14</v>
      </c>
      <c r="D5" s="1">
        <v>2796.23</v>
      </c>
      <c r="E5" s="1">
        <v>9913.91</v>
      </c>
      <c r="F5" s="2">
        <f t="shared" si="0"/>
        <v>0.2199999370581284</v>
      </c>
    </row>
    <row r="6" spans="1:6" x14ac:dyDescent="0.25">
      <c r="A6" t="s">
        <v>5582</v>
      </c>
      <c r="B6" s="3">
        <v>46303</v>
      </c>
      <c r="C6" s="1">
        <v>5309</v>
      </c>
      <c r="D6" s="1">
        <v>1167.98</v>
      </c>
      <c r="E6" s="1">
        <v>4141.0200000000004</v>
      </c>
      <c r="F6" s="2">
        <f t="shared" si="0"/>
        <v>0.22</v>
      </c>
    </row>
    <row r="7" spans="1:6" x14ac:dyDescent="0.25">
      <c r="A7" t="s">
        <v>5583</v>
      </c>
      <c r="B7" s="3">
        <v>46303</v>
      </c>
      <c r="C7" s="1">
        <v>8018.1</v>
      </c>
      <c r="D7" s="1">
        <v>1763.98</v>
      </c>
      <c r="E7" s="1">
        <v>6254.12</v>
      </c>
      <c r="F7" s="2">
        <f t="shared" si="0"/>
        <v>0.21999975056434815</v>
      </c>
    </row>
    <row r="8" spans="1:6" x14ac:dyDescent="0.25">
      <c r="A8" t="s">
        <v>5584</v>
      </c>
      <c r="B8" s="3">
        <v>46303</v>
      </c>
      <c r="C8" s="1">
        <v>8741.4699999999993</v>
      </c>
      <c r="D8" s="1">
        <v>1923.12</v>
      </c>
      <c r="E8" s="1">
        <v>6818.35</v>
      </c>
      <c r="F8" s="2">
        <f t="shared" si="0"/>
        <v>0.21999961104940016</v>
      </c>
    </row>
    <row r="9" spans="1:6" x14ac:dyDescent="0.25">
      <c r="A9" t="s">
        <v>5585</v>
      </c>
      <c r="B9" s="3">
        <v>46303</v>
      </c>
      <c r="C9" s="1">
        <v>6021.19</v>
      </c>
      <c r="D9" s="1">
        <v>1324.66</v>
      </c>
      <c r="E9" s="1">
        <v>4696.53</v>
      </c>
      <c r="F9" s="2">
        <f t="shared" si="0"/>
        <v>0.21999970105577141</v>
      </c>
    </row>
    <row r="10" spans="1:6" x14ac:dyDescent="0.25">
      <c r="A10" t="s">
        <v>5586</v>
      </c>
      <c r="B10" s="3">
        <v>46303</v>
      </c>
      <c r="C10" s="1">
        <v>5256.64</v>
      </c>
      <c r="D10" s="1">
        <v>1156.46</v>
      </c>
      <c r="E10" s="1">
        <v>4100.18</v>
      </c>
      <c r="F10" s="2">
        <f t="shared" si="0"/>
        <v>0.21999984781152979</v>
      </c>
    </row>
    <row r="11" spans="1:6" x14ac:dyDescent="0.25">
      <c r="A11" t="s">
        <v>5587</v>
      </c>
      <c r="B11" s="3">
        <v>46303</v>
      </c>
      <c r="C11" s="1">
        <v>13610.66</v>
      </c>
      <c r="D11" s="1">
        <v>2994.35</v>
      </c>
      <c r="E11" s="1">
        <v>10616.31</v>
      </c>
      <c r="F11" s="2">
        <f t="shared" si="0"/>
        <v>0.22000035266474954</v>
      </c>
    </row>
    <row r="12" spans="1:6" x14ac:dyDescent="0.25">
      <c r="A12" t="s">
        <v>5588</v>
      </c>
      <c r="B12" s="3">
        <v>46303</v>
      </c>
      <c r="C12" s="1">
        <v>4527.9399999999996</v>
      </c>
      <c r="D12" s="1">
        <v>996.15</v>
      </c>
      <c r="E12" s="1">
        <v>3531.79</v>
      </c>
      <c r="F12" s="2">
        <f t="shared" si="0"/>
        <v>0.22000070672314564</v>
      </c>
    </row>
    <row r="13" spans="1:6" x14ac:dyDescent="0.25">
      <c r="A13" t="s">
        <v>5589</v>
      </c>
      <c r="B13" s="3">
        <v>46303</v>
      </c>
      <c r="C13" s="1">
        <v>10959.34</v>
      </c>
      <c r="D13" s="1">
        <v>2411.0500000000002</v>
      </c>
      <c r="E13" s="1">
        <v>8548.2900000000009</v>
      </c>
      <c r="F13" s="2">
        <f t="shared" si="0"/>
        <v>0.21999956201742077</v>
      </c>
    </row>
    <row r="14" spans="1:6" x14ac:dyDescent="0.25">
      <c r="A14" t="s">
        <v>5590</v>
      </c>
      <c r="B14" s="3">
        <v>46303</v>
      </c>
      <c r="C14" s="1">
        <v>4145.6099999999997</v>
      </c>
      <c r="D14" s="1">
        <v>912.03</v>
      </c>
      <c r="E14" s="1">
        <v>3233.58</v>
      </c>
      <c r="F14" s="2">
        <f t="shared" si="0"/>
        <v>0.21999898688009728</v>
      </c>
    </row>
    <row r="15" spans="1:6" x14ac:dyDescent="0.25">
      <c r="A15" t="s">
        <v>5591</v>
      </c>
      <c r="B15" s="3">
        <v>46303</v>
      </c>
      <c r="C15" s="1">
        <v>6280.13</v>
      </c>
      <c r="D15" s="1">
        <v>1381.63</v>
      </c>
      <c r="E15" s="1">
        <v>4898.5</v>
      </c>
      <c r="F15" s="2">
        <f t="shared" si="0"/>
        <v>0.22000022292532162</v>
      </c>
    </row>
    <row r="16" spans="1:6" x14ac:dyDescent="0.25">
      <c r="A16" t="s">
        <v>5592</v>
      </c>
      <c r="B16" s="3">
        <v>46303</v>
      </c>
      <c r="C16" s="1">
        <v>6593.59</v>
      </c>
      <c r="D16" s="1">
        <v>1450.59</v>
      </c>
      <c r="E16" s="1">
        <v>5143</v>
      </c>
      <c r="F16" s="2">
        <f t="shared" si="0"/>
        <v>0.22000003033248958</v>
      </c>
    </row>
    <row r="17" spans="1:6" x14ac:dyDescent="0.25">
      <c r="A17" t="s">
        <v>5593</v>
      </c>
      <c r="B17" s="3">
        <v>46303</v>
      </c>
      <c r="C17" s="1">
        <v>14612.48</v>
      </c>
      <c r="D17" s="1">
        <v>3214.75</v>
      </c>
      <c r="E17" s="1">
        <v>11397.73</v>
      </c>
      <c r="F17" s="2">
        <f t="shared" si="0"/>
        <v>0.22000030111247373</v>
      </c>
    </row>
    <row r="18" spans="1:6" x14ac:dyDescent="0.25">
      <c r="A18" t="s">
        <v>5594</v>
      </c>
      <c r="B18" s="3">
        <v>46303</v>
      </c>
      <c r="C18" s="1">
        <v>8779.25</v>
      </c>
      <c r="D18" s="1">
        <v>1931.43</v>
      </c>
      <c r="E18" s="1">
        <v>6847.82</v>
      </c>
      <c r="F18" s="2">
        <f t="shared" si="0"/>
        <v>0.2199994304752684</v>
      </c>
    </row>
    <row r="19" spans="1:6" x14ac:dyDescent="0.25">
      <c r="A19" t="s">
        <v>5595</v>
      </c>
      <c r="B19" s="3">
        <v>46303</v>
      </c>
      <c r="C19" s="1">
        <v>13689.13</v>
      </c>
      <c r="D19" s="1">
        <v>3011.61</v>
      </c>
      <c r="E19" s="1">
        <v>10677.52</v>
      </c>
      <c r="F19" s="2">
        <f t="shared" si="0"/>
        <v>0.22000010227092592</v>
      </c>
    </row>
    <row r="20" spans="1:6" x14ac:dyDescent="0.25">
      <c r="A20" t="s">
        <v>5596</v>
      </c>
      <c r="B20" s="3">
        <v>46303</v>
      </c>
      <c r="C20" s="1">
        <v>7380.48</v>
      </c>
      <c r="D20" s="1">
        <v>1623.71</v>
      </c>
      <c r="E20" s="1">
        <v>5756.77</v>
      </c>
      <c r="F20" s="2">
        <f t="shared" si="0"/>
        <v>0.22000059616718698</v>
      </c>
    </row>
    <row r="21" spans="1:6" x14ac:dyDescent="0.25">
      <c r="A21" t="s">
        <v>5597</v>
      </c>
      <c r="B21" s="3">
        <v>46303</v>
      </c>
      <c r="C21" s="1">
        <v>10051.780000000001</v>
      </c>
      <c r="D21" s="1">
        <v>2211.39</v>
      </c>
      <c r="E21" s="1">
        <v>7840.39</v>
      </c>
      <c r="F21" s="2">
        <f t="shared" si="0"/>
        <v>0.2199998408242122</v>
      </c>
    </row>
    <row r="22" spans="1:6" x14ac:dyDescent="0.25">
      <c r="A22" t="s">
        <v>5598</v>
      </c>
      <c r="B22" s="3">
        <v>46303</v>
      </c>
      <c r="C22" s="1">
        <v>12162.51</v>
      </c>
      <c r="D22" s="1">
        <v>2675.75</v>
      </c>
      <c r="E22" s="1">
        <v>9486.76</v>
      </c>
      <c r="F22" s="2">
        <f t="shared" si="0"/>
        <v>0.21999981911628438</v>
      </c>
    </row>
    <row r="23" spans="1:6" x14ac:dyDescent="0.25">
      <c r="A23" t="s">
        <v>5599</v>
      </c>
      <c r="B23" s="3">
        <v>46303</v>
      </c>
      <c r="C23" s="1">
        <v>8018</v>
      </c>
      <c r="D23" s="1">
        <v>1763.96</v>
      </c>
      <c r="E23" s="1">
        <v>6254.04</v>
      </c>
      <c r="F23" s="2">
        <f t="shared" si="0"/>
        <v>0.22</v>
      </c>
    </row>
    <row r="24" spans="1:6" x14ac:dyDescent="0.25">
      <c r="A24" t="s">
        <v>5600</v>
      </c>
      <c r="B24" s="3">
        <v>46303</v>
      </c>
      <c r="C24" s="1">
        <v>4218.22</v>
      </c>
      <c r="D24" s="1">
        <v>928.01</v>
      </c>
      <c r="E24" s="1">
        <v>3290.21</v>
      </c>
      <c r="F24" s="2">
        <f t="shared" si="0"/>
        <v>0.22000037930691144</v>
      </c>
    </row>
    <row r="25" spans="1:6" x14ac:dyDescent="0.25">
      <c r="A25" t="s">
        <v>5601</v>
      </c>
      <c r="B25" s="3">
        <v>46303</v>
      </c>
      <c r="C25" s="1">
        <v>8914.0400000000009</v>
      </c>
      <c r="D25" s="1">
        <v>1961.09</v>
      </c>
      <c r="E25" s="1">
        <v>6952.95</v>
      </c>
      <c r="F25" s="2">
        <f t="shared" si="0"/>
        <v>0.22000013461909523</v>
      </c>
    </row>
    <row r="26" spans="1:6" x14ac:dyDescent="0.25">
      <c r="A26" t="s">
        <v>5602</v>
      </c>
      <c r="B26" s="3">
        <v>46303</v>
      </c>
      <c r="C26" s="1">
        <v>8131.79</v>
      </c>
      <c r="D26" s="1">
        <v>1788.99</v>
      </c>
      <c r="E26" s="1">
        <v>6342.8</v>
      </c>
      <c r="F26" s="2">
        <f t="shared" si="0"/>
        <v>0.21999953269821282</v>
      </c>
    </row>
    <row r="27" spans="1:6" x14ac:dyDescent="0.25">
      <c r="A27" t="s">
        <v>5603</v>
      </c>
      <c r="B27" s="3">
        <v>46303</v>
      </c>
      <c r="C27" s="1">
        <v>8071.86</v>
      </c>
      <c r="D27" s="1">
        <v>1775.81</v>
      </c>
      <c r="E27" s="1">
        <v>6296.05</v>
      </c>
      <c r="F27" s="2">
        <f t="shared" si="0"/>
        <v>0.22000009910974672</v>
      </c>
    </row>
    <row r="28" spans="1:6" x14ac:dyDescent="0.25">
      <c r="A28" t="s">
        <v>5604</v>
      </c>
      <c r="B28" s="3">
        <v>46303</v>
      </c>
      <c r="C28" s="1">
        <v>5507.14</v>
      </c>
      <c r="D28" s="1">
        <v>1211.57</v>
      </c>
      <c r="E28" s="1">
        <v>4295.57</v>
      </c>
      <c r="F28" s="2">
        <f t="shared" si="0"/>
        <v>0.21999985473403616</v>
      </c>
    </row>
    <row r="29" spans="1:6" x14ac:dyDescent="0.25">
      <c r="A29" t="s">
        <v>5605</v>
      </c>
      <c r="B29" s="3">
        <v>46303</v>
      </c>
      <c r="C29" s="1">
        <v>8848.8799999999992</v>
      </c>
      <c r="D29" s="1">
        <v>1946.75</v>
      </c>
      <c r="E29" s="1">
        <v>6902.13</v>
      </c>
      <c r="F29" s="2">
        <f t="shared" si="0"/>
        <v>0.21999959316885304</v>
      </c>
    </row>
    <row r="30" spans="1:6" x14ac:dyDescent="0.25">
      <c r="A30" t="s">
        <v>5606</v>
      </c>
      <c r="B30" s="3">
        <v>46303</v>
      </c>
      <c r="C30" s="1">
        <v>7351.87</v>
      </c>
      <c r="D30" s="1">
        <v>1617.41</v>
      </c>
      <c r="E30" s="1">
        <v>5734.46</v>
      </c>
      <c r="F30" s="2">
        <f t="shared" si="0"/>
        <v>0.21999980957225851</v>
      </c>
    </row>
    <row r="31" spans="1:6" x14ac:dyDescent="0.25">
      <c r="A31" t="s">
        <v>5607</v>
      </c>
      <c r="B31" s="3">
        <v>46303</v>
      </c>
      <c r="C31" s="1">
        <v>10237.709999999999</v>
      </c>
      <c r="D31" s="1">
        <v>2252.3000000000002</v>
      </c>
      <c r="E31" s="1">
        <v>7985.41</v>
      </c>
      <c r="F31" s="2">
        <f t="shared" si="0"/>
        <v>0.22000037117675733</v>
      </c>
    </row>
    <row r="32" spans="1:6" x14ac:dyDescent="0.25">
      <c r="A32" t="s">
        <v>5608</v>
      </c>
      <c r="B32" s="3">
        <v>46303</v>
      </c>
      <c r="C32" s="1">
        <v>8698.44</v>
      </c>
      <c r="D32" s="1">
        <v>1913.66</v>
      </c>
      <c r="E32" s="1">
        <v>6784.78</v>
      </c>
      <c r="F32" s="2">
        <f t="shared" si="0"/>
        <v>0.22000036788205701</v>
      </c>
    </row>
    <row r="33" spans="1:6" x14ac:dyDescent="0.25">
      <c r="A33" t="s">
        <v>5609</v>
      </c>
      <c r="B33" s="3">
        <v>46303</v>
      </c>
      <c r="C33" s="1">
        <v>10520.81</v>
      </c>
      <c r="D33" s="1">
        <v>2314.58</v>
      </c>
      <c r="E33" s="1">
        <v>8206.23</v>
      </c>
      <c r="F33" s="2">
        <f t="shared" si="0"/>
        <v>0.22000017108948836</v>
      </c>
    </row>
    <row r="34" spans="1:6" x14ac:dyDescent="0.25">
      <c r="A34" t="s">
        <v>5610</v>
      </c>
      <c r="B34" s="3">
        <v>46303</v>
      </c>
      <c r="C34" s="1">
        <v>9980.83</v>
      </c>
      <c r="D34" s="1">
        <v>2195.7800000000002</v>
      </c>
      <c r="E34" s="1">
        <v>7785.05</v>
      </c>
      <c r="F34" s="2">
        <f t="shared" ref="F34:F65" si="1">IFERROR(D34/C34,0)</f>
        <v>0.21999973950062271</v>
      </c>
    </row>
    <row r="35" spans="1:6" x14ac:dyDescent="0.25">
      <c r="A35" t="s">
        <v>5611</v>
      </c>
      <c r="B35" s="3">
        <v>46303</v>
      </c>
      <c r="C35" s="1">
        <v>4241.8500000000004</v>
      </c>
      <c r="D35" s="1">
        <v>933.21</v>
      </c>
      <c r="E35" s="1">
        <v>3308.64</v>
      </c>
      <c r="F35" s="2">
        <f t="shared" si="1"/>
        <v>0.22000070723858692</v>
      </c>
    </row>
    <row r="36" spans="1:6" x14ac:dyDescent="0.25">
      <c r="A36" t="s">
        <v>5612</v>
      </c>
      <c r="B36" s="3">
        <v>46303</v>
      </c>
      <c r="C36" s="1">
        <v>9465.35</v>
      </c>
      <c r="D36" s="1">
        <v>2082.38</v>
      </c>
      <c r="E36" s="1">
        <v>7382.97</v>
      </c>
      <c r="F36" s="2">
        <f t="shared" si="1"/>
        <v>0.22000031694549066</v>
      </c>
    </row>
    <row r="37" spans="1:6" x14ac:dyDescent="0.25">
      <c r="A37" t="s">
        <v>5613</v>
      </c>
      <c r="B37" s="3">
        <v>46303</v>
      </c>
      <c r="C37" s="1">
        <v>14661.52</v>
      </c>
      <c r="D37" s="1">
        <v>3225.53</v>
      </c>
      <c r="E37" s="1">
        <v>11435.99</v>
      </c>
      <c r="F37" s="2">
        <f t="shared" si="1"/>
        <v>0.21999969989469031</v>
      </c>
    </row>
    <row r="38" spans="1:6" x14ac:dyDescent="0.25">
      <c r="A38" t="s">
        <v>5614</v>
      </c>
      <c r="B38" s="3">
        <v>46303</v>
      </c>
      <c r="C38" s="1">
        <v>13483.15</v>
      </c>
      <c r="D38" s="1">
        <v>2966.29</v>
      </c>
      <c r="E38" s="1">
        <v>10516.86</v>
      </c>
      <c r="F38" s="2">
        <f t="shared" si="1"/>
        <v>0.21999977750006489</v>
      </c>
    </row>
    <row r="39" spans="1:6" x14ac:dyDescent="0.25">
      <c r="A39" t="s">
        <v>5615</v>
      </c>
      <c r="B39" s="3">
        <v>46303</v>
      </c>
      <c r="C39" s="1">
        <v>11487.84</v>
      </c>
      <c r="D39" s="1">
        <v>2527.3200000000002</v>
      </c>
      <c r="E39" s="1">
        <v>8960.52</v>
      </c>
      <c r="F39" s="2">
        <f t="shared" si="1"/>
        <v>0.21999958216688256</v>
      </c>
    </row>
    <row r="40" spans="1:6" x14ac:dyDescent="0.25">
      <c r="A40" t="s">
        <v>5616</v>
      </c>
      <c r="B40" s="3">
        <v>46303</v>
      </c>
      <c r="C40" s="1">
        <v>9705.36</v>
      </c>
      <c r="D40" s="1">
        <v>2135.1799999999998</v>
      </c>
      <c r="E40" s="1">
        <v>7570.18</v>
      </c>
      <c r="F40" s="2">
        <f t="shared" si="1"/>
        <v>0.22000008242867855</v>
      </c>
    </row>
    <row r="41" spans="1:6" x14ac:dyDescent="0.25">
      <c r="A41" t="s">
        <v>5617</v>
      </c>
      <c r="B41" s="3">
        <v>46303</v>
      </c>
      <c r="C41" s="1">
        <v>14393.99</v>
      </c>
      <c r="D41" s="1">
        <v>3166.68</v>
      </c>
      <c r="E41" s="1">
        <v>11227.31</v>
      </c>
      <c r="F41" s="2">
        <f t="shared" si="1"/>
        <v>0.2200001528415679</v>
      </c>
    </row>
    <row r="42" spans="1:6" x14ac:dyDescent="0.25">
      <c r="A42" t="s">
        <v>5618</v>
      </c>
      <c r="B42" s="3">
        <v>46303</v>
      </c>
      <c r="C42" s="1">
        <v>4538.28</v>
      </c>
      <c r="D42" s="1">
        <v>998.42</v>
      </c>
      <c r="E42" s="1">
        <v>3539.86</v>
      </c>
      <c r="F42" s="2">
        <f t="shared" si="1"/>
        <v>0.21999964744352488</v>
      </c>
    </row>
    <row r="43" spans="1:6" x14ac:dyDescent="0.25">
      <c r="A43" t="s">
        <v>5619</v>
      </c>
      <c r="B43" s="3">
        <v>46303</v>
      </c>
      <c r="C43" s="1">
        <v>9761.94</v>
      </c>
      <c r="D43" s="1">
        <v>2147.63</v>
      </c>
      <c r="E43" s="1">
        <v>7614.31</v>
      </c>
      <c r="F43" s="2">
        <f t="shared" si="1"/>
        <v>0.22000032780369475</v>
      </c>
    </row>
    <row r="44" spans="1:6" x14ac:dyDescent="0.25">
      <c r="A44" t="s">
        <v>5620</v>
      </c>
      <c r="B44" s="3">
        <v>46303</v>
      </c>
      <c r="C44" s="1">
        <v>6316.08</v>
      </c>
      <c r="D44" s="1">
        <v>1389.54</v>
      </c>
      <c r="E44" s="1">
        <v>4926.54</v>
      </c>
      <c r="F44" s="2">
        <f t="shared" si="1"/>
        <v>0.22000037998252081</v>
      </c>
    </row>
    <row r="45" spans="1:6" x14ac:dyDescent="0.25">
      <c r="A45" t="s">
        <v>5621</v>
      </c>
      <c r="B45" s="3">
        <v>46303</v>
      </c>
      <c r="C45" s="1">
        <v>4955.17</v>
      </c>
      <c r="D45" s="1">
        <v>1090.1400000000001</v>
      </c>
      <c r="E45" s="1">
        <v>3865.03</v>
      </c>
      <c r="F45" s="2">
        <f t="shared" si="1"/>
        <v>0.22000052470450057</v>
      </c>
    </row>
    <row r="46" spans="1:6" x14ac:dyDescent="0.25">
      <c r="A46" t="s">
        <v>5622</v>
      </c>
      <c r="B46" s="3">
        <v>46303</v>
      </c>
      <c r="C46" s="1">
        <v>6135.77</v>
      </c>
      <c r="D46" s="1">
        <v>1349.87</v>
      </c>
      <c r="E46" s="1">
        <v>4785.8999999999996</v>
      </c>
      <c r="F46" s="2">
        <f t="shared" si="1"/>
        <v>0.22000009778723775</v>
      </c>
    </row>
    <row r="47" spans="1:6" x14ac:dyDescent="0.25">
      <c r="A47" t="s">
        <v>5623</v>
      </c>
      <c r="B47" s="3">
        <v>46303</v>
      </c>
      <c r="C47" s="1">
        <v>6823.35</v>
      </c>
      <c r="D47" s="1">
        <v>1501.14</v>
      </c>
      <c r="E47" s="1">
        <v>5322.21</v>
      </c>
      <c r="F47" s="2">
        <f t="shared" si="1"/>
        <v>0.22000043966673263</v>
      </c>
    </row>
    <row r="48" spans="1:6" x14ac:dyDescent="0.25">
      <c r="A48" t="s">
        <v>5624</v>
      </c>
      <c r="B48" s="3">
        <v>46303</v>
      </c>
      <c r="C48" s="1">
        <v>6516.69</v>
      </c>
      <c r="D48" s="1">
        <v>1433.67</v>
      </c>
      <c r="E48" s="1">
        <v>5083.0200000000004</v>
      </c>
      <c r="F48" s="2">
        <f t="shared" si="1"/>
        <v>0.21999972378615526</v>
      </c>
    </row>
    <row r="49" spans="1:6" x14ac:dyDescent="0.25">
      <c r="A49" t="s">
        <v>5625</v>
      </c>
      <c r="B49" s="3">
        <v>46303</v>
      </c>
      <c r="C49" s="1">
        <v>9891.84</v>
      </c>
      <c r="D49" s="1">
        <v>2176.1999999999998</v>
      </c>
      <c r="E49" s="1">
        <v>7715.64</v>
      </c>
      <c r="F49" s="2">
        <f t="shared" si="1"/>
        <v>0.21999951475155277</v>
      </c>
    </row>
    <row r="50" spans="1:6" x14ac:dyDescent="0.25">
      <c r="A50" t="s">
        <v>5626</v>
      </c>
      <c r="B50" s="3">
        <v>46303</v>
      </c>
      <c r="C50" s="1">
        <v>14325.68</v>
      </c>
      <c r="D50" s="1">
        <v>3151.65</v>
      </c>
      <c r="E50" s="1">
        <v>11174.03</v>
      </c>
      <c r="F50" s="2">
        <f t="shared" si="1"/>
        <v>0.22000002792188572</v>
      </c>
    </row>
    <row r="51" spans="1:6" x14ac:dyDescent="0.25">
      <c r="A51" t="s">
        <v>5627</v>
      </c>
      <c r="B51" s="3">
        <v>46303</v>
      </c>
      <c r="C51" s="1">
        <v>8926.17</v>
      </c>
      <c r="D51" s="1">
        <v>1963.76</v>
      </c>
      <c r="E51" s="1">
        <v>6962.41</v>
      </c>
      <c r="F51" s="2">
        <f t="shared" si="1"/>
        <v>0.22000029127834222</v>
      </c>
    </row>
    <row r="52" spans="1:6" x14ac:dyDescent="0.25">
      <c r="A52" t="s">
        <v>5628</v>
      </c>
      <c r="B52" s="3">
        <v>46303</v>
      </c>
      <c r="C52" s="1">
        <v>9446.6</v>
      </c>
      <c r="D52" s="1">
        <v>2078.25</v>
      </c>
      <c r="E52" s="1">
        <v>7368.35</v>
      </c>
      <c r="F52" s="2">
        <f t="shared" si="1"/>
        <v>0.21999978828361527</v>
      </c>
    </row>
    <row r="53" spans="1:6" x14ac:dyDescent="0.25">
      <c r="A53" t="s">
        <v>5629</v>
      </c>
      <c r="B53" s="3">
        <v>46303</v>
      </c>
      <c r="C53" s="1">
        <v>14998.01</v>
      </c>
      <c r="D53" s="1">
        <v>3299.56</v>
      </c>
      <c r="E53" s="1">
        <v>11698.45</v>
      </c>
      <c r="F53" s="2">
        <f t="shared" si="1"/>
        <v>0.21999985331387298</v>
      </c>
    </row>
    <row r="54" spans="1:6" x14ac:dyDescent="0.25">
      <c r="A54" t="s">
        <v>5630</v>
      </c>
      <c r="B54" s="3">
        <v>46303</v>
      </c>
      <c r="C54" s="1">
        <v>12764.37</v>
      </c>
      <c r="D54" s="1">
        <v>2808.16</v>
      </c>
      <c r="E54" s="1">
        <v>9956.2099999999991</v>
      </c>
      <c r="F54" s="2">
        <f t="shared" si="1"/>
        <v>0.21999989031969455</v>
      </c>
    </row>
    <row r="55" spans="1:6" x14ac:dyDescent="0.25">
      <c r="A55" t="s">
        <v>5631</v>
      </c>
      <c r="B55" s="3">
        <v>46303</v>
      </c>
      <c r="C55" s="1">
        <v>5208.63</v>
      </c>
      <c r="D55" s="1">
        <v>1145.9000000000001</v>
      </c>
      <c r="E55" s="1">
        <v>4062.73</v>
      </c>
      <c r="F55" s="2">
        <f t="shared" si="1"/>
        <v>0.22000026878469003</v>
      </c>
    </row>
    <row r="56" spans="1:6" x14ac:dyDescent="0.25">
      <c r="A56" t="s">
        <v>5632</v>
      </c>
      <c r="B56" s="3">
        <v>46303</v>
      </c>
      <c r="C56" s="1">
        <v>13382.36</v>
      </c>
      <c r="D56" s="1">
        <v>2944.12</v>
      </c>
      <c r="E56" s="1">
        <v>10438.24</v>
      </c>
      <c r="F56" s="2">
        <f t="shared" si="1"/>
        <v>0.22000005978018822</v>
      </c>
    </row>
    <row r="57" spans="1:6" x14ac:dyDescent="0.25">
      <c r="A57" t="s">
        <v>5633</v>
      </c>
      <c r="B57" s="3">
        <v>46303</v>
      </c>
      <c r="C57" s="1">
        <v>10977.25</v>
      </c>
      <c r="D57" s="1">
        <v>2414.9899999999998</v>
      </c>
      <c r="E57" s="1">
        <v>8562.26</v>
      </c>
      <c r="F57" s="2">
        <f t="shared" si="1"/>
        <v>0.21999954451251449</v>
      </c>
    </row>
    <row r="58" spans="1:6" x14ac:dyDescent="0.25">
      <c r="A58" t="s">
        <v>5634</v>
      </c>
      <c r="B58" s="3">
        <v>46303</v>
      </c>
      <c r="C58" s="1">
        <v>9878.93</v>
      </c>
      <c r="D58" s="1">
        <v>2173.36</v>
      </c>
      <c r="E58" s="1">
        <v>7705.57</v>
      </c>
      <c r="F58" s="2">
        <f t="shared" si="1"/>
        <v>0.21999953436252712</v>
      </c>
    </row>
    <row r="59" spans="1:6" x14ac:dyDescent="0.25">
      <c r="A59" t="s">
        <v>5635</v>
      </c>
      <c r="B59" s="3">
        <v>46303</v>
      </c>
      <c r="C59" s="1">
        <v>8970.74</v>
      </c>
      <c r="D59" s="1">
        <v>1973.56</v>
      </c>
      <c r="E59" s="1">
        <v>6997.18</v>
      </c>
      <c r="F59" s="2">
        <f t="shared" si="1"/>
        <v>0.21999968787413302</v>
      </c>
    </row>
    <row r="60" spans="1:6" x14ac:dyDescent="0.25">
      <c r="A60" t="s">
        <v>5636</v>
      </c>
      <c r="B60" s="3">
        <v>46303</v>
      </c>
      <c r="C60" s="1">
        <v>14553.68</v>
      </c>
      <c r="D60" s="1">
        <v>3201.81</v>
      </c>
      <c r="E60" s="1">
        <v>11351.87</v>
      </c>
      <c r="F60" s="2">
        <f t="shared" si="1"/>
        <v>0.22000002748445754</v>
      </c>
    </row>
    <row r="61" spans="1:6" x14ac:dyDescent="0.25">
      <c r="A61" t="s">
        <v>5637</v>
      </c>
      <c r="B61" s="3">
        <v>46303</v>
      </c>
      <c r="C61" s="1">
        <v>8349.44</v>
      </c>
      <c r="D61" s="1">
        <v>1836.88</v>
      </c>
      <c r="E61" s="1">
        <v>6512.56</v>
      </c>
      <c r="F61" s="2">
        <f t="shared" si="1"/>
        <v>0.22000038325923654</v>
      </c>
    </row>
    <row r="62" spans="1:6" x14ac:dyDescent="0.25">
      <c r="A62" t="s">
        <v>5638</v>
      </c>
      <c r="B62" s="3">
        <v>46303</v>
      </c>
      <c r="C62" s="1">
        <v>10349.120000000001</v>
      </c>
      <c r="D62" s="1">
        <v>2276.81</v>
      </c>
      <c r="E62" s="1">
        <v>8072.31</v>
      </c>
      <c r="F62" s="2">
        <f t="shared" si="1"/>
        <v>0.22000034785566308</v>
      </c>
    </row>
    <row r="63" spans="1:6" x14ac:dyDescent="0.25">
      <c r="A63" t="s">
        <v>5639</v>
      </c>
      <c r="B63" s="3">
        <v>46303</v>
      </c>
      <c r="C63" s="1">
        <v>5270.6</v>
      </c>
      <c r="D63" s="1">
        <v>1159.53</v>
      </c>
      <c r="E63" s="1">
        <v>4111.07</v>
      </c>
      <c r="F63" s="2">
        <f t="shared" si="1"/>
        <v>0.21999962053656127</v>
      </c>
    </row>
    <row r="64" spans="1:6" x14ac:dyDescent="0.25">
      <c r="A64" t="s">
        <v>5640</v>
      </c>
      <c r="B64" s="3">
        <v>46303</v>
      </c>
      <c r="C64" s="1">
        <v>9250.76</v>
      </c>
      <c r="D64" s="1">
        <v>2035.17</v>
      </c>
      <c r="E64" s="1">
        <v>7215.59</v>
      </c>
      <c r="F64" s="2">
        <f t="shared" si="1"/>
        <v>0.22000030267783405</v>
      </c>
    </row>
    <row r="65" spans="1:6" x14ac:dyDescent="0.25">
      <c r="A65" t="s">
        <v>5641</v>
      </c>
      <c r="B65" s="3">
        <v>46303</v>
      </c>
      <c r="C65" s="1">
        <v>11678.23</v>
      </c>
      <c r="D65" s="1">
        <v>2569.21</v>
      </c>
      <c r="E65" s="1">
        <v>9109.02</v>
      </c>
      <c r="F65" s="2">
        <f t="shared" si="1"/>
        <v>0.21999994862235117</v>
      </c>
    </row>
    <row r="66" spans="1:6" x14ac:dyDescent="0.25">
      <c r="A66" t="s">
        <v>5642</v>
      </c>
      <c r="B66" s="3">
        <v>46303</v>
      </c>
      <c r="C66" s="1">
        <v>6618.6</v>
      </c>
      <c r="D66" s="1">
        <v>1456.09</v>
      </c>
      <c r="E66" s="1">
        <v>5162.51</v>
      </c>
      <c r="F66" s="2">
        <f t="shared" ref="F66:F101" si="2">IFERROR(D66/C66,0)</f>
        <v>0.2199996978212915</v>
      </c>
    </row>
    <row r="67" spans="1:6" x14ac:dyDescent="0.25">
      <c r="A67" t="s">
        <v>5643</v>
      </c>
      <c r="B67" s="3">
        <v>46303</v>
      </c>
      <c r="C67" s="1">
        <v>13175.83</v>
      </c>
      <c r="D67" s="1">
        <v>2898.68</v>
      </c>
      <c r="E67" s="1">
        <v>10277.15</v>
      </c>
      <c r="F67" s="2">
        <f t="shared" si="2"/>
        <v>0.21999980266897795</v>
      </c>
    </row>
    <row r="68" spans="1:6" x14ac:dyDescent="0.25">
      <c r="A68" t="s">
        <v>5644</v>
      </c>
      <c r="B68" s="3">
        <v>46303</v>
      </c>
      <c r="C68" s="1">
        <v>10856.04</v>
      </c>
      <c r="D68" s="1">
        <v>2388.33</v>
      </c>
      <c r="E68" s="1">
        <v>8467.7099999999991</v>
      </c>
      <c r="F68" s="2">
        <f t="shared" si="2"/>
        <v>0.22000011053754406</v>
      </c>
    </row>
    <row r="69" spans="1:6" x14ac:dyDescent="0.25">
      <c r="A69" t="s">
        <v>5645</v>
      </c>
      <c r="B69" s="3">
        <v>46303</v>
      </c>
      <c r="C69" s="1">
        <v>6045.56</v>
      </c>
      <c r="D69" s="1">
        <v>1330.02</v>
      </c>
      <c r="E69" s="1">
        <v>4715.54</v>
      </c>
      <c r="F69" s="2">
        <f t="shared" si="2"/>
        <v>0.21999947068592485</v>
      </c>
    </row>
    <row r="70" spans="1:6" x14ac:dyDescent="0.25">
      <c r="A70" t="s">
        <v>5646</v>
      </c>
      <c r="B70" s="3">
        <v>46303</v>
      </c>
      <c r="C70" s="1">
        <v>13930.52</v>
      </c>
      <c r="D70" s="1">
        <v>3064.71</v>
      </c>
      <c r="E70" s="1">
        <v>10865.81</v>
      </c>
      <c r="F70" s="2">
        <f t="shared" si="2"/>
        <v>0.21999968414675117</v>
      </c>
    </row>
    <row r="71" spans="1:6" x14ac:dyDescent="0.25">
      <c r="A71" t="s">
        <v>5647</v>
      </c>
      <c r="B71" s="3">
        <v>46303</v>
      </c>
      <c r="C71" s="1">
        <v>7787.14</v>
      </c>
      <c r="D71" s="1">
        <v>1713.17</v>
      </c>
      <c r="E71" s="1">
        <v>6073.97</v>
      </c>
      <c r="F71" s="2">
        <f t="shared" si="2"/>
        <v>0.21999989726651889</v>
      </c>
    </row>
    <row r="72" spans="1:6" x14ac:dyDescent="0.25">
      <c r="A72" t="s">
        <v>5648</v>
      </c>
      <c r="B72" s="3">
        <v>46303</v>
      </c>
      <c r="C72" s="1">
        <v>9961.59</v>
      </c>
      <c r="D72" s="1">
        <v>2191.5500000000002</v>
      </c>
      <c r="E72" s="1">
        <v>7770.04</v>
      </c>
      <c r="F72" s="2">
        <f t="shared" si="2"/>
        <v>0.22000002007711622</v>
      </c>
    </row>
    <row r="73" spans="1:6" x14ac:dyDescent="0.25">
      <c r="A73" t="s">
        <v>5649</v>
      </c>
      <c r="B73" s="3">
        <v>46303</v>
      </c>
      <c r="C73" s="1">
        <v>10814.06</v>
      </c>
      <c r="D73" s="1">
        <v>2379.09</v>
      </c>
      <c r="E73" s="1">
        <v>8434.9699999999993</v>
      </c>
      <c r="F73" s="2">
        <f t="shared" si="2"/>
        <v>0.2199997040889361</v>
      </c>
    </row>
    <row r="74" spans="1:6" x14ac:dyDescent="0.25">
      <c r="A74" t="s">
        <v>5650</v>
      </c>
      <c r="B74" s="3">
        <v>46303</v>
      </c>
      <c r="C74" s="1">
        <v>4168.54</v>
      </c>
      <c r="D74" s="1">
        <v>917.08</v>
      </c>
      <c r="E74" s="1">
        <v>3251.46</v>
      </c>
      <c r="F74" s="2">
        <f t="shared" si="2"/>
        <v>0.22000028787057341</v>
      </c>
    </row>
    <row r="75" spans="1:6" x14ac:dyDescent="0.25">
      <c r="A75" t="s">
        <v>5651</v>
      </c>
      <c r="B75" s="3">
        <v>46303</v>
      </c>
      <c r="C75" s="1">
        <v>6274.85</v>
      </c>
      <c r="D75" s="1">
        <v>1380.47</v>
      </c>
      <c r="E75" s="1">
        <v>4894.38</v>
      </c>
      <c r="F75" s="2">
        <f t="shared" si="2"/>
        <v>0.22000047809907805</v>
      </c>
    </row>
    <row r="76" spans="1:6" x14ac:dyDescent="0.25">
      <c r="A76" t="s">
        <v>5652</v>
      </c>
      <c r="B76" s="3">
        <v>46303</v>
      </c>
      <c r="C76" s="1">
        <v>6497.73</v>
      </c>
      <c r="D76" s="1">
        <v>1429.5</v>
      </c>
      <c r="E76" s="1">
        <v>5068.2299999999996</v>
      </c>
      <c r="F76" s="2">
        <f t="shared" si="2"/>
        <v>0.21999990766005975</v>
      </c>
    </row>
    <row r="77" spans="1:6" x14ac:dyDescent="0.25">
      <c r="A77" t="s">
        <v>5653</v>
      </c>
      <c r="B77" s="3">
        <v>46303</v>
      </c>
      <c r="C77" s="1">
        <v>11921.91</v>
      </c>
      <c r="D77" s="1">
        <v>2622.82</v>
      </c>
      <c r="E77" s="1">
        <v>9299.09</v>
      </c>
      <c r="F77" s="2">
        <f t="shared" si="2"/>
        <v>0.21999998322416461</v>
      </c>
    </row>
    <row r="78" spans="1:6" x14ac:dyDescent="0.25">
      <c r="A78" t="s">
        <v>5654</v>
      </c>
      <c r="B78" s="3">
        <v>46303</v>
      </c>
      <c r="C78" s="1">
        <v>9289.75</v>
      </c>
      <c r="D78" s="1">
        <v>2043.75</v>
      </c>
      <c r="E78" s="1">
        <v>7246</v>
      </c>
      <c r="F78" s="2">
        <f t="shared" si="2"/>
        <v>0.22000053822761645</v>
      </c>
    </row>
    <row r="79" spans="1:6" x14ac:dyDescent="0.25">
      <c r="A79" t="s">
        <v>5655</v>
      </c>
      <c r="B79" s="3">
        <v>46303</v>
      </c>
      <c r="C79" s="1">
        <v>9531.2199999999993</v>
      </c>
      <c r="D79" s="1">
        <v>2096.87</v>
      </c>
      <c r="E79" s="1">
        <v>7434.35</v>
      </c>
      <c r="F79" s="2">
        <f t="shared" si="2"/>
        <v>0.22000016786938084</v>
      </c>
    </row>
    <row r="80" spans="1:6" x14ac:dyDescent="0.25">
      <c r="A80" t="s">
        <v>5656</v>
      </c>
      <c r="B80" s="3">
        <v>46303</v>
      </c>
      <c r="C80" s="1">
        <v>9758.11</v>
      </c>
      <c r="D80" s="1">
        <v>2146.7800000000002</v>
      </c>
      <c r="E80" s="1">
        <v>7611.33</v>
      </c>
      <c r="F80" s="2">
        <f t="shared" si="2"/>
        <v>0.21999956958878308</v>
      </c>
    </row>
    <row r="81" spans="1:6" x14ac:dyDescent="0.25">
      <c r="A81" t="s">
        <v>5657</v>
      </c>
      <c r="B81" s="3">
        <v>46303</v>
      </c>
      <c r="C81" s="1">
        <v>7366.44</v>
      </c>
      <c r="D81" s="1">
        <v>1620.62</v>
      </c>
      <c r="E81" s="1">
        <v>5745.82</v>
      </c>
      <c r="F81" s="2">
        <f t="shared" si="2"/>
        <v>0.2200004344025065</v>
      </c>
    </row>
    <row r="82" spans="1:6" x14ac:dyDescent="0.25">
      <c r="A82" t="s">
        <v>5658</v>
      </c>
      <c r="B82" s="3">
        <v>46303</v>
      </c>
      <c r="C82" s="1">
        <v>14092.99</v>
      </c>
      <c r="D82" s="1">
        <v>3100.46</v>
      </c>
      <c r="E82" s="1">
        <v>10992.53</v>
      </c>
      <c r="F82" s="2">
        <f t="shared" si="2"/>
        <v>0.22000015610597892</v>
      </c>
    </row>
    <row r="83" spans="1:6" x14ac:dyDescent="0.25">
      <c r="A83" t="s">
        <v>5659</v>
      </c>
      <c r="B83" s="3">
        <v>46303</v>
      </c>
      <c r="C83" s="1">
        <v>9636.0400000000009</v>
      </c>
      <c r="D83" s="1">
        <v>2119.9299999999998</v>
      </c>
      <c r="E83" s="1">
        <v>7516.11</v>
      </c>
      <c r="F83" s="2">
        <f t="shared" si="2"/>
        <v>0.22000012453248427</v>
      </c>
    </row>
    <row r="84" spans="1:6" x14ac:dyDescent="0.25">
      <c r="A84" t="s">
        <v>5660</v>
      </c>
      <c r="B84" s="3">
        <v>46303</v>
      </c>
      <c r="C84" s="1">
        <v>13166.36</v>
      </c>
      <c r="D84" s="1">
        <v>2896.6</v>
      </c>
      <c r="E84" s="1">
        <v>10269.76</v>
      </c>
      <c r="F84" s="2">
        <f t="shared" si="2"/>
        <v>0.22000006076090883</v>
      </c>
    </row>
    <row r="85" spans="1:6" x14ac:dyDescent="0.25">
      <c r="A85" t="s">
        <v>5661</v>
      </c>
      <c r="B85" s="3">
        <v>46303</v>
      </c>
      <c r="C85" s="1">
        <v>5208.99</v>
      </c>
      <c r="D85" s="1">
        <v>1145.98</v>
      </c>
      <c r="E85" s="1">
        <v>4063.01</v>
      </c>
      <c r="F85" s="2">
        <f t="shared" si="2"/>
        <v>0.22000042234675055</v>
      </c>
    </row>
    <row r="86" spans="1:6" x14ac:dyDescent="0.25">
      <c r="A86" t="s">
        <v>5662</v>
      </c>
      <c r="B86" s="3">
        <v>46303</v>
      </c>
      <c r="C86" s="1">
        <v>5049.38</v>
      </c>
      <c r="D86" s="1">
        <v>1110.8599999999999</v>
      </c>
      <c r="E86" s="1">
        <v>3938.52</v>
      </c>
      <c r="F86" s="2">
        <f t="shared" si="2"/>
        <v>0.21999928704118127</v>
      </c>
    </row>
    <row r="87" spans="1:6" x14ac:dyDescent="0.25">
      <c r="A87" t="s">
        <v>5663</v>
      </c>
      <c r="B87" s="3">
        <v>46303</v>
      </c>
      <c r="C87" s="1">
        <v>9308.48</v>
      </c>
      <c r="D87" s="1">
        <v>2047.87</v>
      </c>
      <c r="E87" s="1">
        <v>7260.61</v>
      </c>
      <c r="F87" s="2">
        <f t="shared" si="2"/>
        <v>0.2200004726872701</v>
      </c>
    </row>
    <row r="88" spans="1:6" x14ac:dyDescent="0.25">
      <c r="A88" t="s">
        <v>5664</v>
      </c>
      <c r="B88" s="3">
        <v>46303</v>
      </c>
      <c r="C88" s="1">
        <v>6203.59</v>
      </c>
      <c r="D88" s="1">
        <v>1364.79</v>
      </c>
      <c r="E88" s="1">
        <v>4838.8</v>
      </c>
      <c r="F88" s="2">
        <f t="shared" si="2"/>
        <v>0.22000003223939685</v>
      </c>
    </row>
    <row r="89" spans="1:6" x14ac:dyDescent="0.25">
      <c r="A89" t="s">
        <v>5665</v>
      </c>
      <c r="B89" s="3">
        <v>46303</v>
      </c>
      <c r="C89" s="1">
        <v>12853.68</v>
      </c>
      <c r="D89" s="1">
        <v>2827.81</v>
      </c>
      <c r="E89" s="1">
        <v>10025.870000000001</v>
      </c>
      <c r="F89" s="2">
        <f t="shared" si="2"/>
        <v>0.22000003111949262</v>
      </c>
    </row>
    <row r="90" spans="1:6" x14ac:dyDescent="0.25">
      <c r="A90" t="s">
        <v>5666</v>
      </c>
      <c r="B90" s="3">
        <v>46303</v>
      </c>
      <c r="C90" s="1">
        <v>5769.28</v>
      </c>
      <c r="D90" s="1">
        <v>1269.24</v>
      </c>
      <c r="E90" s="1">
        <v>4500.04</v>
      </c>
      <c r="F90" s="2">
        <f t="shared" si="2"/>
        <v>0.21999972266903323</v>
      </c>
    </row>
    <row r="91" spans="1:6" x14ac:dyDescent="0.25">
      <c r="A91" t="s">
        <v>5667</v>
      </c>
      <c r="B91" s="3">
        <v>46303</v>
      </c>
      <c r="C91" s="1">
        <v>4601.34</v>
      </c>
      <c r="D91" s="1">
        <v>1012.29</v>
      </c>
      <c r="E91" s="1">
        <v>3589.05</v>
      </c>
      <c r="F91" s="2">
        <f t="shared" si="2"/>
        <v>0.21999895682562035</v>
      </c>
    </row>
    <row r="92" spans="1:6" x14ac:dyDescent="0.25">
      <c r="A92" t="s">
        <v>5668</v>
      </c>
      <c r="B92" s="3">
        <v>46303</v>
      </c>
      <c r="C92" s="1">
        <v>4290.32</v>
      </c>
      <c r="D92" s="1">
        <v>943.87</v>
      </c>
      <c r="E92" s="1">
        <v>3346.45</v>
      </c>
      <c r="F92" s="2">
        <f t="shared" si="2"/>
        <v>0.21999990676686124</v>
      </c>
    </row>
    <row r="93" spans="1:6" x14ac:dyDescent="0.25">
      <c r="A93" t="s">
        <v>5669</v>
      </c>
      <c r="B93" s="3">
        <v>46303</v>
      </c>
      <c r="C93" s="1">
        <v>4943.9399999999996</v>
      </c>
      <c r="D93" s="1">
        <v>1087.67</v>
      </c>
      <c r="E93" s="1">
        <v>3856.27</v>
      </c>
      <c r="F93" s="2">
        <f t="shared" si="2"/>
        <v>0.22000064725704604</v>
      </c>
    </row>
    <row r="94" spans="1:6" x14ac:dyDescent="0.25">
      <c r="A94" t="s">
        <v>5670</v>
      </c>
      <c r="B94" s="3">
        <v>46303</v>
      </c>
      <c r="C94" s="1">
        <v>5498.39</v>
      </c>
      <c r="D94" s="1">
        <v>1209.6500000000001</v>
      </c>
      <c r="E94" s="1">
        <v>4288.74</v>
      </c>
      <c r="F94" s="2">
        <f t="shared" si="2"/>
        <v>0.22000076385996628</v>
      </c>
    </row>
    <row r="95" spans="1:6" x14ac:dyDescent="0.25">
      <c r="A95" t="s">
        <v>5671</v>
      </c>
      <c r="B95" s="3">
        <v>46303</v>
      </c>
      <c r="C95" s="1">
        <v>6284.97</v>
      </c>
      <c r="D95" s="1">
        <v>1382.69</v>
      </c>
      <c r="E95" s="1">
        <v>4902.28</v>
      </c>
      <c r="F95" s="2">
        <f t="shared" si="2"/>
        <v>0.21999945902685294</v>
      </c>
    </row>
    <row r="96" spans="1:6" x14ac:dyDescent="0.25">
      <c r="A96" t="s">
        <v>5672</v>
      </c>
      <c r="B96" s="3">
        <v>46303</v>
      </c>
      <c r="C96" s="1">
        <v>9515.0300000000007</v>
      </c>
      <c r="D96" s="1">
        <v>2093.31</v>
      </c>
      <c r="E96" s="1">
        <v>7421.72</v>
      </c>
      <c r="F96" s="2">
        <f t="shared" si="2"/>
        <v>0.22000035732940409</v>
      </c>
    </row>
    <row r="97" spans="1:6" x14ac:dyDescent="0.25">
      <c r="A97" t="s">
        <v>5673</v>
      </c>
      <c r="B97" s="3">
        <v>46303</v>
      </c>
      <c r="C97" s="1">
        <v>5542.11</v>
      </c>
      <c r="D97" s="1">
        <v>1219.26</v>
      </c>
      <c r="E97" s="1">
        <v>4322.8500000000004</v>
      </c>
      <c r="F97" s="2">
        <f t="shared" si="2"/>
        <v>0.2199992421658899</v>
      </c>
    </row>
    <row r="98" spans="1:6" x14ac:dyDescent="0.25">
      <c r="A98" t="s">
        <v>5674</v>
      </c>
      <c r="B98" s="3">
        <v>46303</v>
      </c>
      <c r="C98" s="1">
        <v>4008.43</v>
      </c>
      <c r="D98" s="1">
        <v>881.85</v>
      </c>
      <c r="E98" s="1">
        <v>3126.58</v>
      </c>
      <c r="F98" s="2">
        <f t="shared" si="2"/>
        <v>0.21999885241852796</v>
      </c>
    </row>
    <row r="99" spans="1:6" x14ac:dyDescent="0.25">
      <c r="A99" t="s">
        <v>5675</v>
      </c>
      <c r="B99" s="3">
        <v>46303</v>
      </c>
      <c r="C99" s="1">
        <v>4004.89</v>
      </c>
      <c r="D99" s="1">
        <v>881.08</v>
      </c>
      <c r="E99" s="1">
        <v>3123.81</v>
      </c>
      <c r="F99" s="2">
        <f t="shared" si="2"/>
        <v>0.22000104871794232</v>
      </c>
    </row>
    <row r="100" spans="1:6" x14ac:dyDescent="0.25">
      <c r="A100" t="s">
        <v>5676</v>
      </c>
      <c r="B100" s="3">
        <v>46303</v>
      </c>
      <c r="C100" s="1">
        <v>10020.26</v>
      </c>
      <c r="D100" s="1">
        <v>2204.46</v>
      </c>
      <c r="E100" s="1">
        <v>7815.8</v>
      </c>
      <c r="F100" s="2">
        <f t="shared" si="2"/>
        <v>0.22000027943386699</v>
      </c>
    </row>
    <row r="101" spans="1:6" x14ac:dyDescent="0.25">
      <c r="A101" t="s">
        <v>5677</v>
      </c>
      <c r="B101" s="3">
        <v>46303</v>
      </c>
      <c r="C101" s="1">
        <v>10462.459999999999</v>
      </c>
      <c r="D101" s="1">
        <v>2301.7399999999998</v>
      </c>
      <c r="E101" s="1">
        <v>8160.72</v>
      </c>
      <c r="F101" s="2">
        <f t="shared" si="2"/>
        <v>0.21999988530422099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C8FE-BA33-43EF-AF36-D6EE696431CB}">
  <dimension ref="A1:T20"/>
  <sheetViews>
    <sheetView workbookViewId="0">
      <selection sqref="A1:S1"/>
    </sheetView>
  </sheetViews>
  <sheetFormatPr defaultRowHeight="15.75" x14ac:dyDescent="0.25"/>
  <cols>
    <col min="1" max="1" width="18.125" bestFit="1" customWidth="1"/>
    <col min="2" max="5" width="12" bestFit="1" customWidth="1"/>
    <col min="6" max="6" width="13.625" bestFit="1" customWidth="1"/>
    <col min="7" max="7" width="14.25" customWidth="1"/>
    <col min="8" max="8" width="24.75" bestFit="1" customWidth="1"/>
    <col min="9" max="11" width="11.375" bestFit="1" customWidth="1"/>
    <col min="12" max="12" width="10.875" bestFit="1" customWidth="1"/>
    <col min="13" max="14" width="14.25" customWidth="1"/>
    <col min="15" max="15" width="24.75" bestFit="1" customWidth="1"/>
    <col min="16" max="19" width="11.375" bestFit="1" customWidth="1"/>
    <col min="20" max="20" width="14.25" customWidth="1"/>
  </cols>
  <sheetData>
    <row r="1" spans="1:20" ht="23.25" x14ac:dyDescent="0.35">
      <c r="A1" s="8" t="s">
        <v>5696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20" x14ac:dyDescent="0.25">
      <c r="A2" s="7" t="s">
        <v>5697</v>
      </c>
      <c r="B2" s="7"/>
      <c r="C2" s="7"/>
      <c r="D2" s="7"/>
      <c r="E2" s="7"/>
      <c r="F2" s="7"/>
      <c r="H2" s="7" t="s">
        <v>5698</v>
      </c>
      <c r="I2" s="7"/>
      <c r="J2" s="7"/>
      <c r="K2" s="7"/>
      <c r="L2" s="7"/>
      <c r="M2" s="7"/>
      <c r="O2" s="7" t="s">
        <v>5699</v>
      </c>
      <c r="P2" s="7"/>
      <c r="Q2" s="7"/>
      <c r="R2" s="7"/>
      <c r="S2" s="7"/>
    </row>
    <row r="4" spans="1:20" x14ac:dyDescent="0.25">
      <c r="A4" s="6" t="s">
        <v>5692</v>
      </c>
      <c r="B4" s="6" t="s">
        <v>5064</v>
      </c>
      <c r="H4" s="6" t="s">
        <v>5695</v>
      </c>
      <c r="I4" s="6" t="s">
        <v>5682</v>
      </c>
      <c r="O4" s="6" t="s">
        <v>5695</v>
      </c>
      <c r="P4" s="6" t="s">
        <v>5682</v>
      </c>
    </row>
    <row r="5" spans="1:20" x14ac:dyDescent="0.25">
      <c r="A5" s="6" t="s">
        <v>4007</v>
      </c>
      <c r="B5">
        <v>2023</v>
      </c>
      <c r="C5">
        <v>2024</v>
      </c>
      <c r="D5">
        <v>2025</v>
      </c>
      <c r="E5">
        <v>2026</v>
      </c>
      <c r="F5" t="s">
        <v>5691</v>
      </c>
      <c r="H5" s="6" t="s">
        <v>4543</v>
      </c>
      <c r="I5" t="s">
        <v>5693</v>
      </c>
      <c r="J5" t="s">
        <v>5694</v>
      </c>
      <c r="K5" t="s">
        <v>4037</v>
      </c>
      <c r="L5" t="s">
        <v>5691</v>
      </c>
      <c r="O5" s="6" t="s">
        <v>5056</v>
      </c>
      <c r="P5" t="s">
        <v>5693</v>
      </c>
      <c r="Q5" t="s">
        <v>5694</v>
      </c>
      <c r="R5" t="s">
        <v>4037</v>
      </c>
      <c r="S5" t="s">
        <v>5691</v>
      </c>
    </row>
    <row r="6" spans="1:20" x14ac:dyDescent="0.25">
      <c r="A6" t="s">
        <v>4014</v>
      </c>
      <c r="B6" s="4">
        <v>-1263189.67</v>
      </c>
      <c r="C6" s="4">
        <v>-1553080.7799999993</v>
      </c>
      <c r="D6" s="4">
        <v>-1168131.0899999996</v>
      </c>
      <c r="E6" s="4">
        <v>-1073473.81</v>
      </c>
      <c r="F6" s="4">
        <v>-5057875.3499999996</v>
      </c>
      <c r="H6" t="s">
        <v>4549</v>
      </c>
      <c r="I6" s="1"/>
      <c r="J6" s="1">
        <v>62911.420000000006</v>
      </c>
      <c r="K6" s="1">
        <v>0</v>
      </c>
      <c r="L6" s="1">
        <v>62911.420000000006</v>
      </c>
      <c r="O6" t="s">
        <v>5059</v>
      </c>
      <c r="P6" s="1"/>
      <c r="Q6" s="1">
        <v>421635.84000000014</v>
      </c>
      <c r="R6" s="1">
        <v>0</v>
      </c>
      <c r="S6" s="1">
        <v>421635.84000000014</v>
      </c>
    </row>
    <row r="7" spans="1:20" x14ac:dyDescent="0.25">
      <c r="A7" t="s">
        <v>4011</v>
      </c>
      <c r="B7" s="4">
        <v>3485753.4700000011</v>
      </c>
      <c r="C7" s="4">
        <v>2957550.4099999992</v>
      </c>
      <c r="D7" s="4">
        <v>3664603.9000000004</v>
      </c>
      <c r="E7" s="4">
        <v>2653198.3899999987</v>
      </c>
      <c r="F7" s="4">
        <v>12761106.17</v>
      </c>
      <c r="H7" t="s">
        <v>4544</v>
      </c>
      <c r="I7" s="1"/>
      <c r="J7" s="1">
        <v>204339.82000000004</v>
      </c>
      <c r="K7" s="1">
        <v>0</v>
      </c>
      <c r="L7" s="1">
        <v>204339.82000000004</v>
      </c>
      <c r="O7" t="s">
        <v>5061</v>
      </c>
      <c r="P7" s="1">
        <v>26314.63</v>
      </c>
      <c r="Q7" s="1">
        <v>372567.89</v>
      </c>
      <c r="R7" s="1">
        <v>0</v>
      </c>
      <c r="S7" s="1">
        <v>398882.52</v>
      </c>
    </row>
    <row r="8" spans="1:20" x14ac:dyDescent="0.25">
      <c r="A8" t="s">
        <v>4023</v>
      </c>
      <c r="B8" s="4">
        <v>1263189.67</v>
      </c>
      <c r="C8" s="4">
        <v>1553080.7799999993</v>
      </c>
      <c r="D8" s="4">
        <v>1168131.0899999996</v>
      </c>
      <c r="E8" s="4">
        <v>1073473.81</v>
      </c>
      <c r="F8" s="4">
        <v>5057875.3499999996</v>
      </c>
      <c r="H8" t="s">
        <v>4546</v>
      </c>
      <c r="I8" s="1"/>
      <c r="J8" s="1">
        <v>86717.05</v>
      </c>
      <c r="K8" s="1">
        <v>0</v>
      </c>
      <c r="L8" s="1">
        <v>86717.05</v>
      </c>
      <c r="O8" t="s">
        <v>5060</v>
      </c>
      <c r="P8" s="1"/>
      <c r="Q8" s="1">
        <v>201499.81999999998</v>
      </c>
      <c r="R8" s="1">
        <v>0</v>
      </c>
      <c r="S8" s="1">
        <v>201499.81999999998</v>
      </c>
    </row>
    <row r="9" spans="1:20" x14ac:dyDescent="0.25">
      <c r="A9" t="s">
        <v>4020</v>
      </c>
      <c r="B9" s="4">
        <v>-3485753.4700000011</v>
      </c>
      <c r="C9" s="4">
        <v>-2957550.4099999992</v>
      </c>
      <c r="D9" s="4">
        <v>-3664603.9000000004</v>
      </c>
      <c r="E9" s="4">
        <v>-2653198.3899999987</v>
      </c>
      <c r="F9" s="4">
        <v>-12761106.17</v>
      </c>
      <c r="H9" t="s">
        <v>4545</v>
      </c>
      <c r="I9" s="1"/>
      <c r="J9" s="1">
        <v>270092.96000000002</v>
      </c>
      <c r="K9" s="1">
        <v>0</v>
      </c>
      <c r="L9" s="1">
        <v>270092.96000000002</v>
      </c>
      <c r="O9" t="s">
        <v>5057</v>
      </c>
      <c r="P9" s="1">
        <v>46058.8</v>
      </c>
      <c r="Q9" s="1">
        <v>381228.26000000007</v>
      </c>
      <c r="R9" s="1">
        <v>0</v>
      </c>
      <c r="S9" s="1">
        <v>427287.06000000006</v>
      </c>
    </row>
    <row r="10" spans="1:20" x14ac:dyDescent="0.25">
      <c r="A10" t="s">
        <v>5691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H10" t="s">
        <v>4548</v>
      </c>
      <c r="I10" s="1">
        <v>15053.87</v>
      </c>
      <c r="J10" s="1">
        <v>133098.43999999997</v>
      </c>
      <c r="K10" s="1">
        <v>0</v>
      </c>
      <c r="L10" s="1">
        <v>148152.30999999997</v>
      </c>
      <c r="O10" t="s">
        <v>5058</v>
      </c>
      <c r="P10" s="1"/>
      <c r="Q10" s="1">
        <v>279807.19</v>
      </c>
      <c r="R10" s="1">
        <v>0</v>
      </c>
      <c r="S10" s="1">
        <v>279807.19</v>
      </c>
    </row>
    <row r="11" spans="1:20" x14ac:dyDescent="0.25">
      <c r="H11" t="s">
        <v>4547</v>
      </c>
      <c r="I11" s="1"/>
      <c r="J11" s="1">
        <v>80237.72</v>
      </c>
      <c r="K11" s="1">
        <v>0</v>
      </c>
      <c r="L11" s="1">
        <v>80237.72</v>
      </c>
      <c r="O11" t="s">
        <v>5691</v>
      </c>
      <c r="P11" s="1">
        <v>72373.430000000008</v>
      </c>
      <c r="Q11" s="1">
        <v>1656739.0000000002</v>
      </c>
      <c r="R11" s="1">
        <v>0</v>
      </c>
      <c r="S11" s="1">
        <v>1729112.4300000002</v>
      </c>
    </row>
    <row r="12" spans="1:20" x14ac:dyDescent="0.25">
      <c r="B12" s="4"/>
      <c r="C12" s="4"/>
      <c r="D12" s="4"/>
      <c r="E12" s="4"/>
      <c r="F12" s="4"/>
      <c r="G12" s="4"/>
      <c r="H12" t="s">
        <v>5691</v>
      </c>
      <c r="I12" s="1">
        <v>15053.87</v>
      </c>
      <c r="J12" s="1">
        <v>837397.40999999992</v>
      </c>
      <c r="K12" s="1">
        <v>0</v>
      </c>
      <c r="L12" s="1">
        <v>852451.27999999991</v>
      </c>
    </row>
    <row r="13" spans="1:20" x14ac:dyDescent="0.25">
      <c r="B13" s="4"/>
      <c r="C13" s="4"/>
      <c r="D13" s="4"/>
      <c r="E13" s="4"/>
      <c r="F13" s="4"/>
      <c r="G13" s="4"/>
      <c r="Q13" s="1"/>
      <c r="R13" s="1"/>
      <c r="S13" s="1"/>
      <c r="T13" s="1"/>
    </row>
    <row r="14" spans="1:20" x14ac:dyDescent="0.25">
      <c r="B14" s="4"/>
      <c r="C14" s="4"/>
      <c r="D14" s="4"/>
      <c r="E14" s="4"/>
      <c r="F14" s="4"/>
      <c r="G14" s="4"/>
      <c r="J14" s="1"/>
      <c r="K14" s="1"/>
      <c r="L14" s="1"/>
      <c r="M14" s="1"/>
      <c r="Q14" s="1"/>
      <c r="R14" s="1"/>
      <c r="S14" s="1"/>
      <c r="T14" s="1"/>
    </row>
    <row r="15" spans="1:20" x14ac:dyDescent="0.25">
      <c r="B15" s="4"/>
      <c r="C15" s="4"/>
      <c r="D15" s="4"/>
      <c r="E15" s="4"/>
      <c r="F15" s="4"/>
      <c r="G15" s="4"/>
      <c r="J15" s="1"/>
      <c r="K15" s="1"/>
      <c r="L15" s="1"/>
      <c r="M15" s="1"/>
      <c r="Q15" s="1"/>
      <c r="R15" s="1"/>
      <c r="S15" s="1"/>
      <c r="T15" s="1"/>
    </row>
    <row r="16" spans="1:20" x14ac:dyDescent="0.25">
      <c r="B16" s="4"/>
      <c r="C16" s="4"/>
      <c r="D16" s="4"/>
      <c r="E16" s="4"/>
      <c r="F16" s="4"/>
      <c r="G16" s="4"/>
      <c r="J16" s="1"/>
      <c r="K16" s="1"/>
      <c r="L16" s="1"/>
      <c r="M16" s="1"/>
      <c r="Q16" s="1"/>
      <c r="R16" s="1"/>
      <c r="S16" s="1"/>
      <c r="T16" s="1"/>
    </row>
    <row r="17" spans="2:20" x14ac:dyDescent="0.25">
      <c r="B17" s="4"/>
      <c r="C17" s="4"/>
      <c r="D17" s="4"/>
      <c r="E17" s="4"/>
      <c r="F17" s="4"/>
      <c r="G17" s="4"/>
      <c r="J17" s="1"/>
      <c r="K17" s="1"/>
      <c r="L17" s="1"/>
      <c r="M17" s="1"/>
      <c r="Q17" s="1"/>
      <c r="R17" s="1"/>
      <c r="S17" s="1"/>
      <c r="T17" s="1"/>
    </row>
    <row r="18" spans="2:20" x14ac:dyDescent="0.25">
      <c r="B18" s="4"/>
      <c r="C18" s="4"/>
      <c r="D18" s="4"/>
      <c r="E18" s="4"/>
      <c r="F18" s="4"/>
      <c r="G18" s="4"/>
      <c r="J18" s="1"/>
      <c r="K18" s="1"/>
      <c r="L18" s="1"/>
      <c r="M18" s="1"/>
      <c r="Q18" s="1"/>
      <c r="R18" s="1"/>
      <c r="S18" s="1"/>
      <c r="T18" s="1"/>
    </row>
    <row r="19" spans="2:20" x14ac:dyDescent="0.25">
      <c r="B19" s="4"/>
      <c r="C19" s="4"/>
      <c r="D19" s="4"/>
      <c r="E19" s="4"/>
      <c r="F19" s="4"/>
      <c r="G19" s="4"/>
      <c r="J19" s="1"/>
      <c r="K19" s="1"/>
      <c r="L19" s="1"/>
      <c r="M19" s="1"/>
      <c r="Q19" s="1"/>
      <c r="R19" s="1"/>
      <c r="S19" s="1"/>
      <c r="T19" s="1"/>
    </row>
    <row r="20" spans="2:20" x14ac:dyDescent="0.25">
      <c r="B20" s="4"/>
      <c r="C20" s="4"/>
      <c r="D20" s="4"/>
      <c r="E20" s="4"/>
      <c r="F20" s="4"/>
      <c r="G20" s="4"/>
      <c r="J20" s="1"/>
      <c r="K20" s="1"/>
      <c r="L20" s="1"/>
      <c r="M20" s="1"/>
      <c r="Q20" s="1"/>
      <c r="R20" s="1"/>
      <c r="S20" s="1"/>
      <c r="T20" s="1"/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GeneralLedgerTransactions</vt:lpstr>
      <vt:lpstr>ChartofAccounts</vt:lpstr>
      <vt:lpstr>InvoicesPayable</vt:lpstr>
      <vt:lpstr>VendorMaster</vt:lpstr>
      <vt:lpstr>InvoicesReceivable</vt:lpstr>
      <vt:lpstr>CustomerMaster</vt:lpstr>
      <vt:lpstr>DepartmentBudgets</vt:lpstr>
      <vt:lpstr>FinancialForecasts</vt:lpstr>
      <vt:lpstr>FinancialStatements</vt:lpstr>
      <vt:lpstr>FixedAssetRegister</vt:lpstr>
      <vt:lpstr>DepreciationSchedule</vt:lpstr>
      <vt:lpstr>EmployeePayroll</vt:lpstr>
      <vt:lpstr>Pivot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</dc:creator>
  <cp:lastModifiedBy>Balaji</cp:lastModifiedBy>
  <dcterms:created xsi:type="dcterms:W3CDTF">2026-10-08T11:03:09Z</dcterms:created>
  <dcterms:modified xsi:type="dcterms:W3CDTF">2026-10-08T11:03:10Z</dcterms:modified>
</cp:coreProperties>
</file>